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1" sheetId="1" r:id="rId5"/>
    <sheet state="visible" name="dataset-2" sheetId="2" r:id="rId6"/>
    <sheet state="visible" name="dataset-3_#tdahadulto" sheetId="3" r:id="rId7"/>
    <sheet state="visible" name="IDs_Identicas" sheetId="4" r:id="rId8"/>
  </sheets>
  <definedNames>
    <definedName hidden="1" localSheetId="0" name="_xlnm._FilterDatabase">'dataset-1'!$A$1:$AP$335</definedName>
    <definedName hidden="1" localSheetId="1" name="_xlnm._FilterDatabase">'dataset-2'!$A$1:$AN$354</definedName>
    <definedName hidden="1" localSheetId="2" name="_xlnm._FilterDatabase">'dataset-3_#tdahadulto'!$A$1:$AN$322</definedName>
    <definedName hidden="1" localSheetId="3" name="_xlnm._FilterDatabase">IDs_Identicas!$A$1:$AG$99</definedName>
  </definedNames>
  <calcPr/>
</workbook>
</file>

<file path=xl/sharedStrings.xml><?xml version="1.0" encoding="utf-8"?>
<sst xmlns="http://schemas.openxmlformats.org/spreadsheetml/2006/main" count="18569" uniqueCount="7051">
  <si>
    <t>id</t>
  </si>
  <si>
    <t>thread_id</t>
  </si>
  <si>
    <t>timestamp</t>
  </si>
  <si>
    <t>unix_timestamp</t>
  </si>
  <si>
    <t>link</t>
  </si>
  <si>
    <t>body</t>
  </si>
  <si>
    <t>author</t>
  </si>
  <si>
    <t>author_fullname</t>
  </si>
  <si>
    <t>author_id</t>
  </si>
  <si>
    <t>author_avatar_url</t>
  </si>
  <si>
    <t>author_banner_url</t>
  </si>
  <si>
    <t>verified</t>
  </si>
  <si>
    <t>source</t>
  </si>
  <si>
    <t>language_guess</t>
  </si>
  <si>
    <t>possibly_sensitive</t>
  </si>
  <si>
    <t>retweet_count</t>
  </si>
  <si>
    <t>reply_count</t>
  </si>
  <si>
    <t>like_count</t>
  </si>
  <si>
    <t>quote_count</t>
  </si>
  <si>
    <t>impression_count</t>
  </si>
  <si>
    <t>is_retweet</t>
  </si>
  <si>
    <t>retweeted_user</t>
  </si>
  <si>
    <t>is_quote_tweet</t>
  </si>
  <si>
    <t>quote_tweet_id</t>
  </si>
  <si>
    <t>quote_author</t>
  </si>
  <si>
    <t>quote_body</t>
  </si>
  <si>
    <t>quote_images</t>
  </si>
  <si>
    <t>quote_videos</t>
  </si>
  <si>
    <t>is_quote_withheld</t>
  </si>
  <si>
    <t>is_reply</t>
  </si>
  <si>
    <t>replied_author</t>
  </si>
  <si>
    <t>is_withheld</t>
  </si>
  <si>
    <t>hashtags</t>
  </si>
  <si>
    <t>urls</t>
  </si>
  <si>
    <t>images</t>
  </si>
  <si>
    <t>videos</t>
  </si>
  <si>
    <t>mentions</t>
  </si>
  <si>
    <t>long_lat</t>
  </si>
  <si>
    <t>place_name</t>
  </si>
  <si>
    <t>missing_fields</t>
  </si>
  <si>
    <t>1995248798575300954</t>
  </si>
  <si>
    <t>1994404416905249200</t>
  </si>
  <si>
    <t>https://x.com/agnesphilia/status/1995248798575300954</t>
  </si>
  <si>
    <t>1994970597835604023</t>
  </si>
  <si>
    <t>1980369299366899925</t>
  </si>
  <si>
    <t>https://x.com/SuperMamasTDAH/status/1994970597835604023</t>
  </si>
  <si>
    <t>https://x.com/offlutt/status/1980369299366899925</t>
  </si>
  <si>
    <t>@nightstalker606 @TopperHarley419 @Luccas1964 @viagempassado O TDAH adulto pode ser tranquilamente confundido com uma pessoa em um quadro extremo de estresse, falta de nutrientes e escassez de sono, aquelas pessoas que você olha e fala "fulano não está bem". A diferença é que o TDAH sempre foi assim, mesmo quando está bem.</t>
  </si>
  <si>
    <t>agnesphilia</t>
  </si>
  <si>
    <t>𝑺𝒖𝒏𝒔𝒉𝒊𝒏𝒆</t>
  </si>
  <si>
    <t>1163381867623702529</t>
  </si>
  <si>
    <t>https://pbs.twimg.com/profile_images/1890410893239873536/OKYrydXt_normal.jpg</t>
  </si>
  <si>
    <t>Este va para mi mama #tdah #tdahadulto #mimama https://t.co/3RIEweCvHx</t>
  </si>
  <si>
    <t>SuperMamasTDAH</t>
  </si>
  <si>
    <t>Super Mamás TDAH</t>
  </si>
  <si>
    <t>https://pbs.twimg.com/profile_images/1990983208087789569/rv0pVQTx_normal.jpg</t>
  </si>
  <si>
    <t>odeio ser um adulto com tdah disfuncional quero me m https://t.co/6Uszm7iJmM</t>
  </si>
  <si>
    <t>offlutt</t>
  </si>
  <si>
    <t>Lutt</t>
  </si>
  <si>
    <t>1967630715526512640</t>
  </si>
  <si>
    <t>https://pbs.twimg.com/profile_images/1967646759720460288/YdjMDEKZ_normal.jpg</t>
  </si>
  <si>
    <t>https://pbs.twimg.com/profile_banners/1163381867623702529/1702326479</t>
  </si>
  <si>
    <t>https://pbs.twimg.com/profile_banners/1967630715526512640/1759271328</t>
  </si>
  <si>
    <t>Repurpose io</t>
  </si>
  <si>
    <t>es</t>
  </si>
  <si>
    <t>no</t>
  </si>
  <si>
    <t>Twitter Web App</t>
  </si>
  <si>
    <t>Twitter for Android</t>
  </si>
  <si>
    <t>pt</t>
  </si>
  <si>
    <t>tdah,tdahadulto,mimama</t>
  </si>
  <si>
    <t>https://pbs.twimg.com/amplify_video_thumb/1994970438913359872/img/oo7HukhAbG84WhMR.jpg</t>
  </si>
  <si>
    <t>yes</t>
  </si>
  <si>
    <t>nightstalker606</t>
  </si>
  <si>
    <t>https://pbs.twimg.com/ext_tw_video_thumb/1621438878212100096/pu/img/9jxaoGcwPWvx_ywR.jpg</t>
  </si>
  <si>
    <t>nightstalker606,TopperHarley419,Luccas1964,viagempassado</t>
  </si>
  <si>
    <t>1994911863172481298</t>
  </si>
  <si>
    <t>https://x.com/ferneurada/status/1994911863172481298</t>
  </si>
  <si>
    <t>bizarro é que agora tudo é tdah e tdah em adulto é uma coisa BEM DIFÍCIL MESMO. 
sério, daqui a alguns anos vão olhar pra essa palhaçada e ficar “pqp como que isso foi possível né”
não patologizem o que não sustentam. nem o que é fenômeno ou consequência social.</t>
  </si>
  <si>
    <t>ferneurada</t>
  </si>
  <si>
    <t>https://video.twimg.com/amplify_video/1994970438913359872/vid/avc1/720x1280/U8GxP7JTfc9Kh7Mc.mp4?tag=14</t>
  </si>
  <si>
    <t>1058680195543191553</t>
  </si>
  <si>
    <t>https://pbs.twimg.com/profile_images/1795296960276021248/pNqQImmg_normal.jpg</t>
  </si>
  <si>
    <t>https://video.twimg.com/ext_tw_video/1621438878212100096/pu/vid/750x704/lJp_j8NnivilTrNX.mp4?tag=12</t>
  </si>
  <si>
    <t>https://pbs.twimg.com/profile_banners/1058680195543191553/1701883457</t>
  </si>
  <si>
    <t>1993826489197056464</t>
  </si>
  <si>
    <t>Twitter for iPhone</t>
  </si>
  <si>
    <t>1987064030192664827</t>
  </si>
  <si>
    <t>1994548155497480610</t>
  </si>
  <si>
    <t>joaomontagnerrr</t>
  </si>
  <si>
    <t>https://x.com/botelhoapenas/status/1987064030192664827</t>
  </si>
  <si>
    <t>bizarro do tdah é “nao sentir saudade” isso fode tanto qualquer relação genuinamente nao aguento mais</t>
  </si>
  <si>
    <t>https://x.com/playense4life/status/1993826489197056464</t>
  </si>
  <si>
    <t>1994568850789339471</t>
  </si>
  <si>
    <t>1994559958491566487</t>
  </si>
  <si>
    <t>https://x.com/FrancaKamy40627/status/1994568850789339471</t>
  </si>
  <si>
    <t>o conceito de ter tdah e te prescreverem o remedio mais buscado pelos estudantes, viciados e por quem quer perder peso e ficar de pé https://t.co/e96bbgIYlZ</t>
  </si>
  <si>
    <t>Solo a mi se me ocurre que puedo llegar de Villas del Sol a Cancún Centro en 1.5 horas para las 6pm 😫😒🤣 #tdahadulto #tiempoalatdah #siempretarde</t>
  </si>
  <si>
    <t>botelhoapenas</t>
  </si>
  <si>
    <t>playense4life</t>
  </si>
  <si>
    <t>@JoaoPedrao31383 Na adolescência mais quando a livia era menino e dai eles nunca mais se viram ja que todo mundo tava formado dai passa um tempo ele ja ta adulto tropeça em uma pessoa que seria sua Esposa a Lívia e se apaixonar mais como a Lívia tem tdah ela esquecia dele naquela época</t>
  </si>
  <si>
    <t>Botelho</t>
  </si>
  <si>
    <t>FrancaKamy40627</t>
  </si>
  <si>
    <t>Mario | Zorrito</t>
  </si>
  <si>
    <t>1386760009057439745</t>
  </si>
  <si>
    <t>Kamyla mundo das estrelas🌟</t>
  </si>
  <si>
    <t>1708243029620850688</t>
  </si>
  <si>
    <t>https://pbs.twimg.com/profile_images/1983521396295680000/FMtP8uF5_normal.jpg</t>
  </si>
  <si>
    <t>https://pbs.twimg.com/profile_images/1991998380696895488/JZ73PGqt_normal.jpg</t>
  </si>
  <si>
    <t>https://pbs.twimg.com/profile_images/1983420696358158336/RJP7DSCm_normal.jpg</t>
  </si>
  <si>
    <t>https://pbs.twimg.com/profile_banners/261513452/1763923959</t>
  </si>
  <si>
    <t>https://pbs.twimg.com/profile_banners/1708243029620850688/1759360665</t>
  </si>
  <si>
    <t>https://pbs.twimg.com/profile_banners/1386760009057439745/1731794127</t>
  </si>
  <si>
    <t>tdahadulto,tiempoalatdah,siempretarde</t>
  </si>
  <si>
    <t>JoaoPedrao31383</t>
  </si>
  <si>
    <t>1988394655424393394</t>
  </si>
  <si>
    <t>https://x.com/thaynazinhe/status/1988394655424393394</t>
  </si>
  <si>
    <t>1993391608830607611</t>
  </si>
  <si>
    <t>1994418277242548415</t>
  </si>
  <si>
    <t>https://x.com/SuperMamasTDAH/status/1993391608830607611</t>
  </si>
  <si>
    <t>https://x.com/twilightdevils/status/1994418277242548415</t>
  </si>
  <si>
    <t>uma mulher de 30 anos 5 filhos numa faculdade se comportando como uma adolescente de 16 anos  https://t.co/KvVsbK5hDt</t>
  </si>
  <si>
    <t>thaynazinhe</t>
  </si>
  <si>
    <t>t</t>
  </si>
  <si>
    <t>1297766236089180160</t>
  </si>
  <si>
    <t>https://pbs.twimg.com/profile_images/1986634945578590208/tG884VUN_normal.jpg</t>
  </si>
  <si>
    <t>Y te deprimes cuando no te apetece hacer absolutamente nada #tdah #tdahadulto #depresion #neurodivergente https://t.co/9F7hFlGM9C</t>
  </si>
  <si>
    <t>Eu adulta tdah com diagnóstico tardio, saúdo o liam adulto tdah com diagnóstico tardio. Namaste Rasta</t>
  </si>
  <si>
    <t>twilightdevils</t>
  </si>
  <si>
    <t>๋࣭ ˖ 𐔌 Brica🦇. ۫. VIU O OASIS</t>
  </si>
  <si>
    <t>1609214522861961217</t>
  </si>
  <si>
    <t>https://pbs.twimg.com/profile_images/1974177535626719232/d0QH5nS9_normal.jpg</t>
  </si>
  <si>
    <t>tdah,tdahadulto,depresion,neurodivergente</t>
  </si>
  <si>
    <t>https://pbs.twimg.com/amplify_video_thumb/1993391441574248448/img/5dZLIWXFxYn66vvw.jpg</t>
  </si>
  <si>
    <t>https://pbs.twimg.com/profile_banners/1297766236089180160/1762486047</t>
  </si>
  <si>
    <t>https://pbs.twimg.com/profile_banners/1609214522861961217/1756941594</t>
  </si>
  <si>
    <t>https://video.twimg.com/amplify_video/1993391441574248448/vid/avc1/720x1280/unJg6Kf6nHrUDQhA.mp4?tag=14</t>
  </si>
  <si>
    <t>https://pbs.twimg.com/amplify_video_thumb/1987976096323629057/img/G42rWs28JK1xJfYo.jpg</t>
  </si>
  <si>
    <t>1994155541908869343</t>
  </si>
  <si>
    <t>sotsoglover</t>
  </si>
  <si>
    <t>he's not normal... love him for it https://t.co/QInt1wCYox</t>
  </si>
  <si>
    <t>https://pbs.twimg.com/amplify_video_thumb/1994140704956620800/img/Y_soik_UzC1Ivr_R.jpg</t>
  </si>
  <si>
    <t>https://video.twimg.com/amplify_video/1987976096323629057/vid/avc1/712x790/ZJdoyz5JIphJvmn3.mp4?tag=21</t>
  </si>
  <si>
    <t>1985307481938010519</t>
  </si>
  <si>
    <t>https://x.com/SuperMamasTDAH/status/1985307481938010519</t>
  </si>
  <si>
    <t>1994129002840379718</t>
  </si>
  <si>
    <t>1993726515557843051</t>
  </si>
  <si>
    <t>https://x.com/toji_und_panzer/status/1994129002840379718</t>
  </si>
  <si>
    <t>¿Tu hijo no para quieto ni un segundo?
No lo hace para molestarte. Su cuerpo necesita moverse para poder pensar. 🌿
El movimiento no es distracción, es regulación.
Antes de pedirle que se concentre, deja que corra, salte o baile un minuto.
#tdah #tdahadulto #tdahinfantil https://t.co/P6Th99rUZE</t>
  </si>
  <si>
    <t>1942730247528689706</t>
  </si>
  <si>
    <t>https://x.com/ElPaido/status/1942730247528689706</t>
  </si>
  <si>
    <t>@dropehrenomor @DanVerdosa Toda variação humana vem de "anomalias": miopia, canhotos, autismo, TDAH, diabetes tipo 1, até altura extrema. Nada disso deixa de ser natural por ter origem atípica.
E essa de "se aparece na infância é biológico, se aparece no adulto é comportamento" é só pseudociência.</t>
  </si>
  <si>
    <t>toji_und_panzer</t>
  </si>
  <si>
    <t>🥞⸝⸝ Sally 🪽 | (LOCKET)</t>
  </si>
  <si>
    <t>1854321020057923602</t>
  </si>
  <si>
    <t>https://pbs.twimg.com/profile_images/1993098611756769280/jp2vv-i__normal.jpg</t>
  </si>
  <si>
    <t>tdah,tdahadulto,tdahinfantil</t>
  </si>
  <si>
    <t>https://pbs.twimg.com/amplify_video_thumb/1985307394239291392/img/5bD6PWBzgx945XUe.jpg</t>
  </si>
  <si>
    <t>¿Cómo se diagnostica el TDAH en adultos en los ensayos clínicos aleatorizados (RCTs)?
Una revisión de 292 estudios muestra que la mitad ni siquiera evaluó psicopatología general.
Este hilo expone por qué esto compromete la validez de muchos estudios sobre TDAH adulto.
🧵 https://t.co/eR12Vr1fXJ</t>
  </si>
  <si>
    <t>ElPaido</t>
  </si>
  <si>
    <t>El Paido ®️</t>
  </si>
  <si>
    <t>https://pbs.twimg.com/profile_images/1540464860768731136/UM4JIXS3_normal.jpg</t>
  </si>
  <si>
    <t>https://pbs.twimg.com/profile_banners/1854321020057923602/1764026687</t>
  </si>
  <si>
    <t>https://pbs.twimg.com/profile_banners/236621586/1606877123</t>
  </si>
  <si>
    <t>https://video.twimg.com/amplify_video/1985307394239291392/vid/avc1/720x1280/MN-FQKg055KCAD9I.mp4?tag=21</t>
  </si>
  <si>
    <t>dropehrenomor</t>
  </si>
  <si>
    <t>dropehrenomor,DanVerdosa</t>
  </si>
  <si>
    <t>1994102071293866448</t>
  </si>
  <si>
    <t>1994075295079403789</t>
  </si>
  <si>
    <t>https://x.com/difc_dubai/status/1994102071293866448</t>
  </si>
  <si>
    <t>https://pbs.twimg.com/media/GvX23ZDWMAAQrWg.jpg</t>
  </si>
  <si>
    <t>@BaianoDoIfood É o mesmo mecanismo de quem usa cocaína cronicamente:  tolerância aumenta= risco aumenta = dano se acumula em silêncio.
1000 mg/dia= isso é 12–20x a dose máxima  p/ TDAH  em adulto(60–80 mg/dia é o teto, e msm isso já é raro)</t>
  </si>
  <si>
    <t>difc_dubai</t>
  </si>
  <si>
    <t>Rentist🅰️</t>
  </si>
  <si>
    <t>907388817413459969</t>
  </si>
  <si>
    <t>https://pbs.twimg.com/profile_images/907392809992421377/lSKlvmOn_normal.jpg</t>
  </si>
  <si>
    <t>1983470739715223705</t>
  </si>
  <si>
    <t>1931402646964887556</t>
  </si>
  <si>
    <t>https://x.com/ElPaido/status/1931402646964887556</t>
  </si>
  <si>
    <t>https://pbs.twimg.com/profile_banners/907388817413459969/1505335956</t>
  </si>
  <si>
    <t>https://x.com/tdahmasmostoles/status/1983470739715223705</t>
  </si>
  <si>
    <t>Para cerrar nuestra semana naranja 2025, os esperamos mañana en nuestro último taller " Aprender a poner límites"
#tdahmasmostoles #tdah #tdahadulto 
🧡🧡🧡🧡 https://t.co/D37KCQKIvh</t>
  </si>
  <si>
    <t>tdahmasmostoles</t>
  </si>
  <si>
    <t>TdahmasMóstoles (Tdahmasmostoles)</t>
  </si>
  <si>
    <t>1581625211539148800</t>
  </si>
  <si>
    <t>A veces, nuestro mejor aliado en el tratamiento del TDAH en niños y adolescentes no es un medicamento, sino un maestro:
🏀 de básquet
⚽ de fútbol
🥋 de taekwondo o karate
🏊 de natación
Un adulto que guía, estructura y cree en ellos.
—ElPaido https://t.co/YgKZP2mKRC</t>
  </si>
  <si>
    <t>https://pbs.twimg.com/profile_images/1978522871811981313/eugu5od3_normal.jpg</t>
  </si>
  <si>
    <t>BaianoDoIfood</t>
  </si>
  <si>
    <t>1994086171882779107</t>
  </si>
  <si>
    <t>https://x.com/nativcoim/status/1994086171882779107</t>
  </si>
  <si>
    <t>https://pbs.twimg.com/media/Gs24YqyXwAAwYOm.jpg</t>
  </si>
  <si>
    <t>https://pbs.twimg.com/profile_banners/1581625211539148800/1695479358</t>
  </si>
  <si>
    <t>Meu Deus como é EXAUSTIVO convidar com adulto que tem TDAH</t>
  </si>
  <si>
    <t>nativcoim</t>
  </si>
  <si>
    <t>Nati</t>
  </si>
  <si>
    <t>1980801816393838592</t>
  </si>
  <si>
    <t>https://pbs.twimg.com/profile_images/1990604784655605761/nCG48KE4_normal.jpg</t>
  </si>
  <si>
    <t>1986268449216057414</t>
  </si>
  <si>
    <t>https://x.com/Ann4Castro/status/1986268449216057414</t>
  </si>
  <si>
    <t>ser adulto é perceber que tudo que você precisa é de saúde, um lar, uma renda estável e pessoas que deixem você a vontade pra ser quem você é 💖</t>
  </si>
  <si>
    <t>Ann4Castro</t>
  </si>
  <si>
    <t>https://pbs.twimg.com/profile_banners/1980801816393838592/1761095374</t>
  </si>
  <si>
    <t>Anna Castro</t>
  </si>
  <si>
    <t>https://pbs.twimg.com/profile_images/1913473180456415232/JAixHD74_normal.jpg</t>
  </si>
  <si>
    <t>tdahmasmostoles,tdah,tdahadulto</t>
  </si>
  <si>
    <t>https://pbs.twimg.com/ext_tw_video_thumb/1983470672316698624/pu/img/DQp34xch-ldMQ0QW.jpg</t>
  </si>
  <si>
    <t>https://pbs.twimg.com/profile_banners/455268784/1632278924</t>
  </si>
  <si>
    <t>https://video.twimg.com/ext_tw_video/1983470672316698624/pu/vid/avc1/720x1280/sOub7GMVorGFSqT7.mp4?tag=12</t>
  </si>
  <si>
    <t>1993812640859345328</t>
  </si>
  <si>
    <t>https://x.com/solracsael/status/1993812640859345328</t>
  </si>
  <si>
    <t>1972711348950946024</t>
  </si>
  <si>
    <t>https://x.com/crepch/status/1972711348950946024</t>
  </si>
  <si>
    <t>fico pensando sobre pessoas que têm dificuldades de aprendizado e atenção por falta de dinheiro e orientação, acabam não conseguindo ter acesso a médicos ou a remédios pq é muito caro. tenho tdah, só pude ser diagnosticado agr qnd adulto, pois o tratamento é caro.</t>
  </si>
  <si>
    <t>solracsael</t>
  </si>
  <si>
    <t>SAEL</t>
  </si>
  <si>
    <t>1128884799140179968</t>
  </si>
  <si>
    <t>https://pbs.twimg.com/profile_images/1961282869478727682/FobhckOs_normal.jpg</t>
  </si>
  <si>
    <t>-3.945389,40.319903</t>
  </si>
  <si>
    <t>Móstoles, España</t>
  </si>
  <si>
    <t>El niño ansioso requiere apoyo, no se la incrementes.
#terapiamultisensorialsimbólica #terapia #terapialenguaje
#ansiedades #tdah #conducta #adulto #adolescentes #problemasdelenguaje #psicologia #saludmental #terapiapsicologica #terapiaonline  #tdaa #cdmx #ansiedad #FelizLunes https://t.co/eHReywIqdX</t>
  </si>
  <si>
    <t>crepch</t>
  </si>
  <si>
    <t>1975851157869547653</t>
  </si>
  <si>
    <t>CREPCH</t>
  </si>
  <si>
    <t>944734585614716928</t>
  </si>
  <si>
    <t>https://pbs.twimg.com/profile_images/1136061746895106049/G8TS_hD3_normal.jpg</t>
  </si>
  <si>
    <t>https://x.com/TDAH_BuenosDias/status/1975851157869547653</t>
  </si>
  <si>
    <t>https://pbs.twimg.com/profile_banners/1128884799140179968/1715877116</t>
  </si>
  <si>
    <t>https://pbs.twimg.com/profile_banners/944734585614716928/1747074694</t>
  </si>
  <si>
    <t>🎯 https://t.co/9n0UK9ytgB
🎙️ TDAH en adultos | con José Luna 🎙️
Muchos adultos nunca fueron diagnosticados, y siguen sin saber si padecen TDAH
De la mano del psicólogo especialista @joselunapsico nos acercaremos al trastorno en la vida adulta
#podcasttdah
#tdahadulto
#TDAH https://t.co/6Hgzqm1xFD</t>
  </si>
  <si>
    <t>TDAH_BuenosDias</t>
  </si>
  <si>
    <t>Buenos Días TDAH</t>
  </si>
  <si>
    <t>1817536189911482368</t>
  </si>
  <si>
    <t>https://pbs.twimg.com/profile_images/1846469044288843777/1QeBrLLI_normal.jpg</t>
  </si>
  <si>
    <t>1993784564351971659</t>
  </si>
  <si>
    <t>1993784538213077494</t>
  </si>
  <si>
    <t>https://pbs.twimg.com/profile_banners/1817536189911482368/1725628460</t>
  </si>
  <si>
    <t>https://x.com/raphaelmvasc/status/1993784564351971659</t>
  </si>
  <si>
    <t>terapiamultisensorialsimbólica,terapia,terapialenguaje,ansiedades,tdah,conducta,adulto,adolescentes,problemasdelenguaje,psicologia,saludmental,terapiapsicologica,terapiaonline,tdaa,cdmx,ansiedad,FelizLunes</t>
  </si>
  <si>
    <t>https://pbs.twimg.com/media/G2B6hJUWEAAkmVD.jpg</t>
  </si>
  <si>
    <t>Conclusão: Nem todo adulto exausto tem TDAH. Mas quem tem TDAH real tem a vida transformada pelo tratamento correto. Entre o "não existe" e o "todo mundo tem", existe o caminho clínico: técnico e baseado em evidência. Busque especialista. 🛑</t>
  </si>
  <si>
    <t>raphaelmvasc</t>
  </si>
  <si>
    <t>Raphael Vasconcelos</t>
  </si>
  <si>
    <t>1973008919527124992</t>
  </si>
  <si>
    <t>https://pbs.twimg.com/profile_images/1986518754654613504/uZvaFMLe_normal.jpg</t>
  </si>
  <si>
    <t>1987940816115978483</t>
  </si>
  <si>
    <t>https://x.com/thachapando/status/1987940816115978483</t>
  </si>
  <si>
    <t>https://pbs.twimg.com/profile_banners/1973008919527124992/1759324482</t>
  </si>
  <si>
    <t>lidar com aluno adulto é milhões de vezes mais difícil do que com criança mds https://t.co/9LF4N2aCnM</t>
  </si>
  <si>
    <t>podcasttdah,tdahadulto,TDAH</t>
  </si>
  <si>
    <t>thachapando</t>
  </si>
  <si>
    <t>thalitinha</t>
  </si>
  <si>
    <t>https://go.ivoox.com/rf/125108094</t>
  </si>
  <si>
    <t>https://pbs.twimg.com/profile_images/1968415909619363840/vA2ER3eu_normal.jpg</t>
  </si>
  <si>
    <t>1993512196513685593</t>
  </si>
  <si>
    <t>1993365895973159290</t>
  </si>
  <si>
    <t>https://x.com/RENE_ESCALONA/status/1993512196513685593</t>
  </si>
  <si>
    <t>https://pbs.twimg.com/amplify_video_thumb/1963531868738867200/img/Sau2Xkq-3XyBpYlc.jpg</t>
  </si>
  <si>
    <t>https://pbs.twimg.com/profile_banners/3357444861/1675648891</t>
  </si>
  <si>
    <t>@VengaLaAlegria @lagranjavipmx @kike_mayagoitia no entiende concepto d bulleo Respetar a otros por la edad como Alfredo, un adulto mayor, ser empático con alguien con TDAH como @EleazarGomez33 niños, jovenes y adultos lo viven https://t.co/G7I6zd1hBN Te subo el vídeo para q comprendas lo que es y no te burles¡</t>
  </si>
  <si>
    <t>RENE_ESCALONA</t>
  </si>
  <si>
    <t>RENE A ESCALONA G (Wolverine)</t>
  </si>
  <si>
    <t>https://video.twimg.com/amplify_video/1963531868738867200/vid/avc1/720x1280/TayvlRqGX89zNRy6.mp4?tag=14</t>
  </si>
  <si>
    <t>https://pbs.twimg.com/profile_images/1967530434650079232/g0Q3dqaG_normal.jpg</t>
  </si>
  <si>
    <t>https://pbs.twimg.com/media/G5aVoi6X0AAplEl.jpg</t>
  </si>
  <si>
    <t>https://pbs.twimg.com/profile_banners/69480843/1739202669</t>
  </si>
  <si>
    <t>joselunapsico</t>
  </si>
  <si>
    <t>1975186772477739392</t>
  </si>
  <si>
    <t>https://x.com/Tenorio_Mindset/status/1975186772477739392</t>
  </si>
  <si>
    <t>1975271549230878745</t>
  </si>
  <si>
    <t>VengaLaAlegria</t>
  </si>
  <si>
    <t>https://x.com/crepch/status/1975271549230878745</t>
  </si>
  <si>
    <t>https://vt.tiktok.com/ZSy7t8EsU/</t>
  </si>
  <si>
    <t>𝘏𝘰𝘫𝘦 𝘷𝘰𝘶 𝘱𝘢𝘳𝘵𝘪𝘭𝘩𝘢𝘳 𝘤𝘰𝘮 𝘝𝘰𝘤ê 𝘰 𝘮𝘦𝘶 𝘛𝘳𝘢𝘣𝘢𝘭𝘩𝘰 𝘔𝘶𝘴𝘪𝘤𝘢𝘭 🎤 
𝗣𝗲𝘀𝗾𝘂𝗶𝘀𝗮: 𝗧𝗲𝗻ó𝗿𝗶𝗼 𝗠𝗲𝗻𝘁𝗮𝗹𝗶𝗱𝗮𝗱𝗲𝘀 
𝘋𝘪𝘴𝘱𝘰𝘯í𝘷𝘦𝘭 𝘯𝘰 𝘠𝘰𝘶𝘛𝘶𝘣𝘦 𝘦 𝘗𝘭𝘢𝘵𝘢𝘧𝘰𝘳𝘮𝘢𝘴 𝘋𝘪𝘨𝘪𝘵𝘢𝘪𝘴 
#musica #tdahadulto #sstvi #rapper https://t.co/jC9gXx6lP8</t>
  </si>
  <si>
    <t>Tenorio_Mindset</t>
  </si>
  <si>
    <t>Tenório Mentalidades</t>
  </si>
  <si>
    <t>1956337600974729216</t>
  </si>
  <si>
    <t>https://pbs.twimg.com/profile_images/1956338088390615046/_CmJ_dms_normal.jpg</t>
  </si>
  <si>
    <t>VengaLaAlegria,lagranjavipmx,kike_mayagoitia,EleazarGomez33</t>
  </si>
  <si>
    <t>1993476072512668039</t>
  </si>
  <si>
    <t>Medicación neurológica.
📱Citas 55 19 15 30 15
#terapiamultisensorialsimbólica #terapia #terapialenguaje
#autismo #depresión #ansiedades #tdah #conducta #adulto #adolescentes #problemasdelenguaje #psicologia #terapiapsicologica #terapiaenlínea #tdaa #neurodivergentes #CDMX https://t.co/HU2UTUPfm8</t>
  </si>
  <si>
    <t>https://x.com/muryellf/status/1993476072512668039</t>
  </si>
  <si>
    <t>https://pbs.twimg.com/profile_banners/1956337600974729216/1755842915</t>
  </si>
  <si>
    <t>Ter tdah toc depressao e ser um adulto funcional já devia me valer muito pqp</t>
  </si>
  <si>
    <t>muryellf</t>
  </si>
  <si>
    <t>terapiamultisensorialsimbólica,terapia,terapialenguaje,autismo,depresión,ansiedades,tdah,conducta,adulto,adolescentes,problemasdelenguaje,psicologia,terapiapsicologica,terapiaenlínea,tdaa,neurodivergentes,CDMX</t>
  </si>
  <si>
    <t>Muryel Conipsilon</t>
  </si>
  <si>
    <t>1249725411283607552</t>
  </si>
  <si>
    <t>https://pbs.twimg.com/ext_tw_video_thumb/1975271480872062976/pu/img/0henmIFMfmNi6PEM.jpg</t>
  </si>
  <si>
    <t>https://pbs.twimg.com/profile_images/1924534022564130817/WGsQZuDz_normal.jpg</t>
  </si>
  <si>
    <t>https://pbs.twimg.com/profile_banners/1249725411283607552/1738265534</t>
  </si>
  <si>
    <t>https://video.twimg.com/ext_tw_video/1975271480872062976/pu/vid/avc1/478x850/Mu8kmcdS7VuZzsBk.mp4?tag=12</t>
  </si>
  <si>
    <t>musica,tdahadulto,sstvi,rapper</t>
  </si>
  <si>
    <t>https://pbs.twimg.com/amplify_video_thumb/1975186666374496256/img/pK84WSi_-_CPzLku.jpg</t>
  </si>
  <si>
    <t>1993448052905197596</t>
  </si>
  <si>
    <t>1993368002247770287</t>
  </si>
  <si>
    <t>https://x.com/RENE_ESCALONA/status/1993448052905197596</t>
  </si>
  <si>
    <t>1948890344613183581</t>
  </si>
  <si>
    <t>https://x.com/Contexto_Visual/status/1948890344613183581</t>
  </si>
  <si>
    <t>@VengaLaAlegria @lagranjavipmx Cada vez se hunde más con sus comentarios Kike... Se nota la envidia a Sergio, a Adame... La ignorancia del TDAH de Eleazar que se lo contó y aún así se burla de sus movimientos y reacciones... El caballero que deja que un adulto mayor con problemas de rodilla duerma en paja...</t>
  </si>
  <si>
    <t>https://video.twimg.com/amplify_video/1975186666374496256/vid/avc1/886x1434/nwkoBMgOHDYHdIri.mp4?tag=21</t>
  </si>
  <si>
    <t>VengaLaAlegria,lagranjavipmx</t>
  </si>
  <si>
    <t>1993401676531925335</t>
  </si>
  <si>
    <t>1993400106700488782</t>
  </si>
  <si>
    <t>ESTA ES LA HISTORIA DE MICHAEL PHELPS
Fue un niño con TDAH.
Un adulto con depresión.
Pensó en quitarse la vida.
Pero aun así, logro lo imposible.
El atleta olímpico más condecorado de todos los tiempos.
23 OROS, 28 medallas Olímpicas en total
     🧵 https://t.co/WTRQ6OsvM3</t>
  </si>
  <si>
    <t>Contexto_Visual</t>
  </si>
  <si>
    <t>https://x.com/cinnamojuyo/status/1993401676531925335</t>
  </si>
  <si>
    <t>Contexto.Visual</t>
  </si>
  <si>
    <t>923007562873802752</t>
  </si>
  <si>
    <t>https://pbs.twimg.com/profile_images/1944824519954247680/jgQNGpNG_normal.png</t>
  </si>
  <si>
    <t>@felixlogy é pra trabalhar com crianca tdah e altas habilidades ent eu fico mais livre pra trabalhar com o lúdico mas infelizmente teria q aplicar as tarefinhas principalmente pros pais irem trabalhando c a criança fora da clínica PELO MENOS N EH COM ADULTO E N VAI SER PRA SEMPRE</t>
  </si>
  <si>
    <t>cinnamojuyo</t>
  </si>
  <si>
    <t>dany 土</t>
  </si>
  <si>
    <t>1371318813682241536</t>
  </si>
  <si>
    <t>https://pbs.twimg.com/profile_images/1986819115571412992/QqHptaKd_normal.jpg</t>
  </si>
  <si>
    <t>1965826825919291535</t>
  </si>
  <si>
    <t>https://pbs.twimg.com/profile_banners/923007562873802752/1754445073</t>
  </si>
  <si>
    <t>https://x.com/EduardoLaredoCh/status/1965826825919291535</t>
  </si>
  <si>
    <t>https://pbs.twimg.com/profile_banners/1371318813682241536/1762529834</t>
  </si>
  <si>
    <t>¿Tu hijo tiene dificultad para concentrarse?
Con el neurofeedback, entrenamos su cerebro para mejorar la atención sin medicamentos y con bases científicas.
Solicita una cita gratuita: https://t.co/9ce8NgFwJZ
#tdahinfantil #tdah #TDAHAdulto #tdahadolescentes #tdahniños https://t.co/3RKdlEn7pB</t>
  </si>
  <si>
    <t>EduardoLaredoCh</t>
  </si>
  <si>
    <t>Eduardo Laredo Ch.</t>
  </si>
  <si>
    <t>https://pbs.twimg.com/profile_images/868929496908312576/tjf1yX3O_normal.jpg</t>
  </si>
  <si>
    <t>felixlogy</t>
  </si>
  <si>
    <t>https://pbs.twimg.com/media/GwuFfdHXAAAGpuO.jpg</t>
  </si>
  <si>
    <t>1992658283501670573</t>
  </si>
  <si>
    <t>1992624776167174374</t>
  </si>
  <si>
    <t>https://x.com/day_samer05/status/1992658283501670573</t>
  </si>
  <si>
    <t>@ironickha Minha amiga tava prestes a se consultar com essa
 Duração: de 1h a 2h
 Laudo na 1ª consultaEspecialista em Psiquiatria da Infância, Adolescência, Adulto e Idoso, com foco em Autismo (TEA) e TDAH.
📍 Atendimentos presenciais em Orlândia-SP e online para todo o Brasil.</t>
  </si>
  <si>
    <t>day_samer05</t>
  </si>
  <si>
    <t>Sra da escuridão abissal</t>
  </si>
  <si>
    <t>https://pbs.twimg.com/profile_images/1952105455175507968/ChINjE8Y_normal.jpg</t>
  </si>
  <si>
    <t>https://pbs.twimg.com/profile_banners/831486985/1444531050</t>
  </si>
  <si>
    <t>1987960245684236693</t>
  </si>
  <si>
    <t>https://x.com/sinniga_/status/1987960245684236693</t>
  </si>
  <si>
    <t>https://pbs.twimg.com/profile_banners/801618541/1728607589</t>
  </si>
  <si>
    <t>cristina: estás como mayor, me refiero a bien, como "adulta"
claudia: me he hecho adulta
tinho: madurita, en plan una MILF
teyou: una MILF 🤣🤣
#OTDirecto10N https://t.co/r4DnJRQitF</t>
  </si>
  <si>
    <t>sinniga_</t>
  </si>
  <si>
    <t>lau</t>
  </si>
  <si>
    <t>1099837345417842695</t>
  </si>
  <si>
    <t>https://pbs.twimg.com/profile_images/1969474270385336320/2NIgWg_k_normal.jpg</t>
  </si>
  <si>
    <t>tdahinfantil,tdah,TDAHAdulto,tdahadolescentes,tdahniños</t>
  </si>
  <si>
    <t>http://www.neurofeedback.pe</t>
  </si>
  <si>
    <t>ironickha</t>
  </si>
  <si>
    <t>1991949017253593195</t>
  </si>
  <si>
    <t>1991899742029369835</t>
  </si>
  <si>
    <t>https://x.com/alana_prado07/status/1991949017253593195</t>
  </si>
  <si>
    <t>https://pbs.twimg.com/profile_banners/1099837345417842695/1752508873</t>
  </si>
  <si>
    <t>@sx_enio @minhanossaaaa @QGdoPOP A pessoa as vezes “descobre” já adulto um tdah, autismo e muda totalmente ! Vira um personagem…</t>
  </si>
  <si>
    <t>alana_prado07</t>
  </si>
  <si>
    <t>alana prado</t>
  </si>
  <si>
    <t>1587908615670743040</t>
  </si>
  <si>
    <t>https://pbs.twimg.com/profile_images/1612282297511714818/oCRD__8q_normal.jpg</t>
  </si>
  <si>
    <t>https://pbs.twimg.com/media/G0gFB5pXYAAIUX0.jpg</t>
  </si>
  <si>
    <t>OTDirecto10N</t>
  </si>
  <si>
    <t>https://pbs.twimg.com/profile_banners/1587908615670743040/1668131020</t>
  </si>
  <si>
    <t>https://pbs.twimg.com/media/G5anQ2FWsAEyPdg.png</t>
  </si>
  <si>
    <t>1965198340640878671</t>
  </si>
  <si>
    <t>1497233532208525313</t>
  </si>
  <si>
    <t>sx_enio</t>
  </si>
  <si>
    <t>https://x.com/DrKings_1/status/1497233532208525313</t>
  </si>
  <si>
    <t>https://x.com/landysJairPsic/status/1965198340640878671</t>
  </si>
  <si>
    <t>sx_enio,minhanossaaaa,QGdoPOP</t>
  </si>
  <si>
    <t>1991618910983188806</t>
  </si>
  <si>
    <t>1991618761347170455</t>
  </si>
  <si>
    <t>https://x.com/seethwangel/status/1991618910983188806</t>
  </si>
  <si>
    <t>Los adolescentes y adultos con TDAH tienen un peor desempeño comparado con controles en términos de logros académicos, jerarquía ocupacional, desempeño laboral, prácticas sexuales de riesgo, problemas de pareja, accidentes automovilísticos y comorbilidad Psiquiátrica.... https://t.co/XYOcSkzrSY</t>
  </si>
  <si>
    <t>DrKings_1</t>
  </si>
  <si>
    <t>Dr Kings</t>
  </si>
  <si>
    <t>1228924292567617536</t>
  </si>
  <si>
    <t>https://pbs.twimg.com/profile_images/1957683788038688772/UEWOYeWh_normal.jpg</t>
  </si>
  <si>
    <t>Como son los lunes con TDAH? 🤯 comienzas la semana con todo?? pero ya a mitad del día se te fue toda la motivación #tdah #tdahadulto #neurodivergente https://t.co/rGo3JAHThn</t>
  </si>
  <si>
    <t>landysJairPsic</t>
  </si>
  <si>
    <t>ele tb tem o tdah mais severo q um adulto poderia ter mas who cares te amo pai 🌷</t>
  </si>
  <si>
    <t>Landys Jair - Psicólogo</t>
  </si>
  <si>
    <t>seethwangel</t>
  </si>
  <si>
    <t>1745094200318685184</t>
  </si>
  <si>
    <t>͏ ͏ ͏ ͏ ͏ ͏ ͏ ͏ ͏ ͏</t>
  </si>
  <si>
    <t>1844177873755664384</t>
  </si>
  <si>
    <t>https://pbs.twimg.com/profile_images/1745094281449103360/Len2zkMK_normal.jpg</t>
  </si>
  <si>
    <t>https://pbs.twimg.com/profile_images/1993808526343352321/if7aToKn_normal.jpg</t>
  </si>
  <si>
    <t>https://pbs.twimg.com/profile_banners/1228924292567617536/1751847008</t>
  </si>
  <si>
    <t>https://pbs.twimg.com/profile_banners/1844177873755664384/1764195969</t>
  </si>
  <si>
    <t>https://pbs.twimg.com/media/FMc99ZTXEAAQTU2.jpg</t>
  </si>
  <si>
    <t>tdah,tdahadulto,neurodivergente</t>
  </si>
  <si>
    <t>1991198628560662648</t>
  </si>
  <si>
    <t>https://pbs.twimg.com/amplify_video_thumb/1965198066043990016/img/MCBru5Q9gzozZElZ.jpg</t>
  </si>
  <si>
    <t>https://x.com/talitismo/status/1991198628560662648</t>
  </si>
  <si>
    <t>1918125220608516379</t>
  </si>
  <si>
    <t>https://x.com/DNATalentqro/status/1918125220608516379</t>
  </si>
  <si>
    <t>“Ahhh, ter TDAH é massa!”
Jura mesmo?! Vamos fazer um cálculo bem por alto do custo mensal de um adulto com TDAH em tratamento ativo:
1. Plano de saúde: R$ 900 a R$ 1.300
2. Medicação: R$ 200 a R$ 700
3. Terapia particular: R$ 60 a R$ 100 (por sessão)
4. Psiquiatra particular:</t>
  </si>
  <si>
    <t>Aquí el live con Maureen Terán
TDAH adulto, trauma, autismo, altas capacidades, autoconocimiento, niñasinvisibles, psicoeducación.
https://t.co/lHKfDafcsP https://t.co/YJPjizpS98</t>
  </si>
  <si>
    <t>talitismo</t>
  </si>
  <si>
    <t>DNATalentqro</t>
  </si>
  <si>
    <t>DNA Talent / Consultoría En Desarrollo Humano</t>
  </si>
  <si>
    <t>1075200874484506624</t>
  </si>
  <si>
    <t>1107081892522807297</t>
  </si>
  <si>
    <t>https://pbs.twimg.com/profile_images/1992738473275506688/6PhQUak2_normal.jpg</t>
  </si>
  <si>
    <t>https://pbs.twimg.com/profile_images/1955868134839136258/R9xQQFNI_normal.jpg</t>
  </si>
  <si>
    <t>https://video.twimg.com/amplify_video/1965198066043990016/vid/avc1/720x1280/wPAn4df5YnMjXVmx.mp4?tag=14</t>
  </si>
  <si>
    <t>https://pbs.twimg.com/profile_banners/1107081892522807297/1758760949</t>
  </si>
  <si>
    <t>https://pbs.twimg.com/profile_banners/1075200874484506624/1757884315</t>
  </si>
  <si>
    <t>https://www.instagram.com/reel/DJIi-p0ulNt/?igsh=ZTVreDdtanBzOWox</t>
  </si>
  <si>
    <t>1991132265087111667</t>
  </si>
  <si>
    <t>1963319242989707340</t>
  </si>
  <si>
    <t>https://x.com/CranfordCa33730/status/1991132265087111667</t>
  </si>
  <si>
    <t>https://x.com/landysJairPsic/status/1963319242989707340</t>
  </si>
  <si>
    <t>Libro TDAH EN EL ADULTO Descargar PDF - Dra. Juncal Sevilla
➡ https://t.co/eVqjR7SUBA
Descargar o leer en línea TDAH EN EL ADULTO Libro gratuito (PDF ePub Mobi) de Dra. Juncal Sevilla.
TDAH EN EL ADULTO Dra. Juncal Sevilla PDF, TDAH EN EL ADULTO https://t.co/GRlY4GPWXV</t>
  </si>
  <si>
    <t>CranfordCa33730</t>
  </si>
  <si>
    <t>https://pbs.twimg.com/media/Gp6MuJ5XgAAI52N.jpg</t>
  </si>
  <si>
    <t>Carol Cranford</t>
  </si>
  <si>
    <t>1768121716574683137</t>
  </si>
  <si>
    <t>https://pbs.twimg.com/profile_images/1786334127391997952/gUl9_-Dn_normal.jpg</t>
  </si>
  <si>
    <t>Deja de compararte con la gente hiperproductiva que ves en redes, si tienes TDAH eso puede convertirse en una gran tampa. En su lugar haz esto. #tdah #tdahadulto🧠 https://t.co/jJHhjbe49u</t>
  </si>
  <si>
    <t>1971185712612475219</t>
  </si>
  <si>
    <t>https://x.com/alexandre_amato/status/1971185712612475219</t>
  </si>
  <si>
    <t>tdah,tdahadulto</t>
  </si>
  <si>
    <t>https://pbs.twimg.com/amplify_video_thumb/1963318961065373696/img/zgi5pSlYYs2ldiwn.jpg</t>
  </si>
  <si>
    <t>https://masterbooo.web.app/x/libro/128180/1418</t>
  </si>
  <si>
    <t>Descubra como a impulsividade afeta as decisões cirúrgicas no TDAH adulto e evite escolhas precipitadas. Entenda a importância do tratamento correto e saiba mais com o Dr. Alexandre Amato em nosso vídeo completo! #TDAH #Impulsividade #DecisõesCirúrgicas Continue assistindo em https://t.co/DX7DlQWrqJ</t>
  </si>
  <si>
    <t>alexandre_amato</t>
  </si>
  <si>
    <t>Alexandre Amato</t>
  </si>
  <si>
    <t>https://pbs.twimg.com/profile_images/648275514420015104/YXnvi2pP_normal.jpg</t>
  </si>
  <si>
    <t>https://video.twimg.com/amplify_video/1963318961065373696/vid/avc1/720x1280/Z5wawCvOoLIEQ-gG.mp4?tag=14</t>
  </si>
  <si>
    <t>https://pbs.twimg.com/media/G6HsJmzW4AAiJOH.jpg</t>
  </si>
  <si>
    <t>https://pbs.twimg.com/profile_banners/28673574/1486247854</t>
  </si>
  <si>
    <t>1990906236074631303</t>
  </si>
  <si>
    <t>1990743871098401114</t>
  </si>
  <si>
    <t>https://x.com/Acanoes_/status/1990906236074631303</t>
  </si>
  <si>
    <t>Upload-post</t>
  </si>
  <si>
    <t>1961643249480683708</t>
  </si>
  <si>
    <t>TDAH,Impulsividade,DecisõesCirúrgicas</t>
  </si>
  <si>
    <t>@ReinaDelVudu56 @LeonardoIslas88 Los trabajos son iguales la escuela prepara para el trabajo, listo tenés que ser un adulto funcional no hace falta que me expliques nada vivi 28 años sin saber que tenía tdah. Las familias no respetan la institución y así estamos.</t>
  </si>
  <si>
    <t>https://pbs.twimg.com/ext_tw_video_thumb/1971185681964609536/pu/img/-i7Jj1mZhwtUBGwd.jpg</t>
  </si>
  <si>
    <t>Acanoes_</t>
  </si>
  <si>
    <t>Norea del corte</t>
  </si>
  <si>
    <t>https://pbs.twimg.com/profile_images/1982949319234740224/u4B_jfDW_normal.jpg</t>
  </si>
  <si>
    <t>https://x.com/landysJairPsic/status/1961643249480683708</t>
  </si>
  <si>
    <t>https://pbs.twimg.com/profile_banners/169301427/1700645286</t>
  </si>
  <si>
    <t>En este clip, exploramos uno de los síntomas del TDAH en adultos: la dificultad para dejar atrás pensamientos negativos del pasado. ESTE CLIP ES PARTE DE LOS LIVES QUE HACEMOS TODOS LOS DIAS SOBRE TDAH ADULTO EN TIKTOK Y YOUTUBE #tdah #tdahadulto https://t.co/KRiuPE8aBU</t>
  </si>
  <si>
    <t>https://video.twimg.com/ext_tw_video/1971185681964609536/pu/vid/avc1/576x1024/E9VYXQrLHFK6WK5a.mp4?tag=12</t>
  </si>
  <si>
    <t>ReinaDelVudu56</t>
  </si>
  <si>
    <t>ReinaDelVudu56,LeonardoIslas88</t>
  </si>
  <si>
    <t>https://pbs.twimg.com/amplify_video_thumb/1961642981854793729/img/nVpBd8b2ZtQgytmx.jpg</t>
  </si>
  <si>
    <t>1990868457890472069</t>
  </si>
  <si>
    <t>https://x.com/brenroldan_09/status/1990868457890472069</t>
  </si>
  <si>
    <t>1871418908168884492</t>
  </si>
  <si>
    <t>https://x.com/ElPaido/status/1871418908168884492</t>
  </si>
  <si>
    <t>Me enamore , después de AÑOS de estar sola me enamore .. No se imaginan el miedo que me da el arriesgarme y que me vaya mal. Más que nada porque con un adulto con tdah según el "es complicado". Y si, lo noto. Pero que le voy a hacer. Lo amo !</t>
  </si>
  <si>
    <t>brenroldan_09</t>
  </si>
  <si>
    <t>Brenddddd</t>
  </si>
  <si>
    <t>1745940305461780480</t>
  </si>
  <si>
    <t>https://pbs.twimg.com/profile_images/1821310457459703808/AE_UHI0x_normal.jpg</t>
  </si>
  <si>
    <t>https://video.twimg.com/amplify_video/1961642981854793729/vid/avc1/720x1280/Y8KVumfQE_yIbvUd.mp4?tag=14</t>
  </si>
  <si>
    <t>¿Tengo TDAH? El diagnóstico en adultos y sus imitadores 
En adultos, diagnosticarlo puede ser complejo, ya que existen muchas condiciones que imitan sus síntomas. Este artículo, desde la neurología, ofrece una perspectiva que también enriquece nuestra práctica psiquiátrica. 
🧵 https://t.co/8kQJbRFxuP</t>
  </si>
  <si>
    <t>https://pbs.twimg.com/profile_banners/1745940305461780480/1717037171</t>
  </si>
  <si>
    <t>https://pbs.twimg.com/media/GfidYRCWoAATgtj.jpg</t>
  </si>
  <si>
    <t>1990863893674274858</t>
  </si>
  <si>
    <t>1961480020079017990</t>
  </si>
  <si>
    <t>https://x.com/neurocirurgiabr/status/1990863893674274858</t>
  </si>
  <si>
    <t>1970543849245229535</t>
  </si>
  <si>
    <t>1970518109930020983</t>
  </si>
  <si>
    <t>https://x.com/Arulino/status/1970543849245229535</t>
  </si>
  <si>
    <t>https://x.com/landysJairPsic/status/1961480020079017990</t>
  </si>
  <si>
    <t>HIPERATIVIDADE NO ADULTO - TDAH https://t.co/CiwYey30S2</t>
  </si>
  <si>
    <t>neurocirurgiabr</t>
  </si>
  <si>
    <t>Julio Pereira - Neurocirurgião SP</t>
  </si>
  <si>
    <t>https://pbs.twimg.com/profile_images/1663414802/logo_neurocirurgiaBR_normal.jpg</t>
  </si>
  <si>
    <t>@PropositoyVida Ese "TDAH" : Trastorno De Ano Hiperdilatado</t>
  </si>
  <si>
    <t>Arulino</t>
  </si>
  <si>
    <t>Ariel sin H</t>
  </si>
  <si>
    <t>En este clip, exploramos cómo la urgencia puede ser un motor de motivación para quienes tienen TDAH. Desde la procrastinación hasta la presión del último momento, descubre por qué a veces necesitamos esa chispa de urgencia para actuar. #TDAH #TDAHADULTO https://t.co/keJA4okIP1</t>
  </si>
  <si>
    <t>https://pbs.twimg.com/profile_images/1419011396222820355/WDxt2a2y_normal.jpg</t>
  </si>
  <si>
    <t>https://pbs.twimg.com/profile_banners/104345686/1468927919</t>
  </si>
  <si>
    <t>TDAH,TDAHADULTO</t>
  </si>
  <si>
    <t>dlvr.it</t>
  </si>
  <si>
    <t>https://pbs.twimg.com/amplify_video_thumb/1961479757796642816/img/S9cdQfQw8ERo3Afo.jpg</t>
  </si>
  <si>
    <t>https://pbs.twimg.com/profile_banners/26512000/1556851900</t>
  </si>
  <si>
    <t>https://www.youtube.com/shorts/hgXblxnvlPI?utm_source=dlvr.it&amp;utm_medium=twitter</t>
  </si>
  <si>
    <t>PropositoyVida</t>
  </si>
  <si>
    <t>https://video.twimg.com/amplify_video/1961479757796642816/vid/avc1/720x1280/NYMuteQXr9Qr3ew1.mp4?tag=14</t>
  </si>
  <si>
    <t>1986814860064379230</t>
  </si>
  <si>
    <t>https://x.com/CEPSIONLINE/status/1986814860064379230</t>
  </si>
  <si>
    <t>1990743707427979609</t>
  </si>
  <si>
    <t>https://x.com/Mundindealice/status/1990743707427979609</t>
  </si>
  <si>
    <t>Um detalhe interessante do TDAH é que, sendo adulto ou criança, precisamos de algum tipo de incentivo compensatório para alguma tarefa. Por exemplo, uma criança com TDAH vai beber bem mais água em uma garrafinha interessante do que em um copo de água sem graça.</t>
  </si>
  <si>
    <t>Mundindealice</t>
  </si>
  <si>
    <t>Hora para evaluación Neuropsicologica TDA – TDAH Adulto + Entrega de informe para Neurólog@ #EvaluacionNeuropsicologica, #CEPSI https://t.co/nSeM6i1WAM</t>
  </si>
  <si>
    <t>Mundo de Alice🏳️‍🌈</t>
  </si>
  <si>
    <t>CEPSIONLINE</t>
  </si>
  <si>
    <t>https://pbs.twimg.com/profile_images/1420049566737514497/Eg1E0dKR_normal.jpg</t>
  </si>
  <si>
    <t>CEPSI</t>
  </si>
  <si>
    <t>https://pbs.twimg.com/profile_images/1439950115528192001/kjsMeIlz_normal.jpg</t>
  </si>
  <si>
    <t>1961402797296947309</t>
  </si>
  <si>
    <t>https://x.com/landysJairPsic/status/1961402797296947309</t>
  </si>
  <si>
    <t>https://pbs.twimg.com/profile_banners/286316585/1627401263</t>
  </si>
  <si>
    <t>https://pbs.twimg.com/profile_banners/1063844564/1556543726</t>
  </si>
  <si>
    <t>Descubre cómo los pensamientos automáticos negativos pueden sabotear tu bienestar y aprende a desafiarlos con preguntas poderosas. ¡No dejes que te controlen! #tdah #tdahadulto #saludmental https://t.co/LNAgw08Z4H</t>
  </si>
  <si>
    <t>1989809047131058234</t>
  </si>
  <si>
    <t>1989738685395603974</t>
  </si>
  <si>
    <t>tdah,tdahadulto,saludmental</t>
  </si>
  <si>
    <t>https://x.com/precognitiva/status/1989809047131058234</t>
  </si>
  <si>
    <t>https://pbs.twimg.com/amplify_video_thumb/1961402535467487232/img/xm1Wpdz8FoSy8wro.jpg</t>
  </si>
  <si>
    <t>EvaluacionNeuropsicologica,CEPSI</t>
  </si>
  <si>
    <t>https://pbs.twimg.com/media/G5KVb_sXgAAFlgw.jpg</t>
  </si>
  <si>
    <t>@runistictharion nossa mas fui bem burra eu n li o um adulto ali só vi agora. eu tenho tdah 🤝🏻🤡</t>
  </si>
  <si>
    <t>precognitiva</t>
  </si>
  <si>
    <t>1366105440212443139</t>
  </si>
  <si>
    <t>https://pbs.twimg.com/profile_images/1957606594658643968/7tc2BPUf_normal.jpg</t>
  </si>
  <si>
    <t>1987159847813693569</t>
  </si>
  <si>
    <t>https://video.twimg.com/amplify_video/1961402535467487232/vid/avc1/720x1280/wzH2YVSV0Kv78x8W.mp4?tag=14</t>
  </si>
  <si>
    <t>https://x.com/T2Rafa2/status/1987159847813693569</t>
  </si>
  <si>
    <t>https://pbs.twimg.com/profile_banners/1366105440212443139/1691065686</t>
  </si>
  <si>
    <t>Desenho de adulto de vdd que é realmente engraçado: https://t.co/g1QEbidfP8</t>
  </si>
  <si>
    <t>T2Rafa2</t>
  </si>
  <si>
    <t>Roger</t>
  </si>
  <si>
    <t>758001676427075585</t>
  </si>
  <si>
    <t>https://pbs.twimg.com/profile_images/1986777156978978816/3gzM9FpY_normal.jpg</t>
  </si>
  <si>
    <t>runistictharion</t>
  </si>
  <si>
    <t>1989112889857421540</t>
  </si>
  <si>
    <t>1944307056548208661</t>
  </si>
  <si>
    <t>https://x.com/lionor_star/status/1989112889857421540</t>
  </si>
  <si>
    <t>https://x.com/TDAH_BuenosDias/status/1944307056548208661</t>
  </si>
  <si>
    <t>https://pbs.twimg.com/profile_banners/758001676427075585/1762519601</t>
  </si>
  <si>
    <t>🌞¡Buenos Días comunidad! 🌞
Seguimos avanzando juntos 👍🏼
#tdah #tdahadulto #tdahadolescentes #tdahinfantil #OrangeForADHD https://t.co/CCHEvFCB3l</t>
  </si>
  <si>
    <t>Mamaste ya descubrí porque eres así, todo encaja a que porque no te trataste el TDAH de adulto eres la persona que eres ahora y ahora no te odio 🤗</t>
  </si>
  <si>
    <t>lionor_star</t>
  </si>
  <si>
    <t>LionorStar🌻OpenCommission🌻</t>
  </si>
  <si>
    <t>1507780507878268936</t>
  </si>
  <si>
    <t>https://pbs.twimg.com/profile_images/1592253629108572164/hVixPTyW_normal.jpg</t>
  </si>
  <si>
    <t>tdah,tdahadulto,tdahadolescentes,tdahinfantil,OrangeForADHD</t>
  </si>
  <si>
    <t>https://pbs.twimg.com/amplify_video_thumb/1942264894490808320/img/ICFSk8bvYMV4iikf.jpg</t>
  </si>
  <si>
    <t>https://pbs.twimg.com/profile_banners/1507780507878268936/1656694431</t>
  </si>
  <si>
    <t>1986915843750445510</t>
  </si>
  <si>
    <t>Otakuvariante</t>
  </si>
  <si>
    <t>Na minha época os desenhos não eram assim https://t.co/EwiZsIJgfX</t>
  </si>
  <si>
    <t>https://pbs.twimg.com/amplify_video_thumb/1986749190337179648/img/P9D4-nH5JEhWwcz-.jpg</t>
  </si>
  <si>
    <t>https://video.twimg.com/amplify_video/1942264894490808320/vid/avc1/720x1280/g08KkOWnwILz_vXX.mp4?tag=14</t>
  </si>
  <si>
    <t>1989084490904592469</t>
  </si>
  <si>
    <t>1989049499373957274</t>
  </si>
  <si>
    <t>1988701802787905806</t>
  </si>
  <si>
    <t>https://x.com/luv2nini/status/1989084490904592469</t>
  </si>
  <si>
    <t>https://x.com/swiftbyheart/status/1988701802787905806</t>
  </si>
  <si>
    <t>@Matheus46410335 @npomvtt lá é bem dificil conseguir diagnóstico. no geral, até aqui isso é algo recente. antes era algo muito padronizado a crianças não verbais. lá na coreia isso ainda é assim, até mesmo o tdah, isso está mudando agora. tanto que quando foi o jungkook ele usou o termo "tdah adulto"</t>
  </si>
  <si>
    <t>luv2nini</t>
  </si>
  <si>
    <t>𝖙𝖔𝖗𝖎 ⛓️</t>
  </si>
  <si>
    <t>1644967863441129472</t>
  </si>
  <si>
    <t>https://pbs.twimg.com/profile_images/1935696054353108992/OQhIB8vP_normal.jpg</t>
  </si>
  <si>
    <t>quando eu era criança todo mundo me dizia que o tdah adulto seria mais fácil de lidar mas agora eu sou adulta e é uma FODA de lidar</t>
  </si>
  <si>
    <t>swiftbyheart</t>
  </si>
  <si>
    <t>rachel maría</t>
  </si>
  <si>
    <t>1071534338280435713</t>
  </si>
  <si>
    <t>https://pbs.twimg.com/profile_images/1949534018938036224/xA87x9Xs_normal.jpg</t>
  </si>
  <si>
    <t>1939945818557227132</t>
  </si>
  <si>
    <t>https://x.com/TDAH_BuenosDias/status/1939945818557227132</t>
  </si>
  <si>
    <t>https://pbs.twimg.com/profile_banners/1644967863441129472/1750355026</t>
  </si>
  <si>
    <t>https://pbs.twimg.com/profile_banners/1071534338280435713/1753640116</t>
  </si>
  <si>
    <t>Sí todavía no lo has escuchado, aún estás a tiempo, de escuchar uno de nuestros episodios más populares 🎙️
✅Tan solo copia esta URL en tu navegador:
https://t.co/KswIDJQwf7
#tdahadulto https://t.co/TU94rnv2Vi</t>
  </si>
  <si>
    <t>Matheus46410335</t>
  </si>
  <si>
    <t>Matheus46410335,npomvtt</t>
  </si>
  <si>
    <t>1988750705360851300</t>
  </si>
  <si>
    <t>1988710842763018507</t>
  </si>
  <si>
    <t>https://x.com/ionlylovemyjuli/status/1988750705360851300</t>
  </si>
  <si>
    <t>tdahadulto</t>
  </si>
  <si>
    <t>https://go.ivoox.com/rf/133566312</t>
  </si>
  <si>
    <t>@dream_kel Super offtopic pero meda la impresion que tu sabes, que profesional es el que evalua  tdah en adulto?</t>
  </si>
  <si>
    <t>ionlylovemyjuli</t>
  </si>
  <si>
    <t>Julieta</t>
  </si>
  <si>
    <t>https://pbs.twimg.com/profile_images/1692443415420497920/BJOTxUeH_normal.jpg</t>
  </si>
  <si>
    <t>1961463503350272182</t>
  </si>
  <si>
    <t>https://x.com/thvselfs/status/1961463503350272182</t>
  </si>
  <si>
    <t>https://pbs.twimg.com/amplify_video_thumb/1939760661354987520/img/xM06VfIRN8By7fIk.jpg</t>
  </si>
  <si>
    <t>https://pbs.twimg.com/profile_banners/166666615/1718764372</t>
  </si>
  <si>
    <t>👤 não se mova quando estiver sentado
🐰 eu continuo me movendo?
🐰 mas, não consigo evitar. eu meio que...
🐰 é como TDAH adulto
🐰 eu tenho. eu continuo me movendo assim.
agora parem de fazer comentários sem noção sobre ele
 https://t.co/ZwyOxONMyi</t>
  </si>
  <si>
    <t>thvselfs</t>
  </si>
  <si>
    <t>anaju ⓥ</t>
  </si>
  <si>
    <t>1716547017978363905</t>
  </si>
  <si>
    <t>https://pbs.twimg.com/profile_images/1988284143810052096/qmpBd5h4_normal.jpg</t>
  </si>
  <si>
    <t>dream_kel</t>
  </si>
  <si>
    <t>https://video.twimg.com/amplify_video/1939760661354987520/vid/avc1/720x1280/7LMMKU6nRN_n1Shn.mp4?tag=14</t>
  </si>
  <si>
    <t>1988716398479024471</t>
  </si>
  <si>
    <t>1988485114326614033</t>
  </si>
  <si>
    <t>https://x.com/AndoEnChisme/status/1988716398479024471</t>
  </si>
  <si>
    <t>https://pbs.twimg.com/profile_banners/1716547017978363905/1762878840</t>
  </si>
  <si>
    <t>@beatrizgonz98 @SoleSurvivoor No justifiques su ineptitud con tdah que sus fans piensan que tiene pero ninguna confirma que lo padezca, además, TIENE COMO 40 AÑOS, no es un niño, por qué los demás tienen que decirle que no están bien lavados los trastes cuando uno como adulto debería saber que no lo estaban?</t>
  </si>
  <si>
    <t>AndoEnChisme</t>
  </si>
  <si>
    <t>Nomas Mirando ✨🌙🔮</t>
  </si>
  <si>
    <t>1930815553582870529</t>
  </si>
  <si>
    <t>https://pbs.twimg.com/profile_images/1965676949054918656/64xKSp6-_normal.jpg</t>
  </si>
  <si>
    <t>1936922150654619860</t>
  </si>
  <si>
    <t>https://pbs.twimg.com/profile_banners/1930815553582870529/1757488891</t>
  </si>
  <si>
    <t>https://x.com/TvAztecaLaguna/status/1936922150654619860</t>
  </si>
  <si>
    <t>beatrizgonz98</t>
  </si>
  <si>
    <t>https://pbs.twimg.com/amplify_video_thumb/1961440142922493952/img/n3D8aZI7fSTYOyin.jpg</t>
  </si>
  <si>
    <t>beatrizgonz98,SoleSurvivoor</t>
  </si>
  <si>
    <t>🧠📱 ¿El TDAH está de moda? Adultos sin diagnóstico formal se identifican con síntomas tras ver contenido en redes sociales.
#TDAH #SaludMental #TDAHAdulto #RedesSociales https://t.co/ibHMAcpBHa</t>
  </si>
  <si>
    <t>1988705051591033046</t>
  </si>
  <si>
    <t>TvAztecaLaguna</t>
  </si>
  <si>
    <t>Tv Azteca Laguna</t>
  </si>
  <si>
    <t>https://x.com/cielorvr/status/1988705051591033046</t>
  </si>
  <si>
    <t>https://pbs.twimg.com/profile_images/1894024573726650368/cIE4qxUn_normal.jpg</t>
  </si>
  <si>
    <t>qué creen que necesito para saber si tengo TDAH un diagnóstico profesional de alguien especializado o que mi roomie me mande reels con tips para ser un adulto funcional teniendo TDAH</t>
  </si>
  <si>
    <t>cielorvr</t>
  </si>
  <si>
    <t>cielo</t>
  </si>
  <si>
    <t>1018296742595448832</t>
  </si>
  <si>
    <t>https://pbs.twimg.com/profile_images/1774640336301654016/C6z8O5Cp_normal.jpg</t>
  </si>
  <si>
    <t>https://pbs.twimg.com/profile_banners/465180497/1740405619</t>
  </si>
  <si>
    <t>https://video.twimg.com/amplify_video/1961440142922493952/vid/avc1/2880x2160/94b7WGhRWWw79rbv.mp4?tag=21</t>
  </si>
  <si>
    <t>Emplifi</t>
  </si>
  <si>
    <t>https://pbs.twimg.com/profile_banners/1018296742595448832/1711942427</t>
  </si>
  <si>
    <t>TDAH,SaludMental,TDAHAdulto,RedesSociales</t>
  </si>
  <si>
    <t>https://www.aztecalaguna.com/noticias/videos/tdah-que-es-y-por-que-es-un-tema-en-tendencia</t>
  </si>
  <si>
    <t>1869165778072904012</t>
  </si>
  <si>
    <t>https://x.com/DNATalentqro/status/1869165778072904012</t>
  </si>
  <si>
    <t>Desde Barcelona una charla con un gran ser humano, investigador, amigo y médico, de los que más ha hecho por el TDAH en habla hispana Dr. Joseph Antony Ramos Quiroga 
TDAH en el adulto video completo aquí en mi canal de YouTube https://t.co/l5KJXpK5Id #adicciones #genética https://t.co/PmsqKOQfrV</t>
  </si>
  <si>
    <t>1936896988295164328</t>
  </si>
  <si>
    <t>https://x.com/TvAztecaLaguna/status/1936896988295164328</t>
  </si>
  <si>
    <t>adicciones,genética</t>
  </si>
  <si>
    <t>https://youtu.be/jrtNJ3V8FAw?si=X_ooUv99WUARGMNZ</t>
  </si>
  <si>
    <t>📱🧠 En los últimos años, el TDAH se ha vuelto tema recurrente en redes sociales. Cada vez más personas adultas se identifican con los síntomas, generando debate sobre si el trastorno “está de moda” o simplemente se está visibilizando más.
#TDAH #SaludMental #TDAHAdulto https://t.co/tcHFFbRCJY</t>
  </si>
  <si>
    <t>https://pbs.twimg.com/ext_tw_video_thumb/1869165451881639936/pu/img/0YqmBtQm1fx-HAd8.jpg</t>
  </si>
  <si>
    <t>TDAH,SaludMental,TDAHAdulto</t>
  </si>
  <si>
    <t>https://pbs.twimg.com/media/GuE9i7Da8AE8Fek.jpg</t>
  </si>
  <si>
    <t>https://video.twimg.com/ext_tw_video/1869165451881639936/pu/vid/avc1/720x1280/nlEZ4SEVz9FmGkFY.mp4?tag=12</t>
  </si>
  <si>
    <t>1988671662636810656</t>
  </si>
  <si>
    <t>1987666032291651737</t>
  </si>
  <si>
    <t>1930307799717666955</t>
  </si>
  <si>
    <t>https://x.com/cesarfontanapsi/status/1988671662636810656</t>
  </si>
  <si>
    <t>https://x.com/mariacedav/status/1930307799717666955</t>
  </si>
  <si>
    <t>1982711545936347332</t>
  </si>
  <si>
    <t>https://x.com/unmetilfenidato/status/1982711545936347332</t>
  </si>
  <si>
    <t>@amobucetagorda Se curtiram a explicação, segue ai, sou psicólogo (CRP: 06/135135), faço atendimentos psicoterapeuticos para o público adulto e atendo demandas como ansiedade, TDAH, autoconhecimento. Que falam sobre o ciclo do sono 😉 https://t.co/ufadxvMTRL</t>
  </si>
  <si>
    <t>cesarfontanapsi</t>
  </si>
  <si>
    <t>Psi Cesar Fontana</t>
  </si>
  <si>
    <t>1325904158914908161</t>
  </si>
  <si>
    <t>A la próxima persona que me diga que tengo que practicar Mindfulness... no respondo.
#TDAH #TDAHadulto #Mindfulness</t>
  </si>
  <si>
    <t>https://pbs.twimg.com/profile_images/1927719517142052864/4S26noEH_normal.jpg</t>
  </si>
  <si>
    <t>mariacedav</t>
  </si>
  <si>
    <t>MariaCé</t>
  </si>
  <si>
    <t>https://pbs.twimg.com/profile_images/1808984803271688192/62kG4FMX_normal.jpg</t>
  </si>
  <si>
    <t>Nadie habla de lo difícil que es la vida académica de adulto cuando nunca te trataron el TDAH de niño. 😔</t>
  </si>
  <si>
    <t>unmetilfenidato</t>
  </si>
  <si>
    <t>Ritalín</t>
  </si>
  <si>
    <t>https://pbs.twimg.com/profile_images/1926210065792438272/HVHvuUUW_normal.jpg</t>
  </si>
  <si>
    <t>https://pbs.twimg.com/profile_banners/1325904158914908161/1748439374</t>
  </si>
  <si>
    <t>https://pbs.twimg.com/profile_banners/333054975/1721085952</t>
  </si>
  <si>
    <t>https://pbs.twimg.com/profile_banners/64585862/1704847794</t>
  </si>
  <si>
    <t>https://pbs.twimg.com/media/G5kuVn3WcAAatgj.jpg</t>
  </si>
  <si>
    <t>1763236557199122746</t>
  </si>
  <si>
    <t>Meditar con TDAH adulto es todo un tema 😅 te ha pasado?
#tdah #tdahadulto #tdahemprendedores #tdahdescomplicado #deficitdeatencion https://t.co/iORVgs8eJB</t>
  </si>
  <si>
    <t>https://pbs.twimg.com/amplify_video_thumb/1763236323505086464/img/FMg0p935qvHEQKfh.jpg</t>
  </si>
  <si>
    <t>1544495482579427328</t>
  </si>
  <si>
    <t>https://x.com/ecalixto/status/1544495482579427328</t>
  </si>
  <si>
    <t>amobucetagorda</t>
  </si>
  <si>
    <t>1988377745781649650</t>
  </si>
  <si>
    <t>https://x.com/jdiaz_psy/status/1988377745781649650</t>
  </si>
  <si>
    <t>ADULTO con Trastorno De Atención e Hiperactividad (TDAH): 
Impulsivo
NO se concentra
problemas personales y laborales
depresivo y en ocasiones 
con ansiedad. 
4.5% DE LOS ADULTOS LO PADECE. 
Shamholz &amp;amp; Sobanski. 2011  PiD. 12(3) 193-198. 
#NeuroTuit https://t.co/aOPFrHKS6W</t>
  </si>
  <si>
    <t>ecalixto</t>
  </si>
  <si>
    <t>Eduardo Calixto</t>
  </si>
  <si>
    <t>TDAH,TDAHadulto,Mindfulness</t>
  </si>
  <si>
    <t>https://pbs.twimg.com/profile_images/1882110281423233024/zG785T0J_normal.jpg</t>
  </si>
  <si>
    <t>1928127540419264596</t>
  </si>
  <si>
    <t>https://x.com/fosorioescritor/status/1928127540419264596</t>
  </si>
  <si>
    <t>Antes de diagnosticar TDAH adulto, conviene pararse a pensar...👇
https://t.co/Ma7LDNo7WY</t>
  </si>
  <si>
    <t>jdiaz_psy</t>
  </si>
  <si>
    <t>Javier Díaz</t>
  </si>
  <si>
    <t>1703641082087591936</t>
  </si>
  <si>
    <t>https://pbs.twimg.com/profile_images/1917255962433396736/kVSO_7s-_normal.jpg</t>
  </si>
  <si>
    <t>https://pbs.twimg.com/profile_banners/56708199/1626461314</t>
  </si>
  <si>
    <t>COPIAR ENLACE:
https://t.co/c3bt6IrO7r
VIVO INSTAGRAM 30/05 - 19 h
#ANSIEDAD #tdahadulto #tdahinfantil #infancia #Docentes #neurociencia #padres #adolescentes #Neurodiversidad #psicologia #psicopedagogiaclinica #meditacion #mindfulness #Autismo #desatención #dispersion https://t.co/Njkxb6GgY8</t>
  </si>
  <si>
    <t>fosorioescritor</t>
  </si>
  <si>
    <t>BUSCADOR</t>
  </si>
  <si>
    <t>https://pbs.twimg.com/profile_images/1587146243175751686/IZsvaxA6_normal.jpg</t>
  </si>
  <si>
    <t>https://pbs.twimg.com/profile_banners/1703641082087591936/1745943533</t>
  </si>
  <si>
    <t>NeuroTuit</t>
  </si>
  <si>
    <t>https://pbs.twimg.com/media/FW8mclSXoAI7jBx.png</t>
  </si>
  <si>
    <t>https://nexoculto.com/%f0%9f%a7%a0-reflexion-critica-sobre-el-tdah-en-adultos/</t>
  </si>
  <si>
    <t>ANSIEDAD,tdahadulto,tdahinfantil,infancia,Docentes,neurociencia,padres,adolescentes,Neurodiversidad,psicologia,psicopedagogiaclinica,meditacion,mindfulness,Autismo,desatención,dispersion</t>
  </si>
  <si>
    <t>https://www.instagram.com/reel/DKPlFw0xZH7/?igsh=dGg2YWp4YXJkcTVj</t>
  </si>
  <si>
    <t>1961471025662607728</t>
  </si>
  <si>
    <t>https://x.com/jjkclean/status/1961471025662607728</t>
  </si>
  <si>
    <t>1988205407278698602</t>
  </si>
  <si>
    <t>1988181930656047289</t>
  </si>
  <si>
    <t>https://x.com/thotrrente/status/1988205407278698602</t>
  </si>
  <si>
    <t>👎 “não se mova quando estiver sentado”
🐰 Eu continuo me movendo?
🐰 mas, não consigo evitar. Eu meio que...
🐰 é como TDAH adulto
🐰 Eu tenho. Eu continuo me movendo assim.
 https://t.co/fKiNmLGjuC</t>
  </si>
  <si>
    <t>jjkclean</t>
  </si>
  <si>
    <t>ℳ𝑖𝑛⁷</t>
  </si>
  <si>
    <t>1232831855038214149</t>
  </si>
  <si>
    <t>https://pbs.twimg.com/profile_images/1964141030556532736/rFL28oIz_normal.jpg</t>
  </si>
  <si>
    <t>https://pbs.twimg.com/media/GsIVx5_W8AEHYLK.jpg</t>
  </si>
  <si>
    <t>@aycarallo Es un caso muy común el doble diagnóstico, de AACC y TEA, la cosa esk hay una línea muy fina entre cierto tipo de TDAH y algunos niveles bajos de TEA. De hecho cuando eres adulto el TDAH puede derivar en TEA etc...
Pero vaya que ser AACC no dice nada, lo cosa es como</t>
  </si>
  <si>
    <t>thotrrente</t>
  </si>
  <si>
    <t>pelaio</t>
  </si>
  <si>
    <t>1251470930582347776</t>
  </si>
  <si>
    <t>https://pbs.twimg.com/profile_images/1928151717985554432/WW5rzUxb_normal.jpg</t>
  </si>
  <si>
    <t>https://pbs.twimg.com/profile_banners/1251470930582347776/1757894583</t>
  </si>
  <si>
    <t>https://pbs.twimg.com/profile_banners/1232831855038214149/1757122807</t>
  </si>
  <si>
    <t>1921301879394279546</t>
  </si>
  <si>
    <t>https://x.com/tdahworld/status/1921301879394279546</t>
  </si>
  <si>
    <t>aycarallo</t>
  </si>
  <si>
    <t>1987857473886109833</t>
  </si>
  <si>
    <t>1987511549850693741</t>
  </si>
  <si>
    <t>Sempre se sentiu “diferente”, com dificuldades para manter o foco ou seguir rotinas? Não adie mais. Faça o teste! #Foco #TDAHAdulto #SaúdeMental #DiagnósticoPrecoce #tdahworld
https://t.co/8A0vc01N2P</t>
  </si>
  <si>
    <t>tdahworld</t>
  </si>
  <si>
    <t>https://x.com/neurorebelde/status/1987857473886109833</t>
  </si>
  <si>
    <t>TDAH WORLD</t>
  </si>
  <si>
    <t>1965784613118456094</t>
  </si>
  <si>
    <t>1576614038204825601</t>
  </si>
  <si>
    <t>https://pbs.twimg.com/profile_images/1576614117342953472/IvYN8QgA_normal.png</t>
  </si>
  <si>
    <t>https://x.com/tutukcal/status/1965784613118456094</t>
  </si>
  <si>
    <t>@maruxinhapouso @RichardDawkins Pasa hasta en las mejores familias. Hay muchos DOCTORES en psiquiatría que niegan la existencia del TDAH adulto (como si la evidencia fuera opcional)</t>
  </si>
  <si>
    <t>neurorebelde</t>
  </si>
  <si>
    <t>Jose E. Sánchez Tato 🏳️‍🌈</t>
  </si>
  <si>
    <t>1050813805276659712</t>
  </si>
  <si>
    <t>https://pbs.twimg.com/profile_images/1463423643095031814/en_jwgIz_normal.jpg</t>
  </si>
  <si>
    <t>Imagina quando descobrir que, muito adulto com t.a piora pq não é mais tão jovem, e fica passando fome pra se sentir frágil, pequeno e inocente, tentando voltar a ser mais parecido com a sua versão criança, por sentir que perdeu a infância por alguma questão (até o t.a)♥️ https://t.co/FBW371g4UF</t>
  </si>
  <si>
    <t>tutukcal</t>
  </si>
  <si>
    <t>𓂃 ࣪˖ ִֶָ𐀔 tu𝘤𝘢</t>
  </si>
  <si>
    <t>1645797182384275458</t>
  </si>
  <si>
    <t>https://pbs.twimg.com/profile_images/1973804526659350528/XrLN7Ivp_normal.jpg</t>
  </si>
  <si>
    <t>https://pbs.twimg.com/profile_banners/1576614038204825601/1664812670</t>
  </si>
  <si>
    <t>https://pbs.twimg.com/profile_banners/1050813805276659712/1657736082</t>
  </si>
  <si>
    <t>https://pbs.twimg.com/profile_banners/1645797182384275458/1759426656</t>
  </si>
  <si>
    <t>Twitter for iPad</t>
  </si>
  <si>
    <t>Foco,TDAHAdulto,SaúdeMental,DiagnósticoPrecoce,tdahworld</t>
  </si>
  <si>
    <t>https://tdah.world/tdah-casamento-crencas-papeis-de-genero-pioram-ajudam/</t>
  </si>
  <si>
    <t>maruxinhapouso,RichardDawkins</t>
  </si>
  <si>
    <t>1987526147651907738</t>
  </si>
  <si>
    <t>1987482186610552971</t>
  </si>
  <si>
    <t>https://x.com/MMALICK9/status/1987526147651907738</t>
  </si>
  <si>
    <t>1965222391115907206</t>
  </si>
  <si>
    <t>sasaporretuda</t>
  </si>
  <si>
    <t>acho tao assustador ver gente 27+ no ed pq como assim tudo nao acaba depois q vc termina a escola rs</t>
  </si>
  <si>
    <t>https://pbs.twimg.com/media/G0fer41XAAAzjpO.jpg</t>
  </si>
  <si>
    <t>@pimentatf @glauber_doc Po,eu só fui descobrir adulto pq minha ex me encheu o saco pra ir em médico.  Fui em vários,tive diagnóstico de tudo. Ai fui em um que me deu o diagnóstico de Tdah. So que nao tomo remédio todo dia mas vou perguntar pro médico se pode mudar isso</t>
  </si>
  <si>
    <t>MMALICK9</t>
  </si>
  <si>
    <t>Jaku o Tirano</t>
  </si>
  <si>
    <t>1916631409596272655</t>
  </si>
  <si>
    <t>1382429041517547520</t>
  </si>
  <si>
    <t>1916631407033458789</t>
  </si>
  <si>
    <t>https://pbs.twimg.com/profile_images/1974835428449513472/dPrcxhPg_normal.jpg</t>
  </si>
  <si>
    <t>https://x.com/tdahworld/status/1916631409596272655</t>
  </si>
  <si>
    <t>1561077345326223360</t>
  </si>
  <si>
    <t>https://x.com/ccadhd/status/1561077345326223360</t>
  </si>
  <si>
    <t>Leia a análise completa! #TDAHAdulto #TratamentoTDAH https://t.co/LHmLXXplct</t>
  </si>
  <si>
    <t>𖠗 🍓 ꞋꞌꞋ ¿Qué pasa si no tratas tu tdah? Hilo informativo 🎀 𓄹 . ִ ֗
By: 🦕 https://t.co/RMJYBitjxO</t>
  </si>
  <si>
    <t>ccadhd</t>
  </si>
  <si>
    <t>cctdah ʚ♡ɞ</t>
  </si>
  <si>
    <t>1551734228559155200</t>
  </si>
  <si>
    <t>https://pbs.twimg.com/profile_images/1564031798811566081/QtVQg-l__normal.jpg</t>
  </si>
  <si>
    <t>pimentatf</t>
  </si>
  <si>
    <t>pimentatf,glauber_doc</t>
  </si>
  <si>
    <t>1987260237531828472</t>
  </si>
  <si>
    <t>TDAHAdulto,TratamentoTDAH</t>
  </si>
  <si>
    <t>https://tdah.world/ciume-e-ansiedade-no-tdah-augusto-cury-desvenda/</t>
  </si>
  <si>
    <t>https://x.com/oconellfavz/status/1987260237531828472</t>
  </si>
  <si>
    <t>https://pbs.twimg.com/profile_banners/1551734228559155200/1661729037</t>
  </si>
  <si>
    <t>vida toda fui taxada de preguiçosa. conclusao: era tdah e autismo 
consequencia: criança com depressão e adulto infuncional</t>
  </si>
  <si>
    <t>oconellfavz</t>
  </si>
  <si>
    <t>gigi ☆</t>
  </si>
  <si>
    <t>1707413834804203520</t>
  </si>
  <si>
    <t>https://pbs.twimg.com/profile_images/1990828153170714625/AwVy_do7_normal.jpg</t>
  </si>
  <si>
    <t>1910046610190479686</t>
  </si>
  <si>
    <t>https://pbs.twimg.com/media/FaoPkbQWIAMvnmx.jpg,https://pbs.twimg.com/media/FaoPkplWYAEEeO9.jpg</t>
  </si>
  <si>
    <t>https://x.com/AdenPsicologia/status/1910046610190479686</t>
  </si>
  <si>
    <t>https://pbs.twimg.com/profile_banners/1707413834804203520/1763485405</t>
  </si>
  <si>
    <t>🔷Ser adulto ya es complicado y con TDAH las responsabilidades son más abrumadoras
Desorganización, Procrastinación, Impulsividad, Dificultad para decidir, Hiperfocalización y Cambios emocionales
Lee más: https://t.co/mFqe7mvHj5
#tdahadulto #emociones #psicoterapia #psicología https://t.co/ZS43H6N1jP</t>
  </si>
  <si>
    <t>AdenPsicologia</t>
  </si>
  <si>
    <t>Aden Psicología</t>
  </si>
  <si>
    <t>1194295498011754496</t>
  </si>
  <si>
    <t>https://pbs.twimg.com/profile_images/1576888715967856641/ZzsTUQPk_normal.jpg</t>
  </si>
  <si>
    <t>1894043057923756347</t>
  </si>
  <si>
    <t>1986958734682181838</t>
  </si>
  <si>
    <t>999bastet</t>
  </si>
  <si>
    <t>a depressao é silenciosa até em crianças, mas vão ver isso aq como preguiça. vcs perderam a humanidade tem MUITO tempo.</t>
  </si>
  <si>
    <t>https://x.com/profgontijo/status/1894043057923756347</t>
  </si>
  <si>
    <t>https://pbs.twimg.com/profile_banners/1194295498011754496/1655289726</t>
  </si>
  <si>
    <t>Vai ficar de fora? 
Começará amanhã o clube do livro referente ao clássico “Vencendo o TDAH adulto” (Barkley &amp;amp; Benton).
Abordaremos temas como:
• Organização de finanças;
• Desempenho no trabalho e nos estudos;
• Melhoria em relacionamentos; e
• Desenvolvimento de hábitos https://t.co/qVDrsL7VA9</t>
  </si>
  <si>
    <t>profgontijo</t>
  </si>
  <si>
    <t>Daniel Gontijo</t>
  </si>
  <si>
    <t>1080183192924098560</t>
  </si>
  <si>
    <t>https://pbs.twimg.com/profile_images/1820234391316045824/HHZutUmg_normal.jpg</t>
  </si>
  <si>
    <t>tdahadulto,emociones,psicoterapia,psicología</t>
  </si>
  <si>
    <t>https://pbs.twimg.com/profile_banners/1080183192924098560/1552396481</t>
  </si>
  <si>
    <t>https://psicologiaymente.com/clinica/desafios-del-tdah-en-adultos-estrategias-psicologicas-para-afrontarlo</t>
  </si>
  <si>
    <t>https://pbs.twimg.com/media/Gkj-AGRXAAAa_sD.jpg</t>
  </si>
  <si>
    <t>https://pbs.twimg.com/media/GoHY0NcXYAAVK2i.jpg</t>
  </si>
  <si>
    <t>1447513143798861825</t>
  </si>
  <si>
    <t>1986806233287004250</t>
  </si>
  <si>
    <t>https://x.com/_danieladelrioo/status/1447513143798861825</t>
  </si>
  <si>
    <t>https://x.com/TomasDoreste/status/1986806233287004250</t>
  </si>
  <si>
    <t>Edad real :17 
Edad de mis rodillas y espalda: 87</t>
  </si>
  <si>
    <t>_danieladelrioo</t>
  </si>
  <si>
    <t>TDAH hoe</t>
  </si>
  <si>
    <t>@albaclaraT 
El TDAH no diagnosticado del adulto, especialmente el de la mujer, es un cuarto oscuro de la psiquiatría.</t>
  </si>
  <si>
    <t>1151665264662056961</t>
  </si>
  <si>
    <t>TomasDoreste</t>
  </si>
  <si>
    <t>Tomás Doreste Martín</t>
  </si>
  <si>
    <t>934390216391122944</t>
  </si>
  <si>
    <t>https://pbs.twimg.com/profile_images/1413770916681633793/6ARpN5Tx_normal.jpg</t>
  </si>
  <si>
    <t>1904293091093188708</t>
  </si>
  <si>
    <t>https://pbs.twimg.com/profile_images/1724885113152909312/GT4AFDV9_normal.jpg</t>
  </si>
  <si>
    <t>https://x.com/jenniferjiseth/status/1904293091093188708</t>
  </si>
  <si>
    <t>https://pbs.twimg.com/profile_banners/934390216391122944/1615459624</t>
  </si>
  <si>
    <t>https://pbs.twimg.com/profile_banners/1151665264662056961/1647020571</t>
  </si>
  <si>
    <t>#psicologia #tdah #tdahadulto #hiperactividad #deficitdeatencion #estigmasocial
https://t.co/luC4pkmbGQ</t>
  </si>
  <si>
    <t>jenniferjiseth</t>
  </si>
  <si>
    <t>Psicojennys</t>
  </si>
  <si>
    <t>https://pbs.twimg.com/profile_images/1617913720612573184/_SVIoUCj_normal.jpg</t>
  </si>
  <si>
    <t>albaclaraT</t>
  </si>
  <si>
    <t>1893408039316660594</t>
  </si>
  <si>
    <t>1986787390942285988</t>
  </si>
  <si>
    <t>1986549282367750563</t>
  </si>
  <si>
    <t>https://x.com/javiurtasun/status/1893408039316660594</t>
  </si>
  <si>
    <t>https://x.com/and_julianas/status/1986787390942285988</t>
  </si>
  <si>
    <t>https://pbs.twimg.com/profile_banners/210721927/1730325828</t>
  </si>
  <si>
    <t>Estan anunciando medicamentos para el TDAH adulto en informe semanal ahira mismo 22 de febrero de 2025. Ya se sabe que esas medicinas son dañinas. Vergüenza de rtve. Es un coladero de publireportajes para farmacéuticas y un cortijo para periodistas y politicos https://t.co/sFWBwZS74x</t>
  </si>
  <si>
    <t>javiurtasun</t>
  </si>
  <si>
    <t>Javier Urtasun</t>
  </si>
  <si>
    <t>967840880509014018</t>
  </si>
  <si>
    <t>https://pbs.twimg.com/profile_images/1632363605789212674/x7_wQvwO_normal.jpg</t>
  </si>
  <si>
    <t>@madeinbajor marido tá fazendo contigo. E outra coisa ter TDAH não faz ninguém ter o cy sujo não, hein? Surpresa fiquei a saber que você se propôs a ensinar um homem adulto a se limpar e achou massa a ideia de casar com ele.</t>
  </si>
  <si>
    <t>and_julianas</t>
  </si>
  <si>
    <t>🏳️‍🌈⃤</t>
  </si>
  <si>
    <t>1132418770696396801</t>
  </si>
  <si>
    <t>https://pbs.twimg.com/profile_images/1416916148654858240/xFr4xLrK_normal.jpg</t>
  </si>
  <si>
    <t>qme</t>
  </si>
  <si>
    <t>https://pbs.twimg.com/profile_banners/967840880509014018/1678026755</t>
  </si>
  <si>
    <t>https://pbs.twimg.com/profile_banners/1132418770696396801/1701787577</t>
  </si>
  <si>
    <t>psicologia,tdah,tdahadulto,hiperactividad,deficitdeatencion,estigmasocial</t>
  </si>
  <si>
    <t>https://www.instagram.com/reel/DHmOr_ouUoq/?igsh=MWxoNzhkenVyc2FpYg==</t>
  </si>
  <si>
    <t>Buffer</t>
  </si>
  <si>
    <t>https://pbs.twimg.com/ext_tw_video_thumb/1893407986854281216/pu/img/VO_Td3HCJl_cJKy2.jpg</t>
  </si>
  <si>
    <t>madeinbajor</t>
  </si>
  <si>
    <t>1986787112167817369</t>
  </si>
  <si>
    <t>1900317401549353215</t>
  </si>
  <si>
    <t>https://x.com/and_julianas/status/1986787112167817369</t>
  </si>
  <si>
    <t>https://x.com/soyblancamery/status/1900317401549353215</t>
  </si>
  <si>
    <t>https://video.twimg.com/ext_tw_video/1893407986854281216/pu/vid/avc1/1280x720/k3I6KMU8xToDr5ct.mp4?tag=12</t>
  </si>
  <si>
    <t>@madeinbajor Mulher, meu filho de 15 aos com TDAH laudado a dois, tem as tarefas dele e concretiza, algumas passa mais de duas horas para fazer, se distraindo? Passa, mas faz. Sabe pq? Pq ele precisa ser um adulto funcional, para não fazer de outra mulher uma cuidadora, que nem teu (...)</t>
  </si>
  <si>
    <t>Echa un vistazo al último artículo de mi newsletter: «Tu cerebro está diseñado para distraerse… pero puedes entrenarlo para enfocarse como un láser» https://t.co/d9acXVu2DO 
#productividad #tdahadulto</t>
  </si>
  <si>
    <t>soyblancamery</t>
  </si>
  <si>
    <t>Blanca Mery Sanchez</t>
  </si>
  <si>
    <t>https://pbs.twimg.com/profile_images/1787856212228255746/mo4e7JLC_normal.jpg</t>
  </si>
  <si>
    <t>1986522768242811124</t>
  </si>
  <si>
    <t>1986431549827617144</t>
  </si>
  <si>
    <t>https://x.com/dellullq/status/1986522768242811124</t>
  </si>
  <si>
    <t>1976696182341878249</t>
  </si>
  <si>
    <t>https://x.com/crepch/status/1976696182341878249</t>
  </si>
  <si>
    <t>@senshi_real @shitpostverdade Meu irmão tem uma mutação genética q causa autismo, tdah e atraso cognitivo. Se não for por mim, não tem garantia q ele vá ser um adulto funcional, e eu super entendo o medo desses casos, mas meu irmão é um caso isolado, e precisam entender q nem todo autista é disfuncional https://t.co/BxGSJ4K3fx</t>
  </si>
  <si>
    <t>dellullq</t>
  </si>
  <si>
    <t>Lau</t>
  </si>
  <si>
    <t>1910827190410743808</t>
  </si>
  <si>
    <t>https://pbs.twimg.com/profile_images/1994483494890749952/HDbUZc2c_normal.jpg</t>
  </si>
  <si>
    <t>Día Mundial de la Salud Mental. 
📱Citas 55 19 15 30 15
#terapiamultisensorialsimbólica #terapia #terapialenguaje
#autismo #depresión #ansiedades #tdah #conducta #adulto #adolescentes #problemasdelenguaje #psicologia #saludmental #terapiapsicologica #psicólogoenlínea #tdaa #cdmx https://t.co/OlD4FswnC4</t>
  </si>
  <si>
    <t>https://pbs.twimg.com/profile_banners/747200574/1715093113</t>
  </si>
  <si>
    <t>terapiamultisensorialsimbólica,terapia,terapialenguaje,autismo,depresión,ansiedades,tdah,conducta,adulto,adolescentes,problemasdelenguaje,psicologia,saludmental,terapiapsicologica,psicólogoenlínea,tdaa,cdmx</t>
  </si>
  <si>
    <t>https://pbs.twimg.com/media/G26is2rWUAAns24.jpg</t>
  </si>
  <si>
    <t>https://pbs.twimg.com/profile_banners/1910827190410743808/1764527080</t>
  </si>
  <si>
    <t>1943399156560609541</t>
  </si>
  <si>
    <t>https://x.com/MauricioLeija/status/1943399156560609541</t>
  </si>
  <si>
    <t>productividad,tdahadulto</t>
  </si>
  <si>
    <t>https://www.linkedin.com/pulse/tu-cerebro-est%25C3%25A1-dise%25C3%25B1ado-para-distraerse-pero-puedes-como-s%25C3%25A1nchez-a3qhf</t>
  </si>
  <si>
    <t>senshi_real</t>
  </si>
  <si>
    <t>https://pbs.twimg.com/media/G5GL7i1WcAAvqAG.jpg</t>
  </si>
  <si>
    <t>¿Por qué tratar el TDAH del adulto? Entrevista al Dr. Mario González Zavala.
#TDAHdelAdulto #TDAH #HablemosDelTDAH #Neurodiversidad #Neurodivergencia #Neurodesarrollo #NeurodesarrolloyConducta #HablemosDeSaludMental https://t.co/6u0xRf1SZy</t>
  </si>
  <si>
    <t>MauricioLeija</t>
  </si>
  <si>
    <t>Dr. Mauricio Leija</t>
  </si>
  <si>
    <t>https://pbs.twimg.com/profile_images/1988347861507952640/MmBWSSun_normal.jpg</t>
  </si>
  <si>
    <t>senshi_real,shitpostverdade</t>
  </si>
  <si>
    <t>1886462982638522702</t>
  </si>
  <si>
    <t>1985203902577279035</t>
  </si>
  <si>
    <t>https://pbs.twimg.com/profile_banners/2825615947/1674793295</t>
  </si>
  <si>
    <t>1985193229344452821</t>
  </si>
  <si>
    <t>https://x.com/mariacedav/status/1886462982638522702</t>
  </si>
  <si>
    <t>https://x.com/jkmoii/status/1985203902577279035</t>
  </si>
  <si>
    <t>@jeonjunguukie Ele disse que tem tdah adulto em alguma live que alguma babaca falou merda pra ele</t>
  </si>
  <si>
    <t>Días como hoy en los que, hasta comer es abrumador. 
#TDAH #TDAHadulto</t>
  </si>
  <si>
    <t>jkmoii</t>
  </si>
  <si>
    <t>ؘ𝑺𝒐𝒔𝒐 ֶָ֢֪ 𝖩𝖪 𝑙𝑜𝑣𝑒𝑟</t>
  </si>
  <si>
    <t>1575663278168379392</t>
  </si>
  <si>
    <t>https://pbs.twimg.com/profile_images/1691915761298661376/kQj0dmte_normal.jpg</t>
  </si>
  <si>
    <t>TDAHdelAdulto,TDAH,HablemosDelTDAH,Neurodiversidad,Neurodivergencia,Neurodesarrollo,NeurodesarrolloyConducta,HablemosDeSaludMental</t>
  </si>
  <si>
    <t>https://pbs.twimg.com/amplify_video_thumb/1943399011731324929/img/BQkLeGddr3Af7kHC.jpg</t>
  </si>
  <si>
    <t>TDAH,TDAHadulto</t>
  </si>
  <si>
    <t>https://pbs.twimg.com/profile_banners/1575663278168379392/1692222998</t>
  </si>
  <si>
    <t>1883945425029456188</t>
  </si>
  <si>
    <t>https://video.twimg.com/amplify_video/1943399011731324929/vid/avc1/1280x720/RCV7d7L-M9Jo1MYs.mp4?tag=14</t>
  </si>
  <si>
    <t>https://x.com/mariacedav/status/1883945425029456188</t>
  </si>
  <si>
    <t>Creo que nunca en mi vida había encontrado una imagen que describiera tan bien como siento mi cabeza TODO EL TIEMPO.
#TDAHadulto #TDAH</t>
  </si>
  <si>
    <t>1912731777837253104</t>
  </si>
  <si>
    <t>https://x.com/psiquiatria_mty/status/1912731777837253104</t>
  </si>
  <si>
    <t>jeonjunguukie</t>
  </si>
  <si>
    <t>1883938209492562297</t>
  </si>
  <si>
    <t>ADHDForReal</t>
  </si>
  <si>
    <t>https://t.co/fLZAx7PAWJ</t>
  </si>
  <si>
    <t>1985066365934342217</t>
  </si>
  <si>
    <t>1984981257818943705</t>
  </si>
  <si>
    <t>https://x.com/Guiilhermemmelo/status/1985066365934342217</t>
  </si>
  <si>
    <t>Síntomas de inquietud interna en el TDAH del Adulto. Check out the latest episode of Psiquiatría Integral! Listen to the full podcast here https://t.co/g2fFkOkHDd (video made with https://t.co/9Jw2GXFgKZ) https://t.co/ATyQTOe4o7</t>
  </si>
  <si>
    <t>psiquiatria_mty</t>
  </si>
  <si>
    <t>PsiquiatriaIntegral</t>
  </si>
  <si>
    <t>https://pbs.twimg.com/media/GiUX0SbWoAA8TTx.jpg</t>
  </si>
  <si>
    <t>https://pbs.twimg.com/profile_images/1125656633/esquizofrenia_normal.jpg</t>
  </si>
  <si>
    <t>@rnncmn @siteptbr Oh jumenta, toda pessoa neurodivergente nao é “normal” isso esta no próprio dsm. As palavras “doida” “maluca” sao coloquais de qualquer neurodivegencia, que no caso dela é um “suposto tdah” adulto, que é algo que foi criado para mascarar transtorno afetivo bipolar e esquizofrenia</t>
  </si>
  <si>
    <t>Guiilhermemmelo</t>
  </si>
  <si>
    <t>Guilherme</t>
  </si>
  <si>
    <t>https://pbs.twimg.com/profile_images/1994890697795686400/3Vx49bbp_normal.jpg</t>
  </si>
  <si>
    <t>TDAHadulto,TDAH</t>
  </si>
  <si>
    <t>1880126054272324002</t>
  </si>
  <si>
    <t>https://pbs.twimg.com/profile_banners/104233369/1699840492</t>
  </si>
  <si>
    <t>https://x.com/mariacedav/status/1880126054272324002</t>
  </si>
  <si>
    <t>https://pbs.twimg.com/profile_banners/116099511/1760812738</t>
  </si>
  <si>
    <t>Que gonorrea ver como tu casa se va cayendo cada día más y más en mugre y desorden pero vos cada día sin menos alientos de hacer deberes pero odiando ver tu casa vuelta mierda 🫠🙃 esto es una mierda...
#TDAHadulto #TDAH</t>
  </si>
  <si>
    <t>Headliner Video</t>
  </si>
  <si>
    <t>https://play.headliner.app/episode/26654040,https://www.headliner.app</t>
  </si>
  <si>
    <t>rnncmn</t>
  </si>
  <si>
    <t>rnncmn,siteptbr</t>
  </si>
  <si>
    <t>1984944044372291725</t>
  </si>
  <si>
    <t>1879702944968212718</t>
  </si>
  <si>
    <t>https://x.com/clairdieluna/status/1984944044372291725</t>
  </si>
  <si>
    <t>https://x.com/mariacedav/status/1879702944968212718</t>
  </si>
  <si>
    <t>acho que esse coitado é neurodivergente e vocês atacando ele por nada. pessoas com tdah tem atraso no desenvolvimento do córtex pré-frontal, talvez ele não seja um adulto disfuncional pq quer, só demora mais pra amadurecer</t>
  </si>
  <si>
    <t>clairdieluna</t>
  </si>
  <si>
    <t>espirito sem luz</t>
  </si>
  <si>
    <t>https://pbs.twimg.com/ext_tw_video_thumb/1912731766713880576/pu/img/hc_5PpogpSf6lHg7.jpg</t>
  </si>
  <si>
    <t>1512564527279263744</t>
  </si>
  <si>
    <t>https://pbs.twimg.com/profile_images/1990078699845083137/NGjbIpwT_normal.jpg</t>
  </si>
  <si>
    <t>Solo voy a decir 1 cosa: No entiendo el tiempo, NO ENTIENDO EL TRIPLEHIJUEPUTA TIEMPO!
#TDAHadulto #TDAH</t>
  </si>
  <si>
    <t>https://video.twimg.com/ext_tw_video/1912731766713880576/pu/vid/avc1/720x1280/ir2IS9UP2uywVWhe.mp4?tag=12</t>
  </si>
  <si>
    <t>1879143569732370469</t>
  </si>
  <si>
    <t>1984708352128303259</t>
  </si>
  <si>
    <t>RachComents</t>
  </si>
  <si>
    <t>https://x.com/Ed_Octaedro/status/1879143569732370469</t>
  </si>
  <si>
    <t>enquanto ela for novinha ela vai achar isso engraçado e divertido, mas nenhuma mulher mais estruturada e com filhos suporta. (ainda mais se os filhos forem dele)</t>
  </si>
  <si>
    <t>1984608764264399083</t>
  </si>
  <si>
    <t>https://x.com/VicthorVargas32/status/1984608764264399083</t>
  </si>
  <si>
    <t>📢¡NUEVA GUÍA YA DISPONIBLE EN NUESTRA WEB!📢
Una obra fruto de experiencias de primera mano para ayudar a los adolescentes con TDAH a prepararse para un futuro de éxito una vez finalizada la enseñanza postsecundaria.
https://t.co/7Xf0q2bEra
#tdah #tdahadulto 
@feaadah https://t.co/rLDwcKBhOz</t>
  </si>
  <si>
    <t>Ed_Octaedro</t>
  </si>
  <si>
    <t>Editorial Octaedro</t>
  </si>
  <si>
    <t>https://pbs.twimg.com/profile_images/1883617660/Octa-Simbolo_normal.jpg</t>
  </si>
  <si>
    <t>En Chile le tienen metido a sus ciudadanos en la cabeza que todos tienen una clade de autismo o son personas con espectros o tdah y es a la gran poblacion de niños y si como adulto vas igual ..Es bastante raro y la verdad no entiendo so es por sacar dinero o que se traen pero</t>
  </si>
  <si>
    <t>VicthorVargas32</t>
  </si>
  <si>
    <t>Vargas Victhor</t>
  </si>
  <si>
    <t>https://pbs.twimg.com/profile_images/1785520949317505024/efkxG2kI_normal.jpg</t>
  </si>
  <si>
    <t>https://pbs.twimg.com/profile_banners/297889462/1588577032</t>
  </si>
  <si>
    <t>https://pbs.twimg.com/profile_banners/103701474/1735871972</t>
  </si>
  <si>
    <t>https://octaedro.com/libro/entrar-con-exito-en-la-madurez-con-tdah/?mot_tcid=9d6c7672-8fd5-4e64-81c1-40c7454ed8d0</t>
  </si>
  <si>
    <t>1984572946581434666</t>
  </si>
  <si>
    <t>https://x.com/elnacionalcat_e/status/1984572946581434666</t>
  </si>
  <si>
    <t>👀🗣️Santi Millán sorprende, así le diagnosticaron TDAH con 50 años: "Siempre había pensado que era un vago"
El presentador ha hablado abiertamente y por qué se lo detectaron de adulto https://t.co/NuUKU8oQoS</t>
  </si>
  <si>
    <t>elnacionalcat_e</t>
  </si>
  <si>
    <t>ElNacional .cat</t>
  </si>
  <si>
    <t>1924178252349718999</t>
  </si>
  <si>
    <t>https://pbs.twimg.com/profile_images/646298514385960960/VEutSP7L_normal.png</t>
  </si>
  <si>
    <t>https://pbs.twimg.com/media/GhQPAi7W4AACZHc.jpg</t>
  </si>
  <si>
    <t>https://x.com/pau/status/1924178252349718999</t>
  </si>
  <si>
    <t>¿Cómo saber si tienes TDAH cuando ya eres adulto?
Spoiler: no es un test online ni un vídeo de TikTok.
Pero sí hay algo muy importante que sí puedes hacer.
Te lo cuento… en 1 minuto ⤵️ https://t.co/Dp1oS9jYkB</t>
  </si>
  <si>
    <t>pau</t>
  </si>
  <si>
    <t>Pau Garcia-Milà</t>
  </si>
  <si>
    <t>https://pbs.twimg.com/profile_images/1141030698947686400/QOH39mM0_normal.jpg</t>
  </si>
  <si>
    <t>feaadah</t>
  </si>
  <si>
    <t>https://pbs.twimg.com/profile_banners/3504318874/1457114112</t>
  </si>
  <si>
    <t>1877013934420509010</t>
  </si>
  <si>
    <t>https://x.com/mariacedav/status/1877013934420509010</t>
  </si>
  <si>
    <t>https://pbs.twimg.com/profile_banners/6068/1665387027</t>
  </si>
  <si>
    <t>Echobox-X</t>
  </si>
  <si>
    <t>POV: Tienes que ir a trabajar más triste que el año pasado pero como no puedes mezclar tus cosas de casa con trabajo, vas con la vieja confiable *masking* 😎
#TDAH #TDAHadulto #nadiedicenada https://t.co/zMwKsX85jZ</t>
  </si>
  <si>
    <t>https://www.elnacional.cat/enblau/es/television/santi-millan-sorprende-diagnosticaron-tdah-con-50-anos-siempre-pensado-vago_1507756_102.html?utm_medium=Social&amp;utm_campaign=TwitterEchobox&amp;utm_source=Twitter#Echobox=1761993031</t>
  </si>
  <si>
    <t>Metricool</t>
  </si>
  <si>
    <t>TDAH,TDAHadulto,nadiedicenada</t>
  </si>
  <si>
    <t>1864921464660455431</t>
  </si>
  <si>
    <t>https://pbs.twimg.com/ext_tw_video_thumb/1924178004101509120/pu/img/E0OzDqgMeljFYyCV.jpg</t>
  </si>
  <si>
    <t>https://x.com/TDAH_BuenosDias/status/1864921464660455431</t>
  </si>
  <si>
    <t>🕵¿Qué ves? 🧐
🌅¿Atardecer o Amanecer? 🌄
🔚¿Final o Principio? 🔜
⏳¿Medio vacío o medio Lleno?⌛
😡¿Negatividad o Positivismo?🤩
🫵🏽¡Tú eliges! 🫵🏽
#tdah #tdahadulto #tdahadolescentes #tdahinfantil https://t.co/W8XZb1tJR1</t>
  </si>
  <si>
    <t>https://video.twimg.com/ext_tw_video/1924178004101509120/pu/vid/avc1/720x1280/U2iJgOhEcx0Yv2BT.mp4?tag=12</t>
  </si>
  <si>
    <t>1984401130810421343</t>
  </si>
  <si>
    <t>1984278783034266001</t>
  </si>
  <si>
    <t>https://x.com/shawnxgabriel/status/1984401130810421343</t>
  </si>
  <si>
    <t>tdah,tdahadulto,tdahadolescentes,tdahinfantil</t>
  </si>
  <si>
    <t>https://pbs.twimg.com/media/GdjFomNWsAA3tkx.jpg</t>
  </si>
  <si>
    <t>1987932491265831294</t>
  </si>
  <si>
    <t>https://x.com/neuroclass1/status/1987932491265831294</t>
  </si>
  <si>
    <t>@elwabisabiweon Son los mios, por eso fuí adulto sin saber si tenia algun TDAH.
Y sigo sin saberlo, para ellos yo solo era un enfermito.</t>
  </si>
  <si>
    <t>shawnxgabriel</t>
  </si>
  <si>
    <t>gabi (shawn gabriel)</t>
  </si>
  <si>
    <t>https://pbs.twimg.com/profile_images/1994858327260459012/sZmbMZe__normal.jpg</t>
  </si>
  <si>
    <t>El TDAH en la adultez es mucho más que distracción o impulsividad: es una forma distinta —y muchas veces agotadora— de habitar la atención, las emociones y el tiempo⌛
Más información en https://t.co/yTocOlOBUo https://t.co/dtTJnWNQ9L</t>
  </si>
  <si>
    <t>neuroclass1</t>
  </si>
  <si>
    <t>NeuroClass</t>
  </si>
  <si>
    <t>1106885136048668672</t>
  </si>
  <si>
    <t>https://pbs.twimg.com/profile_images/1183101531261997058/iP253fmT_normal.jpg</t>
  </si>
  <si>
    <t>https://pbs.twimg.com/profile_banners/2558325912/1701978245</t>
  </si>
  <si>
    <t>https://pbs.twimg.com/profile_banners/1106885136048668672/1570908447</t>
  </si>
  <si>
    <t>1864400494472368374</t>
  </si>
  <si>
    <t>elwabisabiweon</t>
  </si>
  <si>
    <t>https://x.com/DraKDeCamps/status/1864400494472368374</t>
  </si>
  <si>
    <t>1984379381255389281</t>
  </si>
  <si>
    <t>1984368004231254399</t>
  </si>
  <si>
    <t>https://x.com/AleSomnologa/status/1984379381255389281</t>
  </si>
  <si>
    <t>TDAH en adultos: un trastorno que sabotea el día a día 🧠
El Trastorno por Déficit de Atención con Hiperactividad en adultos afecta más que la concentración; impacta relaciones, carrera y calidad de vida. https://t.co/7UJRFuK8JV 
#psiquiatría  #tdahadulto #puntacana https://t.co/6ZzYhDEDJB</t>
  </si>
  <si>
    <t>DraKDeCamps</t>
  </si>
  <si>
    <t>Katiuska De Camps</t>
  </si>
  <si>
    <t>@MauricioLeija Y que pasa cuando esa mamá tiene TDAH? 
O no sé si peor aún … ambos padres lo tienen 
Estoy muy preocupada… hace tiempo dejé de ser somnologa por tdahologa ( del adulto )</t>
  </si>
  <si>
    <t>https://neuro-class.com/cursos/tdah-en-adultos-abordaje/</t>
  </si>
  <si>
    <t>AleSomnologa</t>
  </si>
  <si>
    <t>https://pbs.twimg.com/profile_images/1986433031058419712/DHKEq2Gj_normal.jpg</t>
  </si>
  <si>
    <t>Ale Somnóloga 🛌💤</t>
  </si>
  <si>
    <t>https://pbs.twimg.com/profile_images/1814773754444075008/YIt1dlbI_normal.jpg</t>
  </si>
  <si>
    <t>https://pbs.twimg.com/profile_banners/4203983909/1717633324</t>
  </si>
  <si>
    <t>https://pbs.twimg.com/media/G5aN9bOX0AASFCD.jpg,https://pbs.twimg.com/media/G5aN9eFWsAAhWMP.jpg,https://pbs.twimg.com/media/G5aN9bkXwAEbSB6.jpg,https://pbs.twimg.com/media/G5aN9bFXYAAV5P2.jpg</t>
  </si>
  <si>
    <t>https://pbs.twimg.com/profile_banners/96588996/1721510766</t>
  </si>
  <si>
    <t>psiquiatría,tdahadulto,puntacana</t>
  </si>
  <si>
    <t>https://www.facebook.com/share/p/1BfJpPvqfa/</t>
  </si>
  <si>
    <t>1978135531687989315</t>
  </si>
  <si>
    <t>https://x.com/crepch/status/1978135531687989315</t>
  </si>
  <si>
    <t>1984273142370693434</t>
  </si>
  <si>
    <t>1984195726445040079</t>
  </si>
  <si>
    <t>https://x.com/Dontpointdownt/status/1984273142370693434</t>
  </si>
  <si>
    <t>Trabajo terapéutico. 
📱Citas 55 19 15 30 15
#terapiamultisensorialsimbólica #terapia #terapialenguaje
#autismo #depresión #ansiedades #tdah #conducta #adulto #adolescentes #problemasdelenguaje #psicologia #saludmental #terapiapsicologica #terapiaenlínea #tdaa #cdmx #FelizMartes https://t.co/9BXVZBijzF</t>
  </si>
  <si>
    <t>https://pbs.twimg.com/media/Gd-uXrEXoAAdaYj.jpg</t>
  </si>
  <si>
    <t>@carlosefilho E qnd quem tem TEA, TDAH e TAG é o professor? Tb rola de usar laudo pra justificar as coisas ou qnd fica adulto a pessoa está automaticamente curada de tudo? Fica a reflexão.</t>
  </si>
  <si>
    <t>Dontpointdownt</t>
  </si>
  <si>
    <t>Don’t point down there</t>
  </si>
  <si>
    <t>1436114005538623488</t>
  </si>
  <si>
    <t>https://pbs.twimg.com/profile_images/1985493392306868224/tN1WcBhv_normal.jpg</t>
  </si>
  <si>
    <t>terapiamultisensorialsimbólica,terapia,terapialenguaje,autismo,depresión,ansiedades,tdah,conducta,adulto,adolescentes,problemasdelenguaje,psicologia,saludmental,terapiapsicologica,terapiaenlínea,tdaa,cdmx,FelizMartes</t>
  </si>
  <si>
    <t>https://pbs.twimg.com/media/G3O_yGGXMAAej-4.jpg</t>
  </si>
  <si>
    <t>https://pbs.twimg.com/profile_banners/1436114005538623488/1760658876</t>
  </si>
  <si>
    <t>1964352894464860513</t>
  </si>
  <si>
    <t>1860358161028255805</t>
  </si>
  <si>
    <t>https://x.com/PsicologiaAlSur/status/1964352894464860513</t>
  </si>
  <si>
    <t>https://x.com/anacrisdherick/status/1860358161028255805</t>
  </si>
  <si>
    <t>Mirta Romalde —médica psiquiatra y profesora en Universidad Favaloro— explorará el diagnóstico diferencial, los desafíos clínicos y las estrategias terapéuticas para abordar el TDAH adulto y sus frecuentes comorbilidades💡
🎟️Entradas en https://t.co/VcnUmud3Tf https://t.co/qzZRTEe4aI</t>
  </si>
  <si>
    <t>PsicologiaAlSur</t>
  </si>
  <si>
    <t>Psicología al Sur</t>
  </si>
  <si>
    <t>1777389396838252544</t>
  </si>
  <si>
    <t>https://pbs.twimg.com/profile_images/1777419380634025985/2Jsog_oX_normal.jpg</t>
  </si>
  <si>
    <t>🧠TDAH não é preguiça! #tdahadulto #tdah #tdahinfantil #autismo #saudemental https://t.co/P4C41wl4Dz via @YouTube</t>
  </si>
  <si>
    <t>anacrisdherick</t>
  </si>
  <si>
    <t>ana cristina santos</t>
  </si>
  <si>
    <t>793995552266551296</t>
  </si>
  <si>
    <t>https://pbs.twimg.com/profile_images/1862650890013806592/MoPOhjvN_normal.jpg</t>
  </si>
  <si>
    <t>carlosefilho</t>
  </si>
  <si>
    <t>1983979036130091450</t>
  </si>
  <si>
    <t>https://x.com/Inferno033/status/1983979036130091450</t>
  </si>
  <si>
    <t>https://pbs.twimg.com/profile_banners/1777389396838252544/1712604780</t>
  </si>
  <si>
    <t>fala pra algum adulto que vc tem tdah, pra ver o olhar de desaprovação dele</t>
  </si>
  <si>
    <t>Inferno033</t>
  </si>
  <si>
    <t>inferno</t>
  </si>
  <si>
    <t>1569868758344253441</t>
  </si>
  <si>
    <t>https://pbs.twimg.com/profile_images/1992974675316518912/qYtE_P_w_normal.jpg</t>
  </si>
  <si>
    <t>tdahadulto,tdah,tdahinfantil,autismo,saudemental</t>
  </si>
  <si>
    <t>https://youtube.com/shorts/-zfoxQewo7c?si=OQnmj0V93gRoE8n2</t>
  </si>
  <si>
    <t>http://neuro-class.com/psicologia-al-sur</t>
  </si>
  <si>
    <t>https://pbs.twimg.com/profile_banners/1569868758344253441/1762210916</t>
  </si>
  <si>
    <t>YouTube</t>
  </si>
  <si>
    <t>https://pbs.twimg.com/media/G0Bi8fUWUAALH7v.jpg,https://pbs.twimg.com/media/G0Bi7zRXMAAOTqY.jpg</t>
  </si>
  <si>
    <t>1854663852291473643</t>
  </si>
  <si>
    <t>https://x.com/mariacedav/status/1854663852291473643</t>
  </si>
  <si>
    <t>1983703535553577329</t>
  </si>
  <si>
    <t>https://x.com/jeonparkx/status/1983703535553577329</t>
  </si>
  <si>
    <t>1967271695292792985</t>
  </si>
  <si>
    <t>Por primera vez en mi vida, estoy cansada de escuchar una conversación ajena a modo de chisme. Este señor me tiene el pitido en el oído alborotado porque habla por celular como con 30mil de volumen en plena sala de aeropuerto. 
Recójase señor...
#TDAHadulto #tinitus #llévenselo https://t.co/7m2ZtUyTMU</t>
  </si>
  <si>
    <t>https://x.com/crepch/status/1967271695292792985</t>
  </si>
  <si>
    <t>esto pasa cuando tienes tdah y acceso a dinero adulto (yo) 😼☝🏻</t>
  </si>
  <si>
    <t>jeonparkx</t>
  </si>
  <si>
    <t>ɑlіtɑ 🌙</t>
  </si>
  <si>
    <t>https://pbs.twimg.com/profile_images/1993491743702908928/bh47vf7x_normal.jpg</t>
  </si>
  <si>
    <t>No repares tu vida en la de ellos.
📱Agenda cita 55 19 15 30 15
#terapiamultisensorialsimbólica #terapia #terapialenguaje
#autismo #depresión #ansiedades #tdah #conducta #adulto #adolescentes #problemasdelenguaje #psicologia #saludmental #terapiaenlínea #tdaa #FelizDomingo https://t.co/WDDwaIjlXt</t>
  </si>
  <si>
    <t>TDAHadulto,tinitus,llévenselo</t>
  </si>
  <si>
    <t>1847472059292540965</t>
  </si>
  <si>
    <t>https://x.com/DNATalentqro/status/1847472059292540965</t>
  </si>
  <si>
    <t>terapiamultisensorialsimbólica,terapia,terapialenguaje,autismo,depresión,ansiedades,tdah,conducta,adulto,adolescentes,problemasdelenguaje,psicologia,saludmental,terapiaenlínea,tdaa,FelizDomingo</t>
  </si>
  <si>
    <t>https://pbs.twimg.com/media/G00nLg0WgAEAeIM.jpg,https://pbs.twimg.com/media/G00nLgvXUAAM0vt.jpg</t>
  </si>
  <si>
    <t>https://pbs.twimg.com/profile_banners/2800326913/1764120455</t>
  </si>
  <si>
    <t>Merecido premio y por ello quiero felicitarte públicamente a la gran médico y amiga.
Enhorabuena! Te abrazo a la distancia querida.
En el link dejo el post de la entrevista antes que saliera este libro. https://t.co/LA0VFHTsC9
#tdahadulto #tdahmujer #tdah #trauma #tept https://t.co/JZ17goWSKy</t>
  </si>
  <si>
    <t>1973451647121760351</t>
  </si>
  <si>
    <t>1983411663480180975</t>
  </si>
  <si>
    <t>https://x.com/MauricioLeija/status/1973451647121760351</t>
  </si>
  <si>
    <t>GoldenHickeys</t>
  </si>
  <si>
    <t>Jungkook &amp;amp; his Balenciaga chips charms &amp;amp; wallet 😍 https://t.co/CEO0HO0j0b</t>
  </si>
  <si>
    <t>https://pbs.twimg.com/media/G4Z-ZLIXQAA3I_3.jpg,https://pbs.twimg.com/media/G4Z-ZLIWMAAzdpC.jpg</t>
  </si>
  <si>
    <t>https://pbs.twimg.com/profile_banners/1107081892522807297/1763784304</t>
  </si>
  <si>
    <t>TDAH del adulto y síndrome de Don Juan. Conversación con Gina Fonseca para #MiDiarioDeTDAH
#TDAHdelAdulto #TDAH #HablemosDelTDAH #Neurodiversidad #Neurodivergencia #Neurodesarrollo #NeurodesarrolloyConducta #HablemosDeSaludMental https://t.co/6KhJQlZEke</t>
  </si>
  <si>
    <t>1983614814682599537</t>
  </si>
  <si>
    <t>https://x.com/DiarioPresente/status/1983614814682599537</t>
  </si>
  <si>
    <t>MiDiarioDeTDAH,TDAHdelAdulto,TDAH,HablemosDelTDAH,Neurodiversidad,Neurodivergencia,Neurodesarrollo,NeurodesarrolloyConducta,HablemosDeSaludMental</t>
  </si>
  <si>
    <t>https://pbs.twimg.com/amplify_video_thumb/1973451132778250240/img/18uLin3HOAjDBhIh.jpg</t>
  </si>
  <si>
    <t>✍️#ColumnaDigital| Tips para el adulto con TDAH. 
Escrito por: Dr. Emmanuel Osorio Rosales.
➡ https://t.co/gajctswrW0 
|#Noticia |#ColumnaDigital |#DiarioPresente https://t.co/lYchvSISCn</t>
  </si>
  <si>
    <t>DiarioPresente</t>
  </si>
  <si>
    <t>tdahadulto,tdahmujer,tdah,trauma,tept</t>
  </si>
  <si>
    <t>Diario Presente</t>
  </si>
  <si>
    <t>https://youtu.be/BVYwiLwz8m0?si=hXJjxgNqHYJoZDUd</t>
  </si>
  <si>
    <t>https://pbs.twimg.com/profile_images/1787920497663201280/f5adixpO_normal.jpg</t>
  </si>
  <si>
    <t>https://video.twimg.com/amplify_video/1973451132778250240/vid/avc1/1920x1088/TQOqqBfocV_GTbaW.mp4?tag=21</t>
  </si>
  <si>
    <t>https://pbs.twimg.com/profile_banners/82608449/1715111412</t>
  </si>
  <si>
    <t>https://pbs.twimg.com/media/GaOKC2aXIAAVAHf.jpg</t>
  </si>
  <si>
    <t>ColumnaDigital,Noticia,ColumnaDigital,DiarioPresente</t>
  </si>
  <si>
    <t>https://acortar.link/ohPnPh</t>
  </si>
  <si>
    <t>1838845899788722603</t>
  </si>
  <si>
    <t>1972470455379349666</t>
  </si>
  <si>
    <t>https://x.com/ArturoZarzalejo/status/1838845899788722603</t>
  </si>
  <si>
    <t>https://x.com/MauricioLeija/status/1972470455379349666</t>
  </si>
  <si>
    <t>https://pbs.twimg.com/media/G4Zou42XQAAcqvr.jpg</t>
  </si>
  <si>
    <t>TDAH siguiendo un patrón.
#tdah #tdahadulto #deficitdeatencion #psicología #podcast https://t.co/h7bhVeFx6O</t>
  </si>
  <si>
    <t>ArturoZarzalejo</t>
  </si>
  <si>
    <t>Zarzalejo</t>
  </si>
  <si>
    <t>1545342316596154368</t>
  </si>
  <si>
    <t>No es que no tengas la capacidad para encontrar el amor de tu vida, solamente es que eres despistado. Reflexiones sobre el TDAH del adulto. Conversación con Neuropsicóloga Gina Fonseca para #MiDiarioDeTDAH
#TDAHdelAdulto #TDAH #HablemosDelTDAH #Neurodiversidad #Neurodivergencia https://t.co/quQpiUu2pA</t>
  </si>
  <si>
    <t>https://pbs.twimg.com/profile_images/1900263498157850624/N8TuEwHC_normal.jpg</t>
  </si>
  <si>
    <t>1983221658258420052</t>
  </si>
  <si>
    <t>https://x.com/MauricioLeija/status/1983221658258420052</t>
  </si>
  <si>
    <t>TDAH adulto en México: entre el diagnóstico y la realidad https://t.co/Tidxjbt0mO</t>
  </si>
  <si>
    <t>MiDiarioDeTDAH,TDAHdelAdulto,TDAH,HablemosDelTDAH,Neurodiversidad,Neurodivergencia</t>
  </si>
  <si>
    <t>https://pbs.twimg.com/amplify_video_thumb/1972468339797532673/img/1e13Uaflb7I3lHrL.jpg</t>
  </si>
  <si>
    <t>https://pbs.twimg.com/profile_banners/1545342316596154368/1756036850</t>
  </si>
  <si>
    <t>https://video.twimg.com/amplify_video/1972468339797532673/vid/avc1/1920x1088/xHgqPPtdeMHMS5eE.mp4?tag=21</t>
  </si>
  <si>
    <t>erased8036141_052BSwz4Zo</t>
  </si>
  <si>
    <t>https://x.com/i/broadcasts/1mrGmBADnwqJy</t>
  </si>
  <si>
    <t>tdah,tdahadulto,deficitdeatencion,psicología,podcast</t>
  </si>
  <si>
    <t>https://pbs.twimg.com/ext_tw_video_thumb/1838845707291082752/pu/img/2KT6t5XM8hDHT2JO.jpg</t>
  </si>
  <si>
    <t>1982937161914830978</t>
  </si>
  <si>
    <t>1982937140158693854</t>
  </si>
  <si>
    <t>https://x.com/ElPaido/status/1982937161914830978</t>
  </si>
  <si>
    <t>1971283366839513280</t>
  </si>
  <si>
    <t>https://video.twimg.com/ext_tw_video/1838845707291082752/pu/vid/avc1/720x1280/GqpYOMoVEkpr0ogW.mp4?tag=12</t>
  </si>
  <si>
    <t>https://x.com/QueerMarx_99/status/1971283366839513280</t>
  </si>
  <si>
    <t>Lo novedoso del artículo es cómo pone en valor estas estrategias innovadoras (mindfulness y tecnología) como elementos complementarios, no secundarios.
Una visión más integrativa, que reconoce la complejidad del TDAH adulto y busca autonomía en el paciente.</t>
  </si>
  <si>
    <t>Como puede un supuesto profesional de psicología escribir un artículo, decir "no puedes ser diagnosticado de autismo o TDAH de adulto porque si lo tienes lo tienes desde niño entonces te tendrían que haber detectado los síntomas desde niño" y quedarse tan ancho? Dios mío</t>
  </si>
  <si>
    <t>QueerMarx_99</t>
  </si>
  <si>
    <t>亞礼句州 ☭ 🏳️‍🌈🚀</t>
  </si>
  <si>
    <t>1827699259832975604</t>
  </si>
  <si>
    <t>1651620461296353280</t>
  </si>
  <si>
    <t>https://pbs.twimg.com/profile_images/1941857553815584768/bG-scmHU_normal.jpg</t>
  </si>
  <si>
    <t>https://x.com/mariacedav/status/1827699259832975604</t>
  </si>
  <si>
    <t>Si pudiera pedir un deseo, sería esto: "Quiero que todo el mundo sienta los sonidos igual que yo" y que sea un 31 de diciembre... a ver si la PERRA HPTA que me despertó hoy almenos sufre también... ahh! Y que también le dé tinnitus, amén.
#TDAHadulto #TDAH</t>
  </si>
  <si>
    <t>https://pbs.twimg.com/profile_banners/1651620461296353280/1682615786</t>
  </si>
  <si>
    <t>1982937153966391486</t>
  </si>
  <si>
    <t>https://x.com/ElPaido/status/1982937153966391486</t>
  </si>
  <si>
    <t>1827043129079558282</t>
  </si>
  <si>
    <t>Impacto funcional: el artículo es enfático.
El TDAH adulto se asocia con:
🔻 Bajo desempeño laboral
🔻 Mayor rotación y desempleo
🔻 Dificultades en relaciones afectivas
🔻 Problemas legales y abuso de sustancias</t>
  </si>
  <si>
    <t>https://x.com/MGNoticiasSlp/status/1827043129079558282</t>
  </si>
  <si>
    <t>1986466288588255525</t>
  </si>
  <si>
    <t>1982795050330325497</t>
  </si>
  <si>
    <t>https://x.com/eduardopeccin/status/1982795050330325497</t>
  </si>
  <si>
    <t>https://x.com/Tissinha9328/status/1986466288588255525</t>
  </si>
  <si>
    <t>¿Qué es el TDA? ¿Es verdad que todos tenemos un poco? ¿Cómo se diagnostica? Nuestra #psicologa  Vasthy Santoyo nos explicó en Arriba San Luis
Escúchala aquí 👉 https://t.co/nmdQY9H6B5
#TDAH #tdahadulto #tdahadolescentes #tdahinfantil https://t.co/ScyDZNmosh</t>
  </si>
  <si>
    <t>MGNoticiasSlp</t>
  </si>
  <si>
    <t>MG Noticias</t>
  </si>
  <si>
    <t>https://pbs.twimg.com/profile_images/1567215190546214915/hhgZ5WIe_normal.jpg</t>
  </si>
  <si>
    <t>5 verdades sobre o TDAH no adulto:
- 80% não preenchem mais critérios quando crescem
- 73% têm dois ou mais diagnósticos junto
- Melhora com o tempo mesmo sem tratamento
- Todo mundo foca melhor com anfetaminas. 
Isso não prova nada
- Alteração de sono não é critério de TDAH</t>
  </si>
  <si>
    <t>eduardopeccin</t>
  </si>
  <si>
    <t>Dr. Eduardo Peccin</t>
  </si>
  <si>
    <t>1518911672274063361</t>
  </si>
  <si>
    <t>https://pbs.twimg.com/profile_images/1964427375891898368/qNfK24Xo_normal.jpg</t>
  </si>
  <si>
    <t>ser adulto é perceber que tudo que tu precisa é de saúde, um lar, uma renda estável e pessoas que deixem você a vontade pra ser quem tu é 💖</t>
  </si>
  <si>
    <t>Tissinha9328</t>
  </si>
  <si>
    <t>LETY🔥</t>
  </si>
  <si>
    <t>1562798153648467969</t>
  </si>
  <si>
    <t>https://pbs.twimg.com/profile_images/1968352147734446080/UEP-Mffj_normal.jpg</t>
  </si>
  <si>
    <t>https://pbs.twimg.com/profile_banners/3237337855/1662173042</t>
  </si>
  <si>
    <t>1982757555127583121</t>
  </si>
  <si>
    <t>1982538136786735121</t>
  </si>
  <si>
    <t>https://x.com/ThuMartins/status/1982757555127583121</t>
  </si>
  <si>
    <t>https://pbs.twimg.com/profile_banners/1562798153648467969/1753752983</t>
  </si>
  <si>
    <t>@ferrari_carol @madeinbajor A maior questão é que a TAG as vezes está totalmente ligada ao TDAH e enquanto o TDAH não estiver tratado a TAG não vai ser tratada tbm. 
Eu precisei de uma equipe multidisciplinar enorme pra fechar meu laudo e tratamento. TDAH em adulto é muito complicado.</t>
  </si>
  <si>
    <t>ThuMartins</t>
  </si>
  <si>
    <t>Divagandoamente</t>
  </si>
  <si>
    <t>https://pbs.twimg.com/profile_images/1957128298313494529/Be7EljhZ_normal.jpg</t>
  </si>
  <si>
    <t>https://pbs.twimg.com/profile_banners/70080751/1618599603</t>
  </si>
  <si>
    <t>psicologa,TDAH,tdahadulto,tdahadolescentes,tdahinfantil</t>
  </si>
  <si>
    <t>https://mgnoticias.mx/que-es-el-tda-todos-tenemos-un-poco-nuestra-psicologa-vasthy-santoyo-nos-explico/</t>
  </si>
  <si>
    <t>1988086201774207006</t>
  </si>
  <si>
    <t>https://x.com/tubesuva/status/1988086201774207006</t>
  </si>
  <si>
    <t>ferrari_carol</t>
  </si>
  <si>
    <t>ferrari_carol,madeinbajor</t>
  </si>
  <si>
    <t>deixa o mano comer quantas bcts ele quiser eu ein vcs são muito chatas pqp ele é literalmente um ADULTO de 28 anos galera vamo procurar o que fazer 
https://t.co/i1dVN0U3Kc</t>
  </si>
  <si>
    <t>tubesuva</t>
  </si>
  <si>
    <t>ؘ</t>
  </si>
  <si>
    <t>1385247206706401280</t>
  </si>
  <si>
    <t>https://pbs.twimg.com/profile_images/1988011757357453312/ADfE50FA_normal.jpg</t>
  </si>
  <si>
    <t>https://pbs.twimg.com/media/GVrpCOFXIAE_k_Y.jpg</t>
  </si>
  <si>
    <t>1822059377567674775</t>
  </si>
  <si>
    <t>https://x.com/EpiConhecimento/status/1822059377567674775</t>
  </si>
  <si>
    <t>https://pbs.twimg.com/profile_banners/1385247206706401280/1762739168</t>
  </si>
  <si>
    <t>Estudos recentes revelam que traços narcisistas são mais comuns em adultos com TDAH do que na população geral. Como essas descobertas podem mudar a abordagem dos tratamentos? 
https://t.co/nnZg17sSrQ
#tdahadulto
#narcisismo https://t.co/bjehsxLRU4</t>
  </si>
  <si>
    <t>EpiConhecimento</t>
  </si>
  <si>
    <t>Epicentro do Conhecimento</t>
  </si>
  <si>
    <t>1762202619865407488</t>
  </si>
  <si>
    <t>https://pbs.twimg.com/profile_images/1796140706743902208/F-ZNGLh8_normal.jpg</t>
  </si>
  <si>
    <t>1982384694500171803</t>
  </si>
  <si>
    <t>https://x.com/cinenuevatribu/status/1982384694500171803</t>
  </si>
  <si>
    <t>https://pbs.twimg.com/profile_banners/1762202619865407488/1717070021</t>
  </si>
  <si>
    <t>https://pbs.twimg.com/ext_tw_video_thumb/1673804614632710144/pu/img/KFucAJuqCTDkc-z2.jpg</t>
  </si>
  <si>
    <t>TDAH en el adulto
La doctora Juncal, tras años de experiencia escuchando y apoyando en sus sesiones a adultos, reúne todas estas voces para crear este libro que puede acompañar a cualquier persona que ya tiene el diagnóstico, pero también para guiar.
https://t.co/PxlMBV5OKB</t>
  </si>
  <si>
    <t>cinenuevatribu</t>
  </si>
  <si>
    <t>CineNuevaTribuna</t>
  </si>
  <si>
    <t>https://pbs.twimg.com/profile_images/694091082410377216/HuUCM-I-_normal.jpg</t>
  </si>
  <si>
    <t>https://pbs.twimg.com/profile_banners/4868557389/1733064306</t>
  </si>
  <si>
    <t>https://video.twimg.com/ext_tw_video/1673804614632710144/pu/vid/1024x576/NuaP8CbO4hcjo56Y.mp4?tag=12</t>
  </si>
  <si>
    <t>tdahadulto,narcisismo</t>
  </si>
  <si>
    <t>https://epicentrodoconhecimento.com/como-tdah-e-narcisismo-se-relacionam-veja-os-achados-recentes/?utm_source=x&amp;utm_medium=social&amp;utm_content=post</t>
  </si>
  <si>
    <t>https://www.nuevatribuna.es/articulo/sociedad/tdah-en-el-adulto/20251024171202243560.html</t>
  </si>
  <si>
    <t>https://pbs.twimg.com/media/GUlBAz1X0AAc_vo.jpg</t>
  </si>
  <si>
    <t>1982067973511930133</t>
  </si>
  <si>
    <t>https://x.com/viralataavulso/status/1982067973511930133</t>
  </si>
  <si>
    <t>Alguém que venceu o TDAH lendo o livro Vencendo o TDAH Adulto tem ele sobrando por aí?
Ô livro caro da pega</t>
  </si>
  <si>
    <t>viralataavulso</t>
  </si>
  <si>
    <t>Rafa Brovko</t>
  </si>
  <si>
    <t>1756066206371454976</t>
  </si>
  <si>
    <t>https://pbs.twimg.com/profile_images/1973881794635186176/IbnCWh0Y_normal.jpg</t>
  </si>
  <si>
    <t>1820484014895243742</t>
  </si>
  <si>
    <t>1820483063232749674</t>
  </si>
  <si>
    <t>https://x.com/mariacedav/status/1820484014895243742</t>
  </si>
  <si>
    <t>https://pbs.twimg.com/profile_banners/1756066206371454976/1755267704</t>
  </si>
  <si>
    <t>"Hay que comprar esto, hacer esto, verdad que olvidaste esto, pero si no lo apuntas ya se te olvida, pero báñate rápido, pero contesta ese correo de hace una semana... bla, bla, bla..." AAHHHHHH!!!!!!!!!!!!!!!!! 
#TDAHadulto https://t.co/RP6SBYs3lr</t>
  </si>
  <si>
    <t>TDAHadulto</t>
  </si>
  <si>
    <t>1986990416533635354</t>
  </si>
  <si>
    <t>https://x.com/daniloo_ribass/status/1986990416533635354</t>
  </si>
  <si>
    <t>https://x.com/mariacedav/status/1820483063232749674</t>
  </si>
  <si>
    <t>1982000175573770397</t>
  </si>
  <si>
    <t>https://x.com/nuevatribuna/status/1982000175573770397</t>
  </si>
  <si>
    <t>Querido Diario:
Después de varias décadas de vida, por fin entiendo la razón por la cual no es de mi agrado el momento de bañarme y es más o menos porque pasa algo así: 
#TDAHadulto https://t.co/a9jmmvIZOs</t>
  </si>
  <si>
    <t>Ser adulto não é ter 18 ou 21 anos, ser adulto é entender que o responsável pela vida que você não pediu é somente vc e a partir daí vc toma as suas decisões. Mas isso não significa que não afetará a vida das outras pessoas.</t>
  </si>
  <si>
    <t>daniloo_ribass</t>
  </si>
  <si>
    <t>Cria daq cria de lá</t>
  </si>
  <si>
    <t>📚 TDAH en el adulto
Mónica Grau Setó | @monmislilith 🖊️
https://t.co/OsGUhb5oCf a través de @nuevatribuna https://t.co/7bfctqvqy6</t>
  </si>
  <si>
    <t>https://pbs.twimg.com/profile_images/1580910856233259012/q4nGbbdi_normal.jpg</t>
  </si>
  <si>
    <t>nuevatribuna</t>
  </si>
  <si>
    <t>nuevatribuna.es #Igualdad</t>
  </si>
  <si>
    <t>https://pbs.twimg.com/profile_images/1573013094892175360/wfMGmG5B_normal.jpg</t>
  </si>
  <si>
    <t>1817577881633214616</t>
  </si>
  <si>
    <t>https://x.com/mariacedav/status/1817577881633214616</t>
  </si>
  <si>
    <t>https://pbs.twimg.com/profile_banners/18556155/1663870522</t>
  </si>
  <si>
    <t>https://pbs.twimg.com/profile_banners/2940020207/1726230679</t>
  </si>
  <si>
    <t>Twitter Ads</t>
  </si>
  <si>
    <t>ca</t>
  </si>
  <si>
    <t>Lo peor es cuando he pedido bajar la música, me dicen que si y me miran feo, pero ojalá sintieran el sonido como lo siento yo, porque literalmente DUELE, me perturba varios días, me deja aturdida varios días y me deja escuchando un pitido eterno... pero soy yo 🫠🙃 #TDAHadulto</t>
  </si>
  <si>
    <t>https://pbs.twimg.com/media/G4C5R3BWQAAQ4xv.jpg</t>
  </si>
  <si>
    <t>1817356957008777422</t>
  </si>
  <si>
    <t>anajuegaconnada</t>
  </si>
  <si>
    <t>Yo no entiendo la dinámica de algunos restaurantes. Tienen la música tan duro que no puede hablar pero no es un lugar para bailar.
¿Se supone que comamos en silencio o que empecemos gritar?</t>
  </si>
  <si>
    <t>monmislilith,nuevatribuna</t>
  </si>
  <si>
    <t>1988749442229411988</t>
  </si>
  <si>
    <t>1981712577156534746</t>
  </si>
  <si>
    <t>1815850041913008179</t>
  </si>
  <si>
    <t>1981329552782872749</t>
  </si>
  <si>
    <t>https://x.com/_jaureguipride/status/1988749442229411988</t>
  </si>
  <si>
    <t>https://x.com/Kaoru_Kami/status/1981712577156534746</t>
  </si>
  <si>
    <t>https://x.com/tdahdislex/status/1815850041913008179</t>
  </si>
  <si>
    <t>@idontwa16 @Cardoso Mas o SUS não oferece esses testes pra adulto, a orientação tem que ser nesse sentido. Os médicos da atenção básica não tem qualificação pra descartar a hipótese. Falo pq sou diagnosticada TDAH e os médicos de família tentam desfazer o diagnóstico com achismo TODA VEZ.</t>
  </si>
  <si>
    <t>Kaoru_Kami</t>
  </si>
  <si>
    <t>Kaoru 🍉🦝</t>
  </si>
  <si>
    <t>Me conta você é assim?
Você tem um amigo assim?
#tdah #tdahadulto https://t.co/5L5EZwilk3</t>
  </si>
  <si>
    <t>tdahdislex</t>
  </si>
  <si>
    <t>https://pbs.twimg.com/profile_images/1921006136548892672/y1JWvu5P_normal.jpg</t>
  </si>
  <si>
    <t>Tdahdislex 🎗️ Danilo Barros</t>
  </si>
  <si>
    <t>1361271221657214976</t>
  </si>
  <si>
    <t>https://pbs.twimg.com/profile_images/1685661549598228481/62txBozO_normal.jpg</t>
  </si>
  <si>
    <t>Adulto com atitude de adolescente me irritaaaa, quase quarenta anos e fica de graça porra vira gente</t>
  </si>
  <si>
    <t>_jaureguipride</t>
  </si>
  <si>
    <t>Tha. ◤✠◢</t>
  </si>
  <si>
    <t>988205513916772352</t>
  </si>
  <si>
    <t>https://pbs.twimg.com/profile_images/1978827896895520768/kXlYAd5f_normal.jpg</t>
  </si>
  <si>
    <t>https://pbs.twimg.com/profile_banners/41901913/1673277413</t>
  </si>
  <si>
    <t>https://pbs.twimg.com/profile_banners/1361271221657214976/1634611328</t>
  </si>
  <si>
    <t>https://pbs.twimg.com/profile_banners/988205513916772352/1760624484</t>
  </si>
  <si>
    <t>idontwa16</t>
  </si>
  <si>
    <t>idontwa16,Cardoso</t>
  </si>
  <si>
    <t>1981381228579242467</t>
  </si>
  <si>
    <t>1980973827061416124</t>
  </si>
  <si>
    <t>https://x.com/neurorebelde/status/1981381228579242467</t>
  </si>
  <si>
    <t>https://pbs.twimg.com/media/GTMx---WwAAwndI.jpg</t>
  </si>
  <si>
    <t>@emeffeme @PacoG2023 @Unneurocx @allobe86 Pues será por especialidades (somos referentes mundiales en transplantes), pero si eres TDAH o autista diagnosticado de adulto…..tienes que tener mucha, pero mucha suerte para recibir una atención adecuada en la pública (y es probable que no sea una deficiencia en la formación)</t>
  </si>
  <si>
    <t>emeffeme</t>
  </si>
  <si>
    <t>emeffeme,PacoG2023,Unneurocx,allobe86</t>
  </si>
  <si>
    <t>1981051917972156597</t>
  </si>
  <si>
    <t>1815145628630147368</t>
  </si>
  <si>
    <t>1981039757057548376</t>
  </si>
  <si>
    <t>https://x.com/eumesm0LaPaz/status/1981051917972156597</t>
  </si>
  <si>
    <t>https://x.com/mariacedav/status/1815145628630147368</t>
  </si>
  <si>
    <t>@Anngel_lex @choquei acredito que é um assunto delicado, o pai tem com deficit de atenção, existem 3 tipos de tdah e o do pai é tipo 3, severo. ele homem adulto sofre buillyng, imagina uma criança, tem que preservar msm.</t>
  </si>
  <si>
    <t>eumesm0LaPaz</t>
  </si>
  <si>
    <t>eumesmo.LaPaz</t>
  </si>
  <si>
    <t>1496178583928295424</t>
  </si>
  <si>
    <t>https://pbs.twimg.com/profile_images/1993830062261432320/_Fw9b2xf_normal.jpg</t>
  </si>
  <si>
    <t>Coincidencia? NO LO CREO. 
#TDAHadulto</t>
  </si>
  <si>
    <t>1815099978794111422</t>
  </si>
  <si>
    <t>https://pbs.twimg.com/profile_banners/1496178583928295424/1646601276</t>
  </si>
  <si>
    <t>https://t.co/XuiEcLqqqD</t>
  </si>
  <si>
    <t>https://pbs.twimg.com/media/GTCHz9WW4AAJbkX.jpg</t>
  </si>
  <si>
    <t>Anngel_lex</t>
  </si>
  <si>
    <t>Anngel_lex,choquei</t>
  </si>
  <si>
    <t>1980954600338333962</t>
  </si>
  <si>
    <t>https://x.com/jhonjohnson1488/status/1980954600338333962</t>
  </si>
  <si>
    <t>1871857695059501439</t>
  </si>
  <si>
    <t>https://x.com/SedanoCalleja/status/1871857695059501439</t>
  </si>
  <si>
    <t>tratar con un adulto con TDAH es similar a q te peguen suave pero constantemente con un martillo en la cabeza</t>
  </si>
  <si>
    <t>jhonjohnson1488</t>
  </si>
  <si>
    <t>john johnson 🇮🇱🇵🇸</t>
  </si>
  <si>
    <t>1922888794635665408</t>
  </si>
  <si>
    <t>https://pbs.twimg.com/profile_images/1922890771436335105/-4d5B6iW_normal.jpg</t>
  </si>
  <si>
    <t>1814905405157310479</t>
  </si>
  <si>
    <t>https://x.com/mariacedav/status/1814905405157310479</t>
  </si>
  <si>
    <t>Diagnóstico diferencial del TDAH en el adulto !
https://t.co/sFN0mJ4lI1</t>
  </si>
  <si>
    <t>SedanoCalleja</t>
  </si>
  <si>
    <t>Patricia Calleja Sedano</t>
  </si>
  <si>
    <t>1473331271896080389</t>
  </si>
  <si>
    <t>https://pbs.twimg.com/profile_images/1803399403908038656/bxn8ZUZQ_normal.jpg</t>
  </si>
  <si>
    <t>https://pbs.twimg.com/profile_banners/1922888794635665408/1758848327</t>
  </si>
  <si>
    <t>https://pbs.twimg.com/profile_banners/1473331271896080389/1688412751</t>
  </si>
  <si>
    <t>Descripción gráfica de una espacada de fin de semana de descanso, en un delicioso "baño relajante" para una persona #TDAHadulto tratando de "estar bien": https://t.co/5DCaAYzttn</t>
  </si>
  <si>
    <t>1980650549113679951</t>
  </si>
  <si>
    <t>oliviashavana</t>
  </si>
  <si>
    <t>yo cuando trate d hablar con un pibe https://t.co/bllL2CqGd0</t>
  </si>
  <si>
    <t>https://pbs.twimg.com/media/G3yvLIOWoAAtQqm.jpg,https://pbs.twimg.com/media/G3yvLIGWoAA7tp7.jpg,https://pbs.twimg.com/media/G3yvLIFW4AEq_Jg.jpg</t>
  </si>
  <si>
    <t>https://pbs.twimg.com/media/GS_W2TKXIAAwH10.jpg</t>
  </si>
  <si>
    <t>1987811799677522385</t>
  </si>
  <si>
    <t>1987264138305757545</t>
  </si>
  <si>
    <t>https://x.com/hachiwareangel/status/1987811799677522385</t>
  </si>
  <si>
    <t>1980789929371226407</t>
  </si>
  <si>
    <t>https://x.com/condesatv1/status/1980789929371226407</t>
  </si>
  <si>
    <t>@lynlumizinhos Adultos quando uma pessoa de 13 anos se frustra com os seus próprios problemas, e não consegue lidar com eles como um adulto porque tem só 13 anos https://t.co/9L4n9YvDLX</t>
  </si>
  <si>
    <t>hachiwareangel</t>
  </si>
  <si>
    <t>1813216869437894896</t>
  </si>
  <si>
    <t>liv dracula ♡</t>
  </si>
  <si>
    <t>1819013180691267584</t>
  </si>
  <si>
    <t>https://pbs.twimg.com/profile_images/1988670298191736832/BelV4X4z_normal.jpg</t>
  </si>
  <si>
    <t>https://x.com/pmsaudedigital/status/1813216869437894896</t>
  </si>
  <si>
    <t>Adultos con TDAH sin diagnósticar es el tema que tratamos con la psicóloga clínica @rosannyjavierp en @podcasthablemosdetodo 
Un adulto con TDAH experimenta dificultades en áreas como la atención, la organización y el control de impulsos, lo que puede manifestarse como https://t.co/kR9IS136ro</t>
  </si>
  <si>
    <t>condesatv1</t>
  </si>
  <si>
    <t>Arisleyda  Villalona🇩🇴🇩🇴</t>
  </si>
  <si>
    <t>https://pbs.twimg.com/profile_images/1988655046163070976/KR1WFBcT_normal.jpg</t>
  </si>
  <si>
    <t>https://pbs.twimg.com/profile_banners/1819013180691267584/1762734184</t>
  </si>
  <si>
    <t>Saiba mais: https://t.co/GKh1Wmnqy2
Teste online e gratuito 👆👆
#TDAH #tdahadulto #Autism #saude #saudeemocional #saudemental #CopaAmerica2024 https://t.co/P6xLXV2FLK</t>
  </si>
  <si>
    <t>pmsaudedigital</t>
  </si>
  <si>
    <t>Priscila Martins Saúde Digital</t>
  </si>
  <si>
    <t>1721862287773077504</t>
  </si>
  <si>
    <t>https://pbs.twimg.com/profile_images/1721862431192858624/YiiwoYd0_normal.jpg</t>
  </si>
  <si>
    <t>https://pbs.twimg.com/profile_banners/121287943/1738616733</t>
  </si>
  <si>
    <t>lynlumizinhos</t>
  </si>
  <si>
    <t>https://pbs.twimg.com/media/G5YgTEUXkAIkXAo.jpg</t>
  </si>
  <si>
    <t>https://pbs.twimg.com/amplify_video_thumb/1980789616023130112/img/sUvp9Iz2sWBrwg2Q.jpg</t>
  </si>
  <si>
    <t>1943351954383524254</t>
  </si>
  <si>
    <t>https://x.com/MauricioLeija/status/1943351954383524254</t>
  </si>
  <si>
    <t>https://pbs.twimg.com/profile_banners/1721862287773077504/1699359642</t>
  </si>
  <si>
    <t>https://video.twimg.com/amplify_video/1980789616023130112/vid/avc1/720x1280/KcCgwD8J24H4dX-h.mp4?tag=21</t>
  </si>
  <si>
    <t>TDAH del adulto y tabaquismo. Entrevista al Dr. Mario González.
#TDAHdelAdulto #TDAH #HablemosDelTDAH #Neurodiversidad #Neurodivergencia #Neurodesarrollo #NeurodesarrolloyConducta #HablemosDeSaludMental https://t.co/7cza19lPUa</t>
  </si>
  <si>
    <t>https://pbs.twimg.com/amplify_video_thumb/1943351824024547328/img/ecWQoAKBL1DLIsRT.jpg</t>
  </si>
  <si>
    <t>TDAH,tdahadulto,Autism,saude,saudeemocional,saudemental,CopaAmerica2024</t>
  </si>
  <si>
    <t>http://encurtalink.online/testetdah</t>
  </si>
  <si>
    <t>1980676908464394715</t>
  </si>
  <si>
    <t>https://x.com/zaydevalentinaz/status/1980676908464394715</t>
  </si>
  <si>
    <t>https://video.twimg.com/amplify_video/1943351824024547328/vid/avc1/1280x720/FNYa1aep2_BWO15s.mp4?tag=14</t>
  </si>
  <si>
    <t>https://pbs.twimg.com/ext_tw_video_thumb/1813216827612241920/pu/img/xlNwfjWdrnnOJ8rV.jpg</t>
  </si>
  <si>
    <t>yo tanto que critiqué y ahora resulta ser que soy volcán tdah del adulto, chao nomás</t>
  </si>
  <si>
    <t>zaydevalentinaz</t>
  </si>
  <si>
    <t>zay✨</t>
  </si>
  <si>
    <t>1066000708892352512</t>
  </si>
  <si>
    <t>https://pbs.twimg.com/profile_images/1488001152746676224/NwafY7v7_normal.jpg</t>
  </si>
  <si>
    <t>1961474686472143219</t>
  </si>
  <si>
    <t>https://video.twimg.com/ext_tw_video/1813216827612241920/pu/vid/avc1/720x1280/kAL5lm7AfCYcVPgn.mp4?tag=12</t>
  </si>
  <si>
    <t>https://x.com/updatebangtan_/status/1961474686472143219</t>
  </si>
  <si>
    <t>https://pbs.twimg.com/profile_banners/1066000708892352512/1640867142</t>
  </si>
  <si>
    <t>👤: “não se mova quando estiver sentado”
JK: Eu continuo me movendo?
JK: mas, não consigo evitar. Eu meio que...
JK: é como TDAH adulto
JK: Eu tenho, eu continuo me movendo assim.
🐯 @BTS_twt
https://t.co/Ioaq9YfyNB</t>
  </si>
  <si>
    <t>updatebangtan_</t>
  </si>
  <si>
    <t>Update Bangtan⁷ (HIATUS)</t>
  </si>
  <si>
    <t>1251399343778811904</t>
  </si>
  <si>
    <t>https://pbs.twimg.com/profile_images/1935226338291367936/1hO8E1MZ_normal.jpg</t>
  </si>
  <si>
    <t>1813216738726629461</t>
  </si>
  <si>
    <t>https://x.com/pmsaudedigital/status/1813216738726629461</t>
  </si>
  <si>
    <t>https://pbs.twimg.com/profile_banners/1251399343778811904/1750228887</t>
  </si>
  <si>
    <t>Clique aqui e faça agora:  https://t.co/GKh1Wmnqy2
Teste online e gratuito 👆👆
#TDAH #tdahadulto #Autism #saude #saudeemocional #saudemental #CopaAmerica2024 https://t.co/tiSUblDCtx</t>
  </si>
  <si>
    <t>1980627158625132932</t>
  </si>
  <si>
    <t>1980512709331611872</t>
  </si>
  <si>
    <t>https://x.com/jarkr82/status/1980627158625132932</t>
  </si>
  <si>
    <t>BTS_twt</t>
  </si>
  <si>
    <t>https://pbs.twimg.com/ext_tw_video_thumb/1813216665749876736/pu/img/ctAvhYJxtvy7SYYw.jpg</t>
  </si>
  <si>
    <t>@JucadaN @profefurioso_ Yo tengo un alumnado diverso. Cada uno es muy capaz a su manera. Mi trabajo es maximizar su autonomía y hay alumnos que vienen con su TDAH o con su TEA y otros que no, pero que tienen evidentes dificultades del tipo que sea. Un alumno adulto puede hablarme sobre sus dificultades.</t>
  </si>
  <si>
    <t>jarkr82</t>
  </si>
  <si>
    <t>Jarkolario</t>
  </si>
  <si>
    <t>https://pbs.twimg.com/profile_images/1123586409930137600/aaKwNg3l_normal.jpg</t>
  </si>
  <si>
    <t>https://video.twimg.com/ext_tw_video/1813216665749876736/pu/vid/avc1/576x1024/GpRQ_r-dKj5AR218.mp4?tag=12</t>
  </si>
  <si>
    <t>https://pbs.twimg.com/profile_banners/153311206/1535580536</t>
  </si>
  <si>
    <t>1812958114439627221</t>
  </si>
  <si>
    <t>https://x.com/pmsaudedigital/status/1812958114439627221</t>
  </si>
  <si>
    <t>JucadaN,profefurioso_</t>
  </si>
  <si>
    <t>Saiba mais: https://t.co/wY81DmIwIT
Teste online e gratuito 👆👆
#TDAH #tdahadulto #Autism #saude #saudeemocional #saudemental #CopaAmerica2024 https://t.co/Tu1xrtQ9Cm</t>
  </si>
  <si>
    <t>Lutt ҉</t>
  </si>
  <si>
    <t>https://encurtalink.online/testetdah</t>
  </si>
  <si>
    <t>https://pbs.twimg.com/profile_banners/1967630715526512640/1763745977</t>
  </si>
  <si>
    <t>https://pbs.twimg.com/ext_tw_video_thumb/1812958089923985408/pu/img/cXe7dXgXdyr48Pew.jpg</t>
  </si>
  <si>
    <t>https://video.twimg.com/ext_tw_video/1812958089923985408/pu/vid/avc1/718x1278/bD5IXucRNjNeEd_K.mp4?tag=12</t>
  </si>
  <si>
    <t>1933605162108825963</t>
  </si>
  <si>
    <t>https://x.com/MauricioLeija/status/1933605162108825963</t>
  </si>
  <si>
    <t>1812166654459011252</t>
  </si>
  <si>
    <t>TDAH del adulto: ¿por qué cada caso es único? https://t.co/PRaRtL0j6p</t>
  </si>
  <si>
    <t>https://x.com/psic_sifuentes/status/1812166654459011252</t>
  </si>
  <si>
    <t>1980317816957083798</t>
  </si>
  <si>
    <t>https://x.com/i/broadcasts/1eaKbWvdnbYGX</t>
  </si>
  <si>
    <t>https://x.com/DuganVonda1986/status/1980317816957083798</t>
  </si>
  <si>
    <t>El TDAH no es solo una condición infantil, en adultos que no se detectan tiene mayor probabilidad de presentar trastornos de ansiedad, depresión y de personalidad. Siempre hay tiempo para detectar e intervenir #TDAH #tdahadulto #ansiedad #depresion #neuropsicologia https://t.co/cft0CjoCqP</t>
  </si>
  <si>
    <t>psic_sifuentes</t>
  </si>
  <si>
    <t>DianaSifuentes</t>
  </si>
  <si>
    <t>825891390529880064</t>
  </si>
  <si>
    <t>https://pbs.twimg.com/profile_images/1962314387235995649/CKd6-OmU_normal.jpg</t>
  </si>
  <si>
    <t>Libro TDAH EN EL ADULTO Descargar PDF - Dra. Juncal Sevilla
➡ https://t.co/LuMXBMXhij
Descargar o leer en línea TDAH EN EL ADULTO Libro gratuito (PDF ePub Mobi) de Dra. Juncal Sevilla.
TDAH EN EL ADULTO Dra. Juncal Sevilla PDF, TDAH EN EL ADULTO https://t.co/IVWuYyCGfY</t>
  </si>
  <si>
    <t>https://pbs.twimg.com/profile_banners/825891390529880064/1485744031</t>
  </si>
  <si>
    <t>DuganVonda1986</t>
  </si>
  <si>
    <t>Vonda Dugan</t>
  </si>
  <si>
    <t>1651539640954810371</t>
  </si>
  <si>
    <t>https://pbs.twimg.com/profile_images/1943249874239262723/PHiS0Snq_normal.jpg</t>
  </si>
  <si>
    <t>1917374321967694093</t>
  </si>
  <si>
    <t>https://x.com/akillj0y/status/1917374321967694093</t>
  </si>
  <si>
    <t>TDAH,tdahadulto,ansiedad,depresion,neuropsicologia</t>
  </si>
  <si>
    <t>Deberían dejar de justificar todo exceso con el TDAH. Cuando eres adulto, por tu salud mental y por quienes te rodean, con TDAH o sin el, debes aprender a gestionar tus emociones. Punto.
Puedes prestar un libro en la biblioteca, puedes pagar terapia o simplemente cerrar la boca. https://t.co/Oydr2l835Q</t>
  </si>
  <si>
    <t>akillj0y</t>
  </si>
  <si>
    <t>https://pbs.twimg.com/media/GSYa_duXcAABCkT.jpg,https://pbs.twimg.com/media/GSYa_duWUAEBYbm.jpg,https://pbs.twimg.com/media/GSYa_d3W4AAmFB0.jpg,https://pbs.twimg.com/media/GSYa_doW4AAaWqg.jpg</t>
  </si>
  <si>
    <t>𝒶 killjoy ྀི 🇳🇴🇦🇽🇸🇪</t>
  </si>
  <si>
    <t>1589704718820990976</t>
  </si>
  <si>
    <t>https://pbs.twimg.com/profile_images/1830855310384287750/HyVGfXiG_normal.jpg</t>
  </si>
  <si>
    <t>http://filesbooks.info/x/libro/128180/1388</t>
  </si>
  <si>
    <t>https://pbs.twimg.com/profile_banners/1589704718820990976/1724499995</t>
  </si>
  <si>
    <t>1803985185630757293</t>
  </si>
  <si>
    <t>https://x.com/lolotorresmx/status/1803985185630757293</t>
  </si>
  <si>
    <t>#tdah #tdahinfantil #tdahadulto #tdahadolescentes #fusoa https://t.co/xCPRrWSE5c</t>
  </si>
  <si>
    <t>lolotorresmx</t>
  </si>
  <si>
    <t>https://pbs.twimg.com/media/G3uAeVkWMAAOKT5.jpg</t>
  </si>
  <si>
    <t>Lolo Torres</t>
  </si>
  <si>
    <t>https://pbs.twimg.com/profile_images/1983736835537776641/iYJzQoW2_normal.jpg</t>
  </si>
  <si>
    <t>1974170843828924589</t>
  </si>
  <si>
    <t>1980307834580652049</t>
  </si>
  <si>
    <t>https://x.com/nabi_onandia/status/1974170843828924589</t>
  </si>
  <si>
    <t>https://pbs.twimg.com/profile_banners/294078984/1760971502</t>
  </si>
  <si>
    <t>https://x.com/brxceasxcxs/status/1980307834580652049</t>
  </si>
  <si>
    <t>Si usted es un adulto que vive con TDAH, y sabe que eso siempre le ha afectado socialmente; si usted puede costear medicación referente, wey USELA POR AMOR A DIOS USELA!!</t>
  </si>
  <si>
    <t>brxceasxcxs</t>
  </si>
  <si>
    <t>Ya en Cádiz para asistir al congreso anual de la Sociedad Andaluza de #neuropsicologia, donde abordaré brevemente las diferencias de género y los perfiles atípicos en #TDAH adulto
#Psicologia #Neurodivergencias #SaludMental https://t.co/hsj3dw9wan</t>
  </si>
  <si>
    <t>Bruce A Secas</t>
  </si>
  <si>
    <t>nabi_onandia</t>
  </si>
  <si>
    <t>https://pbs.twimg.com/profile_images/1985392840629682176/BxM4RvO-_normal.jpg</t>
  </si>
  <si>
    <t>Iban Onandia H. PhD. 🧠</t>
  </si>
  <si>
    <t>https://pbs.twimg.com/profile_images/1938687777400389632/lwvajkvb_normal.jpg</t>
  </si>
  <si>
    <t>tdah,tdahinfantil,tdahadulto,tdahadolescentes,fusoa</t>
  </si>
  <si>
    <t>https://pbs.twimg.com/media/GQkK4f4WoAE3vf4.jpg</t>
  </si>
  <si>
    <t>https://pbs.twimg.com/profile_banners/67420920/1736460852</t>
  </si>
  <si>
    <t>https://pbs.twimg.com/profile_banners/301473763/1741343123</t>
  </si>
  <si>
    <t>1798801281235955817</t>
  </si>
  <si>
    <t>https://x.com/Fllexibilidade/status/1798801281235955817</t>
  </si>
  <si>
    <t>1979543248667591098</t>
  </si>
  <si>
    <t>https://x.com/thaisemery/status/1979543248667591098</t>
  </si>
  <si>
    <t>https://t.co/PvyygKK9bX @realvitorant @HeloisaTolipan</t>
  </si>
  <si>
    <t>neuropsicologia,TDAH,Psicologia,Neurodivergencias,SaludMental</t>
  </si>
  <si>
    <t>thaisemery</t>
  </si>
  <si>
    <t>Thais Emery Flores</t>
  </si>
  <si>
    <t>https://pbs.twimg.com/media/G2WppSjXEAAeYUU.jpg</t>
  </si>
  <si>
    <t>https://pbs.twimg.com/profile_images/1973898582601207808/Vk_bSWec_normal.jpg</t>
  </si>
  <si>
    <t>Transformando Impulsos em Estratégias Financeiras: Economizando com TDAH de Forma Inteligente. 💰📊 Conquiste sua estabilidade.
Para muitos com TDAH, lidar com impulsos pode ser um desafio, inclusive nas finanças.
#CompartilheSuasDicas
#TDAHAdulto #EducaçãoFinanceira #Hábitos https://t.co/jSUaCc3vCM</t>
  </si>
  <si>
    <t>Fllexibilidade</t>
  </si>
  <si>
    <t>Flexibilidade Seguro</t>
  </si>
  <si>
    <t>https://pbs.twimg.com/profile_images/464189920618094592/sucnZ0y4_normal.jpeg</t>
  </si>
  <si>
    <t>https://pbs.twimg.com/profile_banners/50846061/1759449070</t>
  </si>
  <si>
    <t>1892319601700028462</t>
  </si>
  <si>
    <t>https://x.com/pau/status/1892319601700028462</t>
  </si>
  <si>
    <t>https://pbs.twimg.com/profile_banners/2482901372/1399507048</t>
  </si>
  <si>
    <t>https://heloisatolipan.com.br/gente/jesus-luz-fala-sobre-vazamento-de-conteudo-adulto-desejo-de-voltar-a-tv-e-convivencia-com-o-tdah/</t>
  </si>
  <si>
    <t>Hace unas semanas me preguntaron... ¿Regalos ideales para hacer a un adulto con TDAH? 
Y después de pensarlo, me di cuenta que el regalo que siempre pido en mis cumpleaños es algo que mucha gente diría que NO es bueno para alguien con TDAH 😂😅
Os lo explicamos... en 1 minuto https://t.co/8Xo0POzldF</t>
  </si>
  <si>
    <t>CompartilheSuasDicas,TDAHAdulto,EducaçãoFinanceira,Hábitos</t>
  </si>
  <si>
    <t>https://pbs.twimg.com/media/GPLDjAfXYAApDf9.jpg</t>
  </si>
  <si>
    <t>https://pbs.twimg.com/ext_tw_video_thumb/1892315826172141568/pu/img/5G2nPS5SoK33VTCG.jpg</t>
  </si>
  <si>
    <t>realvitorant,HeloisaTolipan</t>
  </si>
  <si>
    <t>1798435370226630873</t>
  </si>
  <si>
    <t>1979229104634306562</t>
  </si>
  <si>
    <t>https://x.com/neurosanarte/status/1979229104634306562</t>
  </si>
  <si>
    <t>https://x.com/AlexsimonSeg/status/1798435370226630873</t>
  </si>
  <si>
    <t>🗣️"TDAH EN EL ADULTO" nadie te habla de esto ..
👁️‍🗨️ ¿QUE ME ESTAN PIDIENDO QUE MIRE EN MI TDAH❓
✅ Te está pasando o a alguien que conoces?
✅Estás listo para encontrar respuestas?
✅ Quieres sanar?
No estas Sol@/en esto🤝 Estamos Contigo.
#sanandoeltdah https://t.co/FsmvCorp9q</t>
  </si>
  <si>
    <t>neurosanarte</t>
  </si>
  <si>
    <t>https://video.twimg.com/ext_tw_video/1892315826172141568/pu/vid/avc1/720x1280/PlxWC0dSFLooILQF.mp4?tag=12</t>
  </si>
  <si>
    <t>neurosalud</t>
  </si>
  <si>
    <t>1078742595927506944</t>
  </si>
  <si>
    <t>https://pbs.twimg.com/profile_images/1948253908075241472/GC6K-E-F_normal.jpg</t>
  </si>
  <si>
    <t>Transformando Impulsos em Estratégias Financeiras: Economizando com TDAH de Forma Inteligente. 💰📊 Conquiste sua estabilidade.
Para muitos com TDAH, lidar com impulsos pode ser um desafio, inclusive nas finanças.
#CompartilheSuasDicas
#TDAHAdulto #EducaçãoFinanceira #Hábitos https://t.co/q58n5hJbvl</t>
  </si>
  <si>
    <t>AlexsimonSeg</t>
  </si>
  <si>
    <t>Alexsimon Seguros</t>
  </si>
  <si>
    <t>https://pbs.twimg.com/profile_images/463405532796039168/U0GUXLy7_normal.jpeg</t>
  </si>
  <si>
    <t>sanandoeltdah</t>
  </si>
  <si>
    <t>https://pbs.twimg.com/media/G3eiYTDXsAA3wym.jpg,https://pbs.twimg.com/media/G3eiYTZWoAE56kM.jpg</t>
  </si>
  <si>
    <t>https://pbs.twimg.com/profile_banners/2478776394/1399501983</t>
  </si>
  <si>
    <t>https://pbs.twimg.com/profile_images/1935039325269315584/0U6o_8Zd_normal.jpg</t>
  </si>
  <si>
    <t>1978938337478988096</t>
  </si>
  <si>
    <t>1978441298450284808</t>
  </si>
  <si>
    <t>https://x.com/vicxangwl23/status/1978938337478988096</t>
  </si>
  <si>
    <t>@astronomiaum E um adulto com tdah tbm</t>
  </si>
  <si>
    <t>https://pbs.twimg.com/profile_banners/1910827190410743808/1744412067</t>
  </si>
  <si>
    <t>vicxangwl23</t>
  </si>
  <si>
    <t>Vicxangwl Vitoria</t>
  </si>
  <si>
    <t>1566578703341060096</t>
  </si>
  <si>
    <t>https://pbs.twimg.com/profile_images/1566578781325770753/Vj1_DTYA_normal.jpg</t>
  </si>
  <si>
    <t>https://pbs.twimg.com/media/GPLATosWYAAMSyp.jpg</t>
  </si>
  <si>
    <t>astronomiaum</t>
  </si>
  <si>
    <t>1978129157755146370</t>
  </si>
  <si>
    <t>https://x.com/gi_fiuza/status/1978129157755146370</t>
  </si>
  <si>
    <t>1798399611238797434</t>
  </si>
  <si>
    <t>https://x.com/NeuroMty/status/1798399611238797434</t>
  </si>
  <si>
    <t>nem tudo é tdah gente, as vezes é só um adulto sem organização querendo fazer gracinha na internet</t>
  </si>
  <si>
    <t>gi_fiuza</t>
  </si>
  <si>
    <t>Giovana Fiuza</t>
  </si>
  <si>
    <t>https://pbs.twimg.com/profile_images/1921683251703304192/RwDcxc7p_normal.jpg</t>
  </si>
  <si>
    <t>1728552751427408299</t>
  </si>
  <si>
    <t>https://x.com/emma_sar/status/1728552751427408299</t>
  </si>
  <si>
    <t>“Los síntomas de TDAH en las mujeres pueden ser menos obvios y suelen atribuirse a otras causas, como trastornos de ansiedad o depresión” #bookquotes #tdah #tdahadulto #adhd</t>
  </si>
  <si>
    <t>NeuroMty</t>
  </si>
  <si>
    <t>Neuropsicologia Monterrey</t>
  </si>
  <si>
    <t>https://pbs.twimg.com/profile_banners/2347392518/1410465342</t>
  </si>
  <si>
    <t>1010965028441346050</t>
  </si>
  <si>
    <t>https://pbs.twimg.com/profile_images/1178170882981793792/Wp29KRAz_normal.jpg</t>
  </si>
  <si>
    <t>En el 65% de los casos el TDAH persiste en los adultos y suele ayer muy disfuncional. Dime cuáles han sido tus peores anécdotas como adulto con TDAH , desde no prestar atención, ser muy impulsivo o postergar todo. 
Te leo y te respondo</t>
  </si>
  <si>
    <t>emma_sar</t>
  </si>
  <si>
    <t>Emmanuel Sarmiento</t>
  </si>
  <si>
    <t>https://pbs.twimg.com/profile_images/1936446647254294528/hktjcz2s_normal.jpg</t>
  </si>
  <si>
    <t>https://pbs.twimg.com/profile_banners/1010965028441346050/1529949647</t>
  </si>
  <si>
    <t>https://pbs.twimg.com/profile_banners/450310216/1750519844</t>
  </si>
  <si>
    <t>1978072243721699396</t>
  </si>
  <si>
    <t>1977903357084770466</t>
  </si>
  <si>
    <t>https://x.com/Malzaelhumilde_/status/1978072243721699396</t>
  </si>
  <si>
    <t>@Yunna_Moo Yo es que con la tontá del TDAH, junto a básicamente tener que llevar una vida de adulto funcional, parece que paso de la gente, cuando simplemente no me da más la cabeza jsjsjs</t>
  </si>
  <si>
    <t>Malzaelhumilde_</t>
  </si>
  <si>
    <t>Ferxhou Bendito por la Tormenta</t>
  </si>
  <si>
    <t>https://pbs.twimg.com/profile_images/1819702321787338752/fsm1bt7r_normal.jpg</t>
  </si>
  <si>
    <t>1917088187597390065</t>
  </si>
  <si>
    <t>https://x.com/daesungssexual/status/1917088187597390065</t>
  </si>
  <si>
    <t>bookquotes,tdah,tdahadulto,adhd</t>
  </si>
  <si>
    <t>https://pbs.twimg.com/profile_banners/1487686428/1610482036</t>
  </si>
  <si>
    <t>Detergentes, principalmente os TDAH's: Vocês também tem ÓDIO disso?! Tipo... COMO??? Poha, deve ser bom pra krl gostar de ler e ser neurotípico. Isso é muito frustrante, ainda mais pra um adulto.</t>
  </si>
  <si>
    <t>daesungssexual</t>
  </si>
  <si>
    <t>Ăkemi⁴ 土🐺🌐 hexatombe🩸</t>
  </si>
  <si>
    <t>1176258873575038976</t>
  </si>
  <si>
    <t>https://pbs.twimg.com/profile_images/1987670593966112768/WLsf6i0I_normal.jpg</t>
  </si>
  <si>
    <t>1798399287426171004</t>
  </si>
  <si>
    <t>https://pbs.twimg.com/profile_banners/1176258873575038976/1761074601</t>
  </si>
  <si>
    <t>Yunna_Moo</t>
  </si>
  <si>
    <t>https://x.com/NeuroMty/status/1798399287426171004</t>
  </si>
  <si>
    <t>1978002179358147068</t>
  </si>
  <si>
    <t>1977765156730843461</t>
  </si>
  <si>
    <t>https://x.com/cienlargosdias/status/1978002179358147068</t>
  </si>
  <si>
    <t>1916907098882888175</t>
  </si>
  <si>
    <t>yourdearlacy</t>
  </si>
  <si>
    <t>vi uma menina no tiktok dizendo que leu um livro de MIL E TREZENTAS PÁGINAS EM 1 DIA https://t.co/StyiJa4RLd</t>
  </si>
  <si>
    <t>https://pbs.twimg.com/media/Gpo42RwW4AAIVXa.jpg</t>
  </si>
  <si>
    <t>@Polisseo Y hay otros niños que ni tienen TDAH ni tienen coeficiente bajo, tienen lo que antes se llamaba mala educación, y la medicación tampoco es que haga mucho en este. La mala educación por ejemplo, es no enseñar a tu hijo a que atienda cuando un adulto habla, o a que se esté quieto</t>
  </si>
  <si>
    <t>cienlargosdias</t>
  </si>
  <si>
    <t>Amaranta Buendía Iguarán</t>
  </si>
  <si>
    <t>“Las niñas y mujeres tienen la misma probabilidad de tener TDAH, el problema es que se diagnostica menos en ellas” #bookquotes #tdah #tdahadulto #adhd</t>
  </si>
  <si>
    <t>https://pbs.twimg.com/profile_images/1612189531167498240/knLgm8x8_normal.jpg</t>
  </si>
  <si>
    <t>1874958746876842075</t>
  </si>
  <si>
    <t>1874954615768371495</t>
  </si>
  <si>
    <t>https://x.com/MrDoctorOficial/status/1874958746876842075</t>
  </si>
  <si>
    <t>https://pbs.twimg.com/profile_banners/276388974/1480008318</t>
  </si>
  <si>
    <t>@ElPaido ⚠️TDAH del ADULTO: ASÍ se CURA según PSIQUIATRA ESPECIALISTA ‼️ | #Diagnóstico 90 | Mr Doctor
https://t.co/Dl79xvdWRN
HOY - 06:00 P.M. - YouTube
¡Amigos! Nuestro invitado de hoy nos contará todo lo que debemos saber sobre el TDAH 🤔 ¡Bienvenidos! 😎🔥 https://t.co/5PSEaBTaqa</t>
  </si>
  <si>
    <t>MrDoctorOficial</t>
  </si>
  <si>
    <t>Mr Doctor</t>
  </si>
  <si>
    <t>766001876735262720</t>
  </si>
  <si>
    <t>https://pbs.twimg.com/profile_images/1988031673984753664/Eh90CswQ_normal.jpg</t>
  </si>
  <si>
    <t>1798399102511694225</t>
  </si>
  <si>
    <t>https://x.com/NeuroMty/status/1798399102511694225</t>
  </si>
  <si>
    <t>Polisseo</t>
  </si>
  <si>
    <t>1977958391969415301</t>
  </si>
  <si>
    <t>https://pbs.twimg.com/profile_banners/766001876735262720/1714452764</t>
  </si>
  <si>
    <t>https://x.com/viadescapetv/status/1977958391969415301</t>
  </si>
  <si>
    <t>“Las mujeres con TDAH a menudo están subdiagnosticadas y subtratadas, lo que puede llevar a problemas adicionales de salud mental” #bookquotes #tdah #tdahadulto #adhd</t>
  </si>
  <si>
    <t>El #TDAH adulto: por qué ser mujer implica un mayor impacto https://t.co/z8hiDKHx3f</t>
  </si>
  <si>
    <t>viadescapetv</t>
  </si>
  <si>
    <t>ViadescapeTV</t>
  </si>
  <si>
    <t>https://pbs.twimg.com/profile_images/1232378473651539968/O1Ihu2EC_normal.jpg</t>
  </si>
  <si>
    <t>1798121600904237075</t>
  </si>
  <si>
    <t>Diagnóstico</t>
  </si>
  <si>
    <t>https://youtu.be/4_fPU97rNRU</t>
  </si>
  <si>
    <t>https://x.com/NeuroMty/status/1798121600904237075</t>
  </si>
  <si>
    <t>https://pbs.twimg.com/profile_banners/141214180/1583003072</t>
  </si>
  <si>
    <t>“El diagnóstico de TDAH no debe verse como una limitación, sino como una oportunidad para comprenderse mejor a sí mismo y encontrar formas efectivas de enfrentar los desafíos” #bookquotes #tdah #tdahadulto</t>
  </si>
  <si>
    <t>https://pbs.twimg.com/ext_tw_video_thumb/1874958292155314176/pu/img/ZMqC0F9u6vNWoADk.jpg</t>
  </si>
  <si>
    <t>bookquotes,tdah,tdahadulto</t>
  </si>
  <si>
    <t>1798078015252914266</t>
  </si>
  <si>
    <t>TDAH</t>
  </si>
  <si>
    <t>https://www.psyciencia.com/el-tdah-adulto-por-que-ser-mujer-implica-un-mayor-impacto/</t>
  </si>
  <si>
    <t>https://x.com/MajesegSeguros/status/1798078015252914266</t>
  </si>
  <si>
    <t>https://video.twimg.com/ext_tw_video/1874958292155314176/pu/vid/avc1/1280x720/YnXFOOcH7NvrIfM7.mp4?tag=12</t>
  </si>
  <si>
    <t>Transformando Impulsos em Estratégias Financeiras: Economizando com TDAH de Forma Inteligente. 💰📊 Conquiste sua estabilidade.
#CompartilheSuasDicas
#TDAHAdulto #EducaçãoFinanceira #HábitosFinanceiros #ApoioInabalável #JuntosPeloBemEstar https://t.co/ehDutM6c9g</t>
  </si>
  <si>
    <t>MajesegSeguros</t>
  </si>
  <si>
    <t>Majeseg Seguros</t>
  </si>
  <si>
    <t>https://pbs.twimg.com/profile_images/464224594920869888/lNekW1Va_normal.jpeg</t>
  </si>
  <si>
    <t>1912729628113875317</t>
  </si>
  <si>
    <t>1977197725382066626</t>
  </si>
  <si>
    <t>1977131428925391265</t>
  </si>
  <si>
    <t>https://x.com/lovatorealist/status/1977197725382066626</t>
  </si>
  <si>
    <t>https://x.com/psiquiatria_mty/status/1912729628113875317</t>
  </si>
  <si>
    <t>https://pbs.twimg.com/profile_banners/2483025594/1399515333</t>
  </si>
  <si>
    <t>@demicabofriense Amg eu to numa luta pq muitas das referências que encontro só focam no tdah infantil kkkkkkkkk mas achei um livro pra leigos chamado vencendo o tdah adulto (foi escrito por psicólogo então é seguro) que está sendo muito bom</t>
  </si>
  <si>
    <t>Hablamos de los principales criterios del TDAH en el Adulto. Check out the latest episode of Psiquiatría Integral! Listen to the full podcast here https://t.co/g2fFkOkHDd (video made with https://t.co/9Jw2GXFgKZ) https://t.co/zp1CjX2nWw</t>
  </si>
  <si>
    <t>lovatorealist</t>
  </si>
  <si>
    <t>lane | cr: coroa da meia-noite</t>
  </si>
  <si>
    <t>1034932200381317120</t>
  </si>
  <si>
    <t>https://pbs.twimg.com/profile_images/1993042641995341824/8u4HiOac_normal.jpg</t>
  </si>
  <si>
    <t>CompartilheSuasDicas,TDAHAdulto,EducaçãoFinanceira,HábitosFinanceiros,ApoioInabalável,JuntosPeloBemEstar</t>
  </si>
  <si>
    <t>https://pbs.twimg.com/ext_tw_video_thumb/1912729594022461441/pu/img/6Ajbr4BP8t1EWaKi.jpg</t>
  </si>
  <si>
    <t>https://pbs.twimg.com/media/GPLE5pDXoAE4ysp.jpg</t>
  </si>
  <si>
    <t>https://pbs.twimg.com/profile_banners/1034932200381317120/1757968822</t>
  </si>
  <si>
    <t>1798029607834436089</t>
  </si>
  <si>
    <t>https://x.com/elneuropediatra/status/1798029607834436089</t>
  </si>
  <si>
    <t>https://video.twimg.com/ext_tw_video/1912729594022461441/pu/vid/avc1/720x720/coZha1m3mmbnxNFd.mp4?tag=12</t>
  </si>
  <si>
    <t>demicabofriense</t>
  </si>
  <si>
    <t>1977071769400848784</t>
  </si>
  <si>
    <t>https://x.com/logopedico/status/1977071769400848784</t>
  </si>
  <si>
    <t>NUEVO PODCAST 🎙️ Hoy hablamos sobre #TDAHadulto con la historia de Domingo J. Guerrero. Nos cuenta cómo el diagnóstico de #TDAH cambió su vida https://t.co/srKeoS3XNf</t>
  </si>
  <si>
    <t>elneuropediatra</t>
  </si>
  <si>
    <t>Dr. Manuel Antonio Fernandez</t>
  </si>
  <si>
    <t>https://pbs.twimg.com/profile_images/1707653377050521600/uRq160FU_normal.jpg</t>
  </si>
  <si>
    <t>1850539457205669985</t>
  </si>
  <si>
    <t>https://x.com/TdahVallesRadio/status/1850539457205669985</t>
  </si>
  <si>
    <t>¿Eres tú, soy yo o es el TDAH adulto? Cómo parar la montaña rusa cuando tu pareja tiene un trastorno por déficit de atención.
 Este libro describe el TDAH en detalle y ayuda a las parejas con este reto adicional a encontrar esperanza y soluciones.
https://t.co/xWiieTF6ie https://t.co/Dt97PypGuV</t>
  </si>
  <si>
    <t>logopedico</t>
  </si>
  <si>
    <t>Espacio Logopédico</t>
  </si>
  <si>
    <t>https://pbs.twimg.com/profile_images/466500995346755584/Fyhu8cAd_normal.png</t>
  </si>
  <si>
    <t>https://pbs.twimg.com/profile_banners/337569038/1515873527</t>
  </si>
  <si>
    <t>Hoy 27 octubre, dia del #TDAH estrenamos canción. 
TDAH adulto en primera persona:
https://t.co/K6pUMKyDVC
Escúchala ahora. 👆👆👆"Mi Revolución"</t>
  </si>
  <si>
    <t>TdahVallesRadio</t>
  </si>
  <si>
    <t>TDAHVallès Radio</t>
  </si>
  <si>
    <t>https://pbs.twimg.com/profile_images/1841389203738796032/N93NlVyn_normal.png</t>
  </si>
  <si>
    <t>https://pbs.twimg.com/profile_banners/31093614/1400058512</t>
  </si>
  <si>
    <t>https://pbs.twimg.com/profile_banners/2961937221/1727856406</t>
  </si>
  <si>
    <t>https://i.mtr.cool/okjokjgjho</t>
  </si>
  <si>
    <t>https://buff.ly/yYRZTpf</t>
  </si>
  <si>
    <t>https://youtu.be/C4s8TcHJ6Cs</t>
  </si>
  <si>
    <t>https://pbs.twimg.com/media/G2_4TAhWAAAFB6G.jpg</t>
  </si>
  <si>
    <t>1930135274798919870</t>
  </si>
  <si>
    <t>1795822119697400131</t>
  </si>
  <si>
    <t>https://x.com/MauricioLeija/status/1930135274798919870</t>
  </si>
  <si>
    <t>https://x.com/milagorriti/status/1795822119697400131</t>
  </si>
  <si>
    <t>Congresos de psiquiatría y TDAH del adulto.
#TDAHdelAdulto #TDAH #HablemosDelTDAH #Neurodiversidad #Neurodivergencia #Neurodesarrollo #NeurodesarrolloyConducta #HablemosDeSaludMental https://t.co/pINABlp4n7</t>
  </si>
  <si>
    <t>1977061972697850340</t>
  </si>
  <si>
    <t>Comparto con vosotros la entrevista que me hizo el viernes pasado el @elneuropediatra. Merece la pena. Mantuvimos una charla  sobre el TDAH y sus cormobilidades muy interesante. #tdah #tdahadulto #mividaconuntdah #nevergiveup #TDAH #ADHD #dislexia 
https://t.co/S4AaPRuo49</t>
  </si>
  <si>
    <t>1977058199296475550</t>
  </si>
  <si>
    <t>milagorriti</t>
  </si>
  <si>
    <t>https://x.com/lemavosk/status/1977061972697850340</t>
  </si>
  <si>
    <t>https://pbs.twimg.com/profile_images/933720057322057730/D13GPxaY_normal.jpg</t>
  </si>
  <si>
    <t>https://pbs.twimg.com/amplify_video_thumb/1930133636897988608/img/4LSRTDmGGA1lROt4.jpg</t>
  </si>
  <si>
    <t>Ah pq eu eu tenho TDAH.
Transtorno não é doença, é condição. Se você não se ocupa de se tornar um adulto funcional com a sua condição não cobre dos outros que se ocupe do seu comodismo. 
O que eu vejo de gente dando essa cartada e sobrecarregando os outros, olha...</t>
  </si>
  <si>
    <t>lemavosk</t>
  </si>
  <si>
    <t>Tá lendo? 📚</t>
  </si>
  <si>
    <t>https://pbs.twimg.com/profile_images/1753625658603798528/dCsFV2vA_normal.jpg</t>
  </si>
  <si>
    <t>https://pbs.twimg.com/profile_banners/428873334/1514322460</t>
  </si>
  <si>
    <t>https://video.twimg.com/amplify_video/1930133636897988608/vid/avc1/1920x1080/AD0nQ_o1l-gT4Wd-.mp4?tag=21</t>
  </si>
  <si>
    <t>https://pbs.twimg.com/profile_banners/260040990/1763340024</t>
  </si>
  <si>
    <t>1931786348727284052</t>
  </si>
  <si>
    <t>https://x.com/MauricioLeija/status/1931786348727284052</t>
  </si>
  <si>
    <t>TDAH del ADULTO: ASÍ lo DIAGNOSTICARON, mis SÍNTOMAS y cómo me CURÉ | Mr... https://t.co/SlV3uicIb6 a través de @YouTube</t>
  </si>
  <si>
    <t>1976134916418019612</t>
  </si>
  <si>
    <t>1976045988109484279</t>
  </si>
  <si>
    <t>https://x.com/Didi_TreG/status/1976134916418019612</t>
  </si>
  <si>
    <t>https://youtu.be/27Iu9mDJpO4?si=utNmOi9O41JsRRhv</t>
  </si>
  <si>
    <t>@Milettttttttttt @castillocmz ¿El TDAH? ¿El mismo que le preguntó directamente? Todos hablaron pestes de Dalílah y lo siguen haciendo. Querían que ella no reaccionara —y sí, se invocó muchas veces—, pero para nada como la quieren pintar. En fin, Aldo es un adulto de 26 añotes que puede sacar sus conclusiones</t>
  </si>
  <si>
    <t>Didi_TreG</t>
  </si>
  <si>
    <t>tdah,tdahadulto,mividaconuntdah,nevergiveup,TDAH,ADHD,dislexia</t>
  </si>
  <si>
    <t>Laura no esta, Laura se fue</t>
  </si>
  <si>
    <t>1672068493972258819</t>
  </si>
  <si>
    <t>https://elneuropediatra.es/ep-2x22-un-tdah-da-para-escribir-un-libro-o-dos-con-mila-gorriti/</t>
  </si>
  <si>
    <t>https://pbs.twimg.com/profile_images/1977574357095350272/pXT7Q63C_normal.jpg</t>
  </si>
  <si>
    <t>1595093661842550784</t>
  </si>
  <si>
    <t>https://x.com/DrSylveonPsyq/status/1595093661842550784</t>
  </si>
  <si>
    <t>https://pbs.twimg.com/profile_banners/1672068493972258819/1749291201</t>
  </si>
  <si>
    <t>Como sobreviví aquí está el hilo 🧵 prometido, qué titularemos:
“Problemas en la relación de pareja en el adulto con TDAH”
Pongan sus palomitas y su música deprimente que nos vamos</t>
  </si>
  <si>
    <t>DrSylveonPsyq</t>
  </si>
  <si>
    <t>Dr. Sylveon O’Hara 🔞®️</t>
  </si>
  <si>
    <t>733619018897063936</t>
  </si>
  <si>
    <t>https://pbs.twimg.com/profile_images/1856092046043299840/4aD1eKyh_normal.jpg</t>
  </si>
  <si>
    <t>Milettttttttttt</t>
  </si>
  <si>
    <t>https://pbs.twimg.com/profile_banners/733619018897063936/1717635158</t>
  </si>
  <si>
    <t>1795495359004991871</t>
  </si>
  <si>
    <t>Milettttttttttt,castillocmz</t>
  </si>
  <si>
    <t>1976066420153909489</t>
  </si>
  <si>
    <t>1975936093653528655</t>
  </si>
  <si>
    <t>https://x.com/loqmsalvolavida/status/1795495359004991871</t>
  </si>
  <si>
    <t>https://x.com/Inovarem_lounge/status/1976066420153909489</t>
  </si>
  <si>
    <t>Vamos a aprender un poco de TDAH en la vida adulta. 
#TDAH #tdahadulto #habilidososdemontañeses #Neurodiversidad #neurodesarrollo
https://t.co/gtGnHCsDjf</t>
  </si>
  <si>
    <t>@comohacerqmh Tu hilo me dejo totalmente sin palabras, como adolescente-casi adulto que padece de TDAH tuve que verme obligado a generar este tipo de habilidades y unos años después, les puedo garantizar que el resultado es increíble.</t>
  </si>
  <si>
    <t>loqmsalvolavida</t>
  </si>
  <si>
    <t>Inovarem_lounge</t>
  </si>
  <si>
    <t>Lo que me salvó la vida</t>
  </si>
  <si>
    <t>Inovarem</t>
  </si>
  <si>
    <t>1781043628908986368</t>
  </si>
  <si>
    <t>1934056666674110464</t>
  </si>
  <si>
    <t>1930122161517121711</t>
  </si>
  <si>
    <t>https://pbs.twimg.com/profile_images/1781043747167289344/5QNj33E2_normal.jpg</t>
  </si>
  <si>
    <t>https://pbs.twimg.com/profile_images/1950018802286018560/dIYdtxRU_normal.jpg</t>
  </si>
  <si>
    <t>https://x.com/MauricioLeija/status/1930122161517121711</t>
  </si>
  <si>
    <t>La falta de información sobre TDAH del adulto en congresos de psiquiatría.
#TDAHdelAdulto #TDAH #HablemosDelTDAH #Neurodiversidad #Neurodivergencia #Neurodesarrollo #NeurodesarrolloyConducta #HablemosDeSaludMental https://t.co/OBcedSXL5H</t>
  </si>
  <si>
    <t>https://pbs.twimg.com/profile_banners/1934056666674110464/1754527556</t>
  </si>
  <si>
    <t>https://pbs.twimg.com/amplify_video_thumb/1930120826981888000/img/EzTCU5JBkPehyjTl.jpg</t>
  </si>
  <si>
    <t>TDAH,tdahadulto,habilidososdemontañeses,Neurodiversidad,neurodesarrollo</t>
  </si>
  <si>
    <t>https://www.instagram.com/p/C7hCnsZAY_w/?igsh=MXF1Zm81dGZvbmtlaA==</t>
  </si>
  <si>
    <t>https://video.twimg.com/amplify_video/1930120826981888000/vid/avc1/1080x1920/K3Iwpp-wZlwZoqmu.mp4?tag=21</t>
  </si>
  <si>
    <t>comohacerqmh</t>
  </si>
  <si>
    <t>1975848378186772641</t>
  </si>
  <si>
    <t>1975846131369439242</t>
  </si>
  <si>
    <t>https://x.com/neurorebelde/status/1975848378186772641</t>
  </si>
  <si>
    <t>-58.531792,-34.604315</t>
  </si>
  <si>
    <t>Ciudad Autónoma de Buenos Aires, Argentina</t>
  </si>
  <si>
    <t>1782385788010832017</t>
  </si>
  <si>
    <t>https://x.com/feaadah/status/1782385788010832017</t>
  </si>
  <si>
    <t>1910018750553677841</t>
  </si>
  <si>
    <t>@SedanoCalleja Llegado el caso no me parece lo más gordo. Es que se ha puesto en riesgo a personas…y sobre todo, que se supone que su formación es científica. Lo de “en esto no creo” no debería ser opcional (como lo de un psiquiatra que no “crea” en el TDAH adulto)</t>
  </si>
  <si>
    <t>https://x.com/rainwellsoon/status/1910018750553677841</t>
  </si>
  <si>
    <t>Nuestra presidenta, Maite Urkizu, habla con @Nesplora sobre cómo afecta el diagnóstico de TDAH en un adulto, concretamente en su ámbito laboral. 🧡
#feaadah #tdah #tdahadulto #diagnosticotdah</t>
  </si>
  <si>
    <t>Feaadah</t>
  </si>
  <si>
    <t>https://pbs.twimg.com/profile_images/1976590156187512832/_VGxXwTK_normal.jpg</t>
  </si>
  <si>
    <t>puedes tener tdah y ser un adulto funcional</t>
  </si>
  <si>
    <t>rainwellsoon</t>
  </si>
  <si>
    <t>⭐️</t>
  </si>
  <si>
    <t>1354149860325421059</t>
  </si>
  <si>
    <t>https://pbs.twimg.com/profile_images/1766574435564142592/LdNTKyUe_normal.jpg</t>
  </si>
  <si>
    <t>1975587869470101874</t>
  </si>
  <si>
    <t>1975530358993977730</t>
  </si>
  <si>
    <t>https://x.com/Marc_avasco/status/1975587869470101874</t>
  </si>
  <si>
    <t>https://pbs.twimg.com/profile_banners/518324519/1761211140</t>
  </si>
  <si>
    <t>@leonardo1opes Eu tenho TDAH diagnosticado desde os 6 anos. Conviver com a disfuncionalidade me atrapalha muito no cotidiano, mas nada que enseje um tratamento especial. A verdade é que o TDAH adulto que já alcançou sua independência raramente é disfuncional ao ponto de precisar desse adereço.</t>
  </si>
  <si>
    <t>Marc_avasco</t>
  </si>
  <si>
    <t>Marco A.</t>
  </si>
  <si>
    <t>1581762738782670849</t>
  </si>
  <si>
    <t>https://pbs.twimg.com/profile_banners/1354149860325421059/1732025319</t>
  </si>
  <si>
    <t>https://pbs.twimg.com/profile_images/1666123556122394626/VtDPlJVX_normal.jpg</t>
  </si>
  <si>
    <t>1782384076361511426</t>
  </si>
  <si>
    <t>Nesplora</t>
  </si>
  <si>
    <t>¿Cómo afecta el diagnóstico de TDAH a un adulto en su ámbito laboral?
Maite Urkizu, presidenta de @feaadah  nos lo cuenta.
How does the diagnosis of ADHD affect an adult in their workplace?
https://t.co/UCOfjigynA
🧠 Neuropsychological assessment through virtual reality https://t.co/d5Og1hScQm</t>
  </si>
  <si>
    <t>https://pbs.twimg.com/ext_tw_video_thumb/1782383065483857920/pu/img/IoBSFzzJIzS6w62A.jpg</t>
  </si>
  <si>
    <t>https://pbs.twimg.com/profile_banners/1581762738782670849/1686070174</t>
  </si>
  <si>
    <t>1909717030233948214</t>
  </si>
  <si>
    <t>Andreacrs20</t>
  </si>
  <si>
    <t>Hablando de TDAH, quiero desahogarme y decir que vivir con alguien así es más cansador que la cresta. Estar recordandole weas a alguien BÁSICAS, todos los días de la forma más respetuosa posible es terriblemente frustrante y agotador</t>
  </si>
  <si>
    <t>1891881146377462157</t>
  </si>
  <si>
    <t>https://x.com/giputxilandia/status/1891881146377462157</t>
  </si>
  <si>
    <t>feaadah,tdah,tdahadulto,diagnosticotdah</t>
  </si>
  <si>
    <t>leonardo1opes</t>
  </si>
  <si>
    <t>1975576673476309279</t>
  </si>
  <si>
    <t>1776283522887553359</t>
  </si>
  <si>
    <t>https://x.com/shadowcatrj/status/1975576673476309279</t>
  </si>
  <si>
    <t>Siendo profe con alumnos de TDAH, y visto cómo hablas tan a la ligera, te recomiendo un libro que seguro te interesará... igual te ayudará a entender mejor qué es el TDAH ( en este caso TDAH adulto)
No todo el mundo es apto para tomar medicación.  #Ruscar18F https://t.co/75kjnQ17MY</t>
  </si>
  <si>
    <t>https://x.com/NeuroMty/status/1776283522887553359</t>
  </si>
  <si>
    <t>giputxilandia</t>
  </si>
  <si>
    <t>Nhoa-Giputxilandia🌰🍄🍄‍🟫</t>
  </si>
  <si>
    <t>1874527572618313728</t>
  </si>
  <si>
    <t>https://pbs.twimg.com/profile_images/1874528523727056896/d6ww0ylA_normal.jpg</t>
  </si>
  <si>
    <t>@leonardo1opes Seu filho de ser um adulto minimamente funcional sob o risco de ter sua condução invalidada por um completo estranho ( como você fez), acontece que há diversos espectros, meu professor é doutor em bioquimica e tem tdah diagnosticado mas ao invés de pensar " po deve ser mentira"+</t>
  </si>
  <si>
    <t>shadowcatrj</t>
  </si>
  <si>
    <t>𝔐𝔢𝔡𝔲𝔰𝔞❤️‍🔥</t>
  </si>
  <si>
    <t>752939522439180290</t>
  </si>
  <si>
    <t>https://pbs.twimg.com/profile_images/1696183638142906368/B1aVllFI_normal.jpg</t>
  </si>
  <si>
    <t>#tdah #tdahadulto #adhd https://t.co/MGruLYK83R</t>
  </si>
  <si>
    <t>https://pbs.twimg.com/profile_banners/1874527572618313728/1749400153</t>
  </si>
  <si>
    <t>https://pbs.twimg.com/profile_banners/752939522439180290/1671072896</t>
  </si>
  <si>
    <t>tdah,tdahadulto,adhd</t>
  </si>
  <si>
    <t>https://pbs.twimg.com/media/GKagcjoXUAETUo1.jpg,https://pbs.twimg.com/media/GKagcjpXkAAysYG.jpg</t>
  </si>
  <si>
    <t>1891639614634406029</t>
  </si>
  <si>
    <t>LaSenda13</t>
  </si>
  <si>
    <t>Siendo profe de cientos de alumnos/as con TDAH, me parece un insulto que hables de ello tan ligeramente, pues ninguno suelta las burradas que sueltas tú por esa sucia boca. Por cierto, existe medicación, pero ya no podrías justificar la mierda de persona que eres. #GH18F</t>
  </si>
  <si>
    <t>Ruscar18F</t>
  </si>
  <si>
    <t>https://pbs.twimg.com/media/GkFP4E5WgAAGIif.jpg</t>
  </si>
  <si>
    <t>1975068834580361285</t>
  </si>
  <si>
    <t>https://x.com/bizarraventura/status/1975068834580361285</t>
  </si>
  <si>
    <t>1775569134052344303</t>
  </si>
  <si>
    <t>1954517963807060217</t>
  </si>
  <si>
    <t>https://x.com/NeuroMty/status/1775569134052344303</t>
  </si>
  <si>
    <t>https://x.com/MauricioLeija/status/1954517963807060217</t>
  </si>
  <si>
    <t>Nunca había conocido tanto adulto con TDAH hasta que empecé a patinar</t>
  </si>
  <si>
    <t>bizarraventura</t>
  </si>
  <si>
    <t>mutual feelings 3 inches</t>
  </si>
  <si>
    <t>https://pbs.twimg.com/profile_images/1880492505298300928/-5wLvuJC_normal.jpg</t>
  </si>
  <si>
    <t>#tdah #tdahadulto #adhd https://t.co/9WBPL66e1k</t>
  </si>
  <si>
    <t>¿Debe ser la primera línea de tratamiento para el TDAH del adulto los medicamentos estimulantes como metilfenidato? 
#TDAHdelAdulto #TDAH #HablemosDelTDAH #Neurodiversidad #Neurodivergencia #Neurodesarrollo #NeurodesarrolloyConducta #HablemosDeSaludMental https://t.co/YIDhzbTKdr</t>
  </si>
  <si>
    <t>https://pbs.twimg.com/profile_banners/2187251041/1450510480</t>
  </si>
  <si>
    <t>https://pbs.twimg.com/media/GKQWt3NXYAMzk6c.jpg</t>
  </si>
  <si>
    <t>https://pbs.twimg.com/amplify_video_thumb/1954517147935203328/img/DFOjQwBaBEmRwIRd.jpg</t>
  </si>
  <si>
    <t>1775174847997378893</t>
  </si>
  <si>
    <t>1975000183164346744</t>
  </si>
  <si>
    <t>https://x.com/NeuroMty/status/1775174847997378893</t>
  </si>
  <si>
    <t>https://x.com/AlfredoAlvarezz/status/1975000183164346744</t>
  </si>
  <si>
    <t>https://video.twimg.com/amplify_video/1954517147935203328/vid/avc1/1920x1088/-GXm0_4xs0TOulnQ.mp4?tag=21</t>
  </si>
  <si>
    <t>Un adulto describe cómo descubrió que sus problemas de siempre eran en realidad síntomas de TDAH después de ver una lista en Internet y buscar ayuda profesional. #TDAH #saludmental https://t.co/e9FsvgvVAY</t>
  </si>
  <si>
    <t>AlfredoAlvarezz</t>
  </si>
  <si>
    <t>Alfredo Alvarez</t>
  </si>
  <si>
    <t>#tdah #tdahadulto #adhd https://t.co/tnGOsHi48y</t>
  </si>
  <si>
    <t>https://pbs.twimg.com/profile_images/482530070209130497/Gt7ngfhx_normal.jpeg</t>
  </si>
  <si>
    <t>1924232790213538006</t>
  </si>
  <si>
    <t>https://pbs.twimg.com/media/GKKwHbOXEAAqaxo.jpg</t>
  </si>
  <si>
    <t>https://x.com/MatsuiArt/status/1924232790213538006</t>
  </si>
  <si>
    <t>https://pbs.twimg.com/profile_banners/154403438/1747941937</t>
  </si>
  <si>
    <t>Tem alguns assuntos q romantizam por aí, vira tema de memes infinitos mas só quem realmente sofre com TDAH adulto sabe o tanto q essa merda só afunda a vida da gente. Krl q bgl bizarro de se lidar</t>
  </si>
  <si>
    <t>MatsuiArt</t>
  </si>
  <si>
    <t>Matsui</t>
  </si>
  <si>
    <t>https://pbs.twimg.com/profile_images/1897349690259070976/hgWJ5Oua_normal.jpg</t>
  </si>
  <si>
    <t>1773500812632756332</t>
  </si>
  <si>
    <t>https://x.com/Miguel_Mawad/status/1773500812632756332</t>
  </si>
  <si>
    <t>opus.pro</t>
  </si>
  <si>
    <t>https://pbs.twimg.com/profile_banners/2358855016/1650879245</t>
  </si>
  <si>
    <t>𝗠𝗶𝗴𝘂𝗲𝗹 𝗠𝗮𝘄𝗮𝗱 – “𝗘𝗹 𝗧𝗗𝗔𝗛 𝘀𝗼́𝗹𝗼 𝗮𝗳𝗲𝗰𝘁𝗮 𝗮 𝗻𝗶ñ𝗼𝘀”: Aunque es más comúnmente diagnosticado en la infancia, el TDAH puede persistir en la adultez y afectar a personas de todas las edades.
.
.
.
#Mito #TDAHAdulto #Gratidao #VidaSana #Photography #Infancia https://t.co/cZNfpHa0Mf</t>
  </si>
  <si>
    <t>Miguel_Mawad</t>
  </si>
  <si>
    <t>Miguel Mawad</t>
  </si>
  <si>
    <t>1713895414494007297</t>
  </si>
  <si>
    <t>https://pbs.twimg.com/profile_images/1722121724093677568/zw4PmcXy_normal.jpg</t>
  </si>
  <si>
    <t>TDAH,saludmental</t>
  </si>
  <si>
    <t>https://pbs.twimg.com/amplify_video_thumb/1975000162469584896/img/J3QIPa8gzsWjYfeG.jpg</t>
  </si>
  <si>
    <t>1988389443452215755</t>
  </si>
  <si>
    <t>https://x.com/TavoMaristany/status/1988389443452215755</t>
  </si>
  <si>
    <t>https://pbs.twimg.com/profile_banners/1713895414494007297/1699454810</t>
  </si>
  <si>
    <t>https://video.twimg.com/amplify_video/1975000162469584896/vid/avc1/720x1280/LytIMKwzJ1SbIN76.mp4?tag=14</t>
  </si>
  <si>
    <t>Nunca entendí cuando entré en la adultez y hoy ya tengo comportamientos de anciano</t>
  </si>
  <si>
    <t>TavoMaristany</t>
  </si>
  <si>
    <t>Tvo</t>
  </si>
  <si>
    <t>https://pbs.twimg.com/profile_images/1649165082583003141/lmt5qmnm_normal.jpg</t>
  </si>
  <si>
    <t>Mito,TDAHAdulto,Gratidao,VidaSana,Photography,Infancia</t>
  </si>
  <si>
    <t>https://pbs.twimg.com/media/GJy9hXLXwAAAg75.jpg</t>
  </si>
  <si>
    <t>https://pbs.twimg.com/profile_banners/831174756/1731900120</t>
  </si>
  <si>
    <t>1974672399036727526</t>
  </si>
  <si>
    <t>https://x.com/manucaralho_/status/1974672399036727526</t>
  </si>
  <si>
    <t>1771195038120259633</t>
  </si>
  <si>
    <t>https://x.com/NeuroMty/status/1771195038120259633</t>
  </si>
  <si>
    <t>Véi, tô lendo o livro vencendo o TDAH adulto do Barkley e tipo, é muito tenso ter uma dimensão real e visual dos problemas causados pelos sintomas
Ao mesmo tempo, dá uma esperança poder montar as estratégias necessárias tendo o cenário completo disponível para ser analisado</t>
  </si>
  <si>
    <t>manucaralho_</t>
  </si>
  <si>
    <t>1962695785713135959</t>
  </si>
  <si>
    <t>Emanuel Querelhown (ele/dele)</t>
  </si>
  <si>
    <t>1656851066825191424</t>
  </si>
  <si>
    <t>https://pbs.twimg.com/profile_images/1962524049155756033/I-slbMrx_normal.jpg</t>
  </si>
  <si>
    <t>https://x.com/landysJairPsic/status/1962695785713135959</t>
  </si>
  <si>
    <t>#tdah #tdahadulto #adhd https://t.co/rfv5GqKGWD</t>
  </si>
  <si>
    <t>3 Síntomas del TDAH adulto que empeoran con los años cuando no está bien manejado. Cuál de los 3 has notado a lo largo de los años? https://t.co/uGenclT3FT</t>
  </si>
  <si>
    <t>https://pbs.twimg.com/profile_banners/1656851066825191424/1698518585</t>
  </si>
  <si>
    <t>https://pbs.twimg.com/amplify_video_thumb/1962695506192113664/img/b4MTbfWSg5G-P8BP.jpg</t>
  </si>
  <si>
    <t>https://pbs.twimg.com/media/GJSMf-3XYAAJZAm.jpg</t>
  </si>
  <si>
    <t>https://video.twimg.com/amplify_video/1962695506192113664/vid/avc1/720x1280/sOdVttZImcQu2nhk.mp4?tag=14</t>
  </si>
  <si>
    <t>1770516339217576295</t>
  </si>
  <si>
    <t>https://x.com/NeuroMty/status/1770516339217576295</t>
  </si>
  <si>
    <t>1971319335915602323</t>
  </si>
  <si>
    <t>https://x.com/prisi_luna27/status/1971319335915602323</t>
  </si>
  <si>
    <t>#tdah #tdahadulto #adhd https://t.co/keT1Qyhl5D</t>
  </si>
  <si>
    <t>En marzo 2025 me entero que tengo TDAH adulto y en agosto 2025 me dicen que tengo TEA nivel 1 algo así, estoy en el proceso de entender lo  neurodivergente🧠
Solo se que es un día a la vez✨
Deje el cigarro hace 10 años y ahora llevo  3 meses sin alcohol,el deporte ha sido mejor</t>
  </si>
  <si>
    <t>prisi_luna27</t>
  </si>
  <si>
    <t>ᏢᏒᎥsᎥᏞ🅰️🐈🐾🐾</t>
  </si>
  <si>
    <t>1254627509351714816</t>
  </si>
  <si>
    <t>https://pbs.twimg.com/profile_images/1878496340562284544/etH9hoTo_normal.jpg</t>
  </si>
  <si>
    <t>https://pbs.twimg.com/media/GJIjOYVWQAIH8V7.jpg</t>
  </si>
  <si>
    <t>https://pbs.twimg.com/profile_banners/1254627509351714816/1630690788</t>
  </si>
  <si>
    <t>1770133410566029456</t>
  </si>
  <si>
    <t>https://x.com/NeuroMty/status/1770133410566029456</t>
  </si>
  <si>
    <t>#tdah #tdahadulto #adhd https://t.co/dIFOvnTsiF</t>
  </si>
  <si>
    <t>https://pbs.twimg.com/media/GJDG88SWoAA5MI9.jpg</t>
  </si>
  <si>
    <t>1973811651251220549</t>
  </si>
  <si>
    <t>1973811289526054920</t>
  </si>
  <si>
    <t>https://x.com/okayvante/status/1973811651251220549</t>
  </si>
  <si>
    <t>1769068723279716390</t>
  </si>
  <si>
    <t>https://x.com/historia_md1/status/1769068723279716390</t>
  </si>
  <si>
    <t>eu amo tanto ele que se não tiver um diagnóstico e um remédio pra tdah ou qualquer outra coisa eu não sei como fazer pra ajudar ele a virar adulto</t>
  </si>
  <si>
    <t>okayvante</t>
  </si>
  <si>
    <t>angelina</t>
  </si>
  <si>
    <t>1001953953632923655</t>
  </si>
  <si>
    <t>https://pbs.twimg.com/profile_images/1963424653608681473/TUdY8NAt_normal.jpg</t>
  </si>
  <si>
    <t>A busca pela DOPAMINA no jovem TDAH #tdah #tdahadulto #tdahdescomplicado #tdahbrasil https://t.co/SeFxhIPuAl</t>
  </si>
  <si>
    <t>historia_md1</t>
  </si>
  <si>
    <t>AH CORTES</t>
  </si>
  <si>
    <t>1694786358479339520</t>
  </si>
  <si>
    <t>https://pbs.twimg.com/profile_images/1709741620092964864/L2Gc7nC2_normal.jpg</t>
  </si>
  <si>
    <t>1961488240893927812</t>
  </si>
  <si>
    <t>https://x.com/jinkook_br/status/1961488240893927812</t>
  </si>
  <si>
    <t>https://pbs.twimg.com/profile_banners/1001953953632923655/1756951902</t>
  </si>
  <si>
    <t>https://pbs.twimg.com/profile_banners/1694786358479339520/1695332263</t>
  </si>
  <si>
    <t>👤: “Não se mexa quando estiver sentado."
🐰: Eu continuei me mexendo?
🐰: Mas não consigo evitar. Eu meio que...
🐰: é como TDAH adulto
🐰: eu tenho. Continuo me mexendo assim.
Quando vão parar de querer mandar neles? Que comentários são esses? 😡
https://t.co/eFmw0qtHmU</t>
  </si>
  <si>
    <t>jinkook_br</t>
  </si>
  <si>
    <t>JINKOOK BR⁷</t>
  </si>
  <si>
    <t>1311746150890901505</t>
  </si>
  <si>
    <t>https://pbs.twimg.com/profile_images/1978090744012328960/RgVwn3_k_normal.jpg</t>
  </si>
  <si>
    <t>1973747672847929749</t>
  </si>
  <si>
    <t>1973720076647006449</t>
  </si>
  <si>
    <t>https://x.com/heartwobawige/status/1973747672847929749</t>
  </si>
  <si>
    <t>https://pbs.twimg.com/profile_banners/1311746150890901505/1760449806</t>
  </si>
  <si>
    <t>tdah,tdahadulto,tdahdescomplicado,tdahbrasil</t>
  </si>
  <si>
    <t>https://pbs.twimg.com/ext_tw_video_thumb/1769068678610333696/pu/img/hHm5zV-IGv_xwAlI.jpg</t>
  </si>
  <si>
    <t>@yeonjiminecraft @yeonthechase E tu vive oprimindo um jovem adulto com depressão e tdah, já pensou nisso?</t>
  </si>
  <si>
    <t>heartwobawige</t>
  </si>
  <si>
    <t>tfpn vitør¹²🥀🍒🦀🩵</t>
  </si>
  <si>
    <t>1580357997125140481</t>
  </si>
  <si>
    <t>https://pbs.twimg.com/profile_images/1986630343181410304/p9l1I3Fa_normal.jpg</t>
  </si>
  <si>
    <t>https://video.twimg.com/ext_tw_video/1769068678610333696/pu/vid/avc1/576x1024/9rY6zw_iicanA8Ro.mp4?tag=12</t>
  </si>
  <si>
    <t>https://pbs.twimg.com/profile_banners/1580357997125140481/1744712818</t>
  </si>
  <si>
    <t>1761235326780027060</t>
  </si>
  <si>
    <t>https://x.com/MicroTDH/status/1761235326780027060</t>
  </si>
  <si>
    <t>1768669119463788662</t>
  </si>
  <si>
    <t>https://x.com/NeuroMty/status/1768669119463788662</t>
  </si>
  <si>
    <t>Jamás debí desear ser adulto cuando era un niño.</t>
  </si>
  <si>
    <t>MicroTDH</t>
  </si>
  <si>
    <t>yeonjiminecraft</t>
  </si>
  <si>
    <t>Micro TDH</t>
  </si>
  <si>
    <t>https://pbs.twimg.com/profile_images/1762619960981880832/X1OOlbcu_normal.jpg</t>
  </si>
  <si>
    <t>yeonjiminecraft,yeonthechase</t>
  </si>
  <si>
    <t>#tdah #tdahadulto #adhd https://t.co/t7zUYl5DNM</t>
  </si>
  <si>
    <t>1973489567832633494</t>
  </si>
  <si>
    <t>1973450756624883889</t>
  </si>
  <si>
    <t>https://x.com/diabopeludo/status/1973489567832633494</t>
  </si>
  <si>
    <t>https://pbs.twimg.com/profile_banners/797194550/1709076410</t>
  </si>
  <si>
    <t>https://pbs.twimg.com/media/GIuTMFTXIAAEQJj.jpg,https://pbs.twimg.com/media/GIuTMFTX0AEVyqu.jpg</t>
  </si>
  <si>
    <t>@Sof1a_mb ai vou oassar mal so conheço um adulto com tdah diagnosticado e é a minha avó</t>
  </si>
  <si>
    <t>diabopeludo</t>
  </si>
  <si>
    <t>تركي</t>
  </si>
  <si>
    <t>944221852678967296</t>
  </si>
  <si>
    <t>https://pbs.twimg.com/profile_images/1989367095658684418/40k6rTZF_normal.jpg</t>
  </si>
  <si>
    <t>1767721420262392113</t>
  </si>
  <si>
    <t>https://pbs.twimg.com/profile_banners/944221852678967296/1763161539</t>
  </si>
  <si>
    <t>https://x.com/landysJairPsic/status/1767721420262392113</t>
  </si>
  <si>
    <t>1954343187809722450</t>
  </si>
  <si>
    <t>https://x.com/MauricioLeija/status/1954343187809722450</t>
  </si>
  <si>
    <t>TDAH = Gente perezosa y floja? Véamoslo a más profundidad. ¿Qué significa tener TDAH y cómo se procesa la información?
#tdah #tdahadulto #tdahemprendedores https://t.co/bGjCGNz6Jc</t>
  </si>
  <si>
    <t>TDAH del adulto y distracción al volante. Conversación con la n-europsicóloga Gina Fonseca para #MiDiarioDeTDAH
#TDAHdelAdulto #TDAH #HablemosDelTDAH #Neurodiversidad #Neurodivergencia #Neurodesarrollo #NeurodesarrolloyConducta #HablemosDeSaludMental https://t.co/jCBieckZ0o</t>
  </si>
  <si>
    <t>Sof1a_mb</t>
  </si>
  <si>
    <t>https://pbs.twimg.com/amplify_video_thumb/1954334002732507136/img/tRxFYRjXyLFpFSh0.jpg</t>
  </si>
  <si>
    <t>tdah,tdahadulto,tdahemprendedores</t>
  </si>
  <si>
    <t>https://pbs.twimg.com/amplify_video_thumb/1767721138199633921/img/ffndns9T4zmCzBQF.jpg</t>
  </si>
  <si>
    <t>https://video.twimg.com/amplify_video/1954334002732507136/vid/avc1/1920x1080/B00aIOf0bxyPfD_j.mp4?tag=21</t>
  </si>
  <si>
    <t>https://video.twimg.com/amplify_video/1767721138199633921/vid/avc1/720x1280/wVaq3juyE83AIZwc.mp4?tag=14</t>
  </si>
  <si>
    <t>1934468429278327271</t>
  </si>
  <si>
    <t>https://x.com/MauricioLeija/status/1934468429278327271</t>
  </si>
  <si>
    <t>1766271651639930905</t>
  </si>
  <si>
    <t>https://x.com/landysJairPsic/status/1766271651639930905</t>
  </si>
  <si>
    <t>Pudiera ser que lo peor de un adulto con TDAH salga en la relación de pareja. Ojo con este tema. Conversación entre Gina Fonseca y Mauricio Leija para #MiDiarioDeTDAH
#TDAHdelAdulto #TDAH #HablemosDelTDAH #Neurodiversidad #Neurodivergencia #Neurodesarrollo https://t.co/TYTc0EmFTn</t>
  </si>
  <si>
    <t>Para el TDAH adulto lo único que funciona es la medicación? 
#tdah #tdahadulto #tdahadultos https://t.co/Zm7327Ootj</t>
  </si>
  <si>
    <t>MiDiarioDeTDAH,TDAHdelAdulto,TDAH,HablemosDelTDAH,Neurodiversidad,Neurodivergencia,Neurodesarrollo</t>
  </si>
  <si>
    <t>https://pbs.twimg.com/amplify_video_thumb/1934465251862282240/img/PvO7qJ9wgDzRaH04.jpg</t>
  </si>
  <si>
    <t>tdah,tdahadulto,tdahadultos</t>
  </si>
  <si>
    <t>1973195211380760892</t>
  </si>
  <si>
    <t>https://pbs.twimg.com/amplify_video_thumb/1766271397108568064/img/A4EyOVygqw6bl7D7.jpg</t>
  </si>
  <si>
    <t>https://x.com/Fabigonz1979/status/1973195211380760892</t>
  </si>
  <si>
    <t>https://video.twimg.com/amplify_video/1934465251862282240/vid/avc1/1920x1080/yqF5WO_0oxiMpTaI.mp4?tag=21</t>
  </si>
  <si>
    <t>Un adulto con tdah, no todo es falopa amiguitos..</t>
  </si>
  <si>
    <t>Fabigonz1979</t>
  </si>
  <si>
    <t>Stratego</t>
  </si>
  <si>
    <t>1702818804370186240</t>
  </si>
  <si>
    <t>https://video.twimg.com/amplify_video/1766271397108568064/vid/avc1/720x1280/1ZB_BhuZKTo4FXTS.mp4?tag=14</t>
  </si>
  <si>
    <t>https://pbs.twimg.com/profile_images/1881491082040549378/MGKkpsF6_normal.jpg</t>
  </si>
  <si>
    <t>1933576398158917640</t>
  </si>
  <si>
    <t>https://x.com/MauricioLeija/status/1933576398158917640</t>
  </si>
  <si>
    <t>https://pbs.twimg.com/profile_banners/1702818804370186240/1708994418</t>
  </si>
  <si>
    <t>1765188253886382554</t>
  </si>
  <si>
    <t>https://x.com/landysJairPsic/status/1765188253886382554</t>
  </si>
  <si>
    <t>TDAH del adulto: ¿por qué cada caso es único? Este será el tema que discutiremos hoy en la transmisión en vivo de #MiDiarioDeTDAH Los esperamos a la 1 p.m. tiempo del Centro de México.
#TDAHdelAdulto #TDAH #HablemosDelTDAH #HablemosDeSaludMental https://t.co/KBcmJeOK4q</t>
  </si>
  <si>
    <t>El TDAH adulto es una excusa para los comportamientos irresponsables? Tú que opinas?
#tdah #tdahadulto #deficitdeatencion #tdahemprendedores https://t.co/y1Y2U9GZRM</t>
  </si>
  <si>
    <t>MiDiarioDeTDAH,TDAHdelAdulto,TDAH,HablemosDelTDAH,HablemosDeSaludMental</t>
  </si>
  <si>
    <t>https://pbs.twimg.com/media/GtVxfJeXAAAk0Kg.jpg</t>
  </si>
  <si>
    <t>1973026727317356654</t>
  </si>
  <si>
    <t>PqTTExplorer</t>
  </si>
  <si>
    <t>"Miranda!"
Por las caras que hizo la cantante de la banda en la mesa de Mirtha anoche. https://t.co/J0IqdrxrWg</t>
  </si>
  <si>
    <t>https://pbs.twimg.com/ext_tw_video_thumb/1972714315191844864/pu/img/G5AJ7UwLOMprJAqt.jpg</t>
  </si>
  <si>
    <t>tdah,tdahadulto,deficitdeatencion,tdahemprendedores</t>
  </si>
  <si>
    <t>https://pbs.twimg.com/amplify_video_thumb/1765187975824998400/img/fVqtfj62_Z-7vTfD.jpg</t>
  </si>
  <si>
    <t>-103.664175,20.790657</t>
  </si>
  <si>
    <t>Zapopan, Jalisco</t>
  </si>
  <si>
    <t>https://video.twimg.com/amplify_video/1765187975824998400/vid/avc1/720x1280/JWdCwd5gL-MIf6ye.mp4?tag=14</t>
  </si>
  <si>
    <t>https://x.com/landysJairPsic/status/1763236557199122746</t>
  </si>
  <si>
    <t>tdah,tdahadulto,tdahemprendedores,tdahdescomplicado,deficitdeatencion</t>
  </si>
  <si>
    <t>https://video.twimg.com/amplify_video/1763236323505086464/vid/avc1/720x1280/RvYZ1SGzyRqjtLod.mp4?tag=14</t>
  </si>
  <si>
    <t>1762528492069990754</t>
  </si>
  <si>
    <t>https://x.com/landysJairPsic/status/1762528492069990754</t>
  </si>
  <si>
    <t>¿Que es el TDAH adulto? Puedes ver el episodio completo en mi canal de YouTube - Enlace en mi perfil
PD: Acabo de publicar la Masterclass Cómo dejar de procrastinar y hacer las cosas aunque tengas TDAH - Puedes comprarla haciendo click en mi perfil.
#TDAH #tdahadulto https://t.co/iNVgF1WJAU</t>
  </si>
  <si>
    <t>TDAH,tdahadulto</t>
  </si>
  <si>
    <t>https://pbs.twimg.com/amplify_video_thumb/1762528299438276608/img/dg3hzwKqLS-qjCKX.jpg</t>
  </si>
  <si>
    <t>https://video.twimg.com/amplify_video/1762528299438276608/vid/avc1/720x1280/tKFJAeskONKcSO5U.mp4?tag=14</t>
  </si>
  <si>
    <t>1905359758657273862</t>
  </si>
  <si>
    <t>https://x.com/MauricioLeija/status/1905359758657273862</t>
  </si>
  <si>
    <t>1759176671528173686</t>
  </si>
  <si>
    <t>https://x.com/apsicolu/status/1759176671528173686</t>
  </si>
  <si>
    <t>TDAH en las parejas. Recomendando el libro «¿Eres tú, soy yo o es el TDAH adulto» de Gina Pera. Conversación entre Mauricio Leija y Gina Fonseca para #MiDiarioDeTDAH
#HablemosDelTDAH #TDAH #HablemosDeSaludMental https://t.co/pZGZgcLqvz</t>
  </si>
  <si>
    <t>Amo essa música demais!! 
Um hino ao TDAH #tdah #tdahadulto #tdahfemenino https://t.co/UcoqbIyc6W</t>
  </si>
  <si>
    <t>apsicolu</t>
  </si>
  <si>
    <t>Psicolú</t>
  </si>
  <si>
    <t>1535970524370767873</t>
  </si>
  <si>
    <t>https://pbs.twimg.com/profile_images/1759172559961038848/dAoZ7myN_normal.jpg</t>
  </si>
  <si>
    <t>MiDiarioDeTDAH,HablemosDelTDAH,TDAH,HablemosDeSaludMental</t>
  </si>
  <si>
    <t>https://pbs.twimg.com/ext_tw_video_thumb/1905358913978916864/pu/img/nyF6vQKbaz3-R3ql.jpg</t>
  </si>
  <si>
    <t>https://pbs.twimg.com/profile_banners/1535970524370767873/1708255052</t>
  </si>
  <si>
    <t>https://video.twimg.com/ext_tw_video/1905358913978916864/pu/vid/avc1/1280x720/RlESBcxAmt9MPMn7.mp4?tag=12</t>
  </si>
  <si>
    <t>tdah,tdahadulto,tdahfemenino</t>
  </si>
  <si>
    <t>https://pbs.twimg.com/ext_tw_video_thumb/1759176634697949184/pu/img/MGHcMslGC6bnBXKg.jpg</t>
  </si>
  <si>
    <t>1971316211083542893</t>
  </si>
  <si>
    <t>https://x.com/luannaacs/status/1971316211083542893</t>
  </si>
  <si>
    <t>https://video.twimg.com/ext_tw_video/1759176634697949184/pu/vid/avc1/720x960/g8_-oQl2TYuKQxE1.mp4?tag=12</t>
  </si>
  <si>
    <t>1864125926188929253</t>
  </si>
  <si>
    <t>https://x.com/LuizaClavijo/status/1864125926188929253</t>
  </si>
  <si>
    <t>conheci uma menina q o marido dela é o auge do inútil, falei de ser adulto funcional e veio a outra falando q é foda falar de funcionalidade pq por ex o marido dela tem tdah e não consegue aprender determinadas coisas domésticas 😆</t>
  </si>
  <si>
    <t>luannaacs</t>
  </si>
  <si>
    <t>Luanna Amaral VIU a Lady Gaga 2x! 💅🏻✨</t>
  </si>
  <si>
    <t>1365768366770819075</t>
  </si>
  <si>
    <t>https://pbs.twimg.com/profile_images/1571225910874890240/BRghNg0y_normal.jpg</t>
  </si>
  <si>
    <t>Ser un adulto con TDAH https://t.co/jCtPfrHWmE</t>
  </si>
  <si>
    <t>LuizaClavijo</t>
  </si>
  <si>
    <t>Luiza Clavijo Yalán🍉</t>
  </si>
  <si>
    <t>-47.259762,-22.869539</t>
  </si>
  <si>
    <t>Hortolândia, Brasil</t>
  </si>
  <si>
    <t>https://pbs.twimg.com/profile_images/1858495430276870145/_IAznCBX_normal.jpg</t>
  </si>
  <si>
    <t>1758665093124944019</t>
  </si>
  <si>
    <t>https://x.com/landysJairPsic/status/1758665093124944019</t>
  </si>
  <si>
    <t>https://pbs.twimg.com/profile_banners/1365768366770819075/1663444425</t>
  </si>
  <si>
    <t>Para el TDAH Adulto comenzar es solo una parte, luego hay una trampa en la que el tdah adulto cae
Y es que luego de terminar las partes más difíciles del proyecto, lo abandona y salta a otro que le resulte más novedoso
Mas desafiante y más estimulante.
#tdah #tdahadulto https://t.co/vQIdgV3UrX</t>
  </si>
  <si>
    <t>https://pbs.twimg.com/profile_banners/42303963/1742768003</t>
  </si>
  <si>
    <t>1971249284172611931</t>
  </si>
  <si>
    <t>brendasafra</t>
  </si>
  <si>
    <t>ODEIO homens disfuncionais e suas esposas que postam isso achando graça https://t.co/y6gbhIeDnq</t>
  </si>
  <si>
    <t>https://pbs.twimg.com/ext_tw_video_thumb/1971249161593819137/pu/img/L0mBkVclLZTCMCIg.jpg</t>
  </si>
  <si>
    <t>https://pbs.twimg.com/amplify_video_thumb/1758664885183926272/img/Erw60_bw5wFx7jn1.jpg</t>
  </si>
  <si>
    <t>in</t>
  </si>
  <si>
    <t>https://video.twimg.com/amplify_video/1758664885183926272/vid/avc1/720x1280/SbcboLjcZII_B0Kp.mp4?tag=14</t>
  </si>
  <si>
    <t>https://pbs.twimg.com/media/Gd60pkEWgAAQPMN.jpg</t>
  </si>
  <si>
    <t>1755414820306784585</t>
  </si>
  <si>
    <t>https://x.com/landysJairPsic/status/1755414820306784585</t>
  </si>
  <si>
    <t>1918387562269323616</t>
  </si>
  <si>
    <t>TDAH adulto y sobrecarga sensorial. #tdah #tdahadulto #tdahpodcasters https://t.co/G5nVesrgct</t>
  </si>
  <si>
    <t>https://x.com/MauricioLeija/status/1918387562269323616</t>
  </si>
  <si>
    <t>tdah,tdahadulto,tdahpodcasters</t>
  </si>
  <si>
    <t>https://pbs.twimg.com/amplify_video_thumb/1755414606271414272/img/GiUwwP-p04K4ZAaF.jpg</t>
  </si>
  <si>
    <t>Detectando los signos del TDAH del adulto https://t.co/ZX34tZCMwt</t>
  </si>
  <si>
    <t>https://x.com/i/broadcasts/1zqKVjWkzpnKB</t>
  </si>
  <si>
    <t>https://video.twimg.com/amplify_video/1755414606271414272/vid/avc1/720x1280/V4f-8Xm2JHm7inwe.mp4?tag=14</t>
  </si>
  <si>
    <t>1754689811879711206</t>
  </si>
  <si>
    <t>https://x.com/landysJairPsic/status/1754689811879711206</t>
  </si>
  <si>
    <t>Algo frustrante de tener TDAH adulto es durante el proceso de buscar ayuda dar con un terapeuta que no te comprenda.
Que te vea como un bicho raro, que te subestime y desestime lo que te pasa 💔
#tdah #tdahadulto #tdahemprendedores https://t.co/N8I5JT1MuY</t>
  </si>
  <si>
    <t>https://pbs.twimg.com/amplify_video_thumb/1754689575409037312/img/Fp9rsEZt1Js92djK.jpg</t>
  </si>
  <si>
    <t>https://video.twimg.com/amplify_video/1754689575409037312/vid/avc1/720x1280/DW0i8QcBvMzQMIs2.mp4?tag=14</t>
  </si>
  <si>
    <t>1841388836263166367</t>
  </si>
  <si>
    <t>https://x.com/TdahVallesRadio/status/1841388836263166367</t>
  </si>
  <si>
    <t>1737773982558908595</t>
  </si>
  <si>
    <t>https://x.com/Psicotogether_/status/1737773982558908595</t>
  </si>
  <si>
    <t>"Mi Revolución", estreno El 27 de octubre, Día del #TDAH en España, a las 12:00 h.  
Canción sobre el TDAH adulto en primera persona.
Subscribete al canal 👇👇👇
https://t.co/GjU8iQRwEj
https://t.co/K6pUMKyDVC https://t.co/msUyvImNOL</t>
  </si>
  <si>
    <t>1970955030607036544</t>
  </si>
  <si>
    <t>https://x.com/eduardopeccin/status/1970955030607036544</t>
  </si>
  <si>
    <t>La valoración del TDAH en adultos comienza con un cuestionario de autovaloración (en imagen). Después se continúa con tests específicos para valorar funciones ejecutivas. ¿Te sientes identificado con los síntomas del TDAH y quieres saber más?
#tdahadulto #tdah #adhd https://t.co/YEYSEqmEYB</t>
  </si>
  <si>
    <t>Psicotogether_</t>
  </si>
  <si>
    <t>Psicotogether</t>
  </si>
  <si>
    <t>765202699012956160</t>
  </si>
  <si>
    <t>https://pbs.twimg.com/profile_images/1201644523669131264/zgO6D7kV_normal.jpg</t>
  </si>
  <si>
    <t>http://www.youtube.com/@TDAHVallesMedia,https://youtu.be/C4s8TcHJ6Cs</t>
  </si>
  <si>
    <t>5 coisas que NÃO fazem parte do TDAH:
- Alteração de sono
- Compulsões recorrentes
- Inquietação no adulto 
- Dificuldade de aprendizado
- Sensibilidade a barulhos</t>
  </si>
  <si>
    <t>https://pbs.twimg.com/profile_banners/765202699012956160/1575329356</t>
  </si>
  <si>
    <t>1970889927836721164</t>
  </si>
  <si>
    <t>https://pbs.twimg.com/media/GY3r1gGWUAAJpxJ.jpg</t>
  </si>
  <si>
    <t>1970643047034814908</t>
  </si>
  <si>
    <t>https://x.com/lina_f100/status/1970889927836721164</t>
  </si>
  <si>
    <t>1938685666059264387</t>
  </si>
  <si>
    <t>@NovaStrike0 @CavernaDeHuesos @Mialygosa Al igual que tampoco es recomendable tomar Ritalina porque te cambia la personalidad pero si el TDAH de un adulto o niño es muy fuerte los neurólogos lo recetan. Cuando los dolores durante el embarazo son muy fuertes, los doctores lo recetan aunque la empresa no lo recomiende+</t>
  </si>
  <si>
    <t>tdahadulto,tdah,adhd</t>
  </si>
  <si>
    <t>lina_f100</t>
  </si>
  <si>
    <t>https://x.com/MauricioLeija/status/1938685666059264387</t>
  </si>
  <si>
    <t>Lina ✨💫</t>
  </si>
  <si>
    <t>https://pbs.twimg.com/media/GB3QOWIXwAA-Z2j.jpg</t>
  </si>
  <si>
    <t>https://pbs.twimg.com/profile_images/1990871369056223234/4INapnl7_normal.jpg</t>
  </si>
  <si>
    <t>1734967623195005354</t>
  </si>
  <si>
    <t>https://x.com/nhathalhihe/status/1734967623195005354</t>
  </si>
  <si>
    <t>NovaStrike0</t>
  </si>
  <si>
    <t>NovaStrike0,CavernaDeHuesos,Mialygosa</t>
  </si>
  <si>
    <t>No están enfermas las personas, ni locas, simplemente les sucede esto y no por esto están mal.
#TDAH 
#tdahinfantil 
#tdahadulto 
#tdah https://t.co/h66KlOvlg5</t>
  </si>
  <si>
    <t>nhathalhihe</t>
  </si>
  <si>
    <t>1970517431031386585</t>
  </si>
  <si>
    <t>Psicoterapia Cognitivo Conductual</t>
  </si>
  <si>
    <t>https://pbs.twimg.com/profile_images/1450113723172102149/8CQaqAg3_normal.jpg</t>
  </si>
  <si>
    <t>https://x.com/HerreraenCOPE/status/1970517431031386585</t>
  </si>
  <si>
    <t>🎧Alberto Soler, psicólogo: “Un adulto con TDAH trabaja rápido y se equivoca con frecuencia” 👇 https://t.co/PMpai3l5XM</t>
  </si>
  <si>
    <t>HerreraenCOPE</t>
  </si>
  <si>
    <t>https://pbs.twimg.com/profile_banners/136119460/1634569030</t>
  </si>
  <si>
    <t>Herrera en COPE</t>
  </si>
  <si>
    <t>https://pbs.twimg.com/profile_images/1710310345644863488/eem2DQwB_normal.jpg</t>
  </si>
  <si>
    <t>https://pbs.twimg.com/profile_banners/3309116567/1740502149</t>
  </si>
  <si>
    <t>TDAH,tdahinfantil,tdahadulto,tdah</t>
  </si>
  <si>
    <t>https://pbs.twimg.com/media/GBPX3AhWwAA3UaE.jpg</t>
  </si>
  <si>
    <t>TDAH del adulto: ¿por qué cada caso es único? 2da parte https://t.co/wPnrcW4b12</t>
  </si>
  <si>
    <t>App X connect 25 s</t>
  </si>
  <si>
    <t>1720842319698575823</t>
  </si>
  <si>
    <t>https://x.com/Josuecico/status/1720842319698575823</t>
  </si>
  <si>
    <t>https://ver.cope.es/gt2at3</t>
  </si>
  <si>
    <t>Cosas que no pueden quedar en el olvido…#Tdah #tdahAdulto https://t.co/7U9cu9ECXE</t>
  </si>
  <si>
    <t>Josuecico</t>
  </si>
  <si>
    <t>https://pbs.twimg.com/profile_images/1684129650602041344/yJTpw5AR_normal.jpg</t>
  </si>
  <si>
    <t>https://x.com/i/broadcasts/1mnGegQQnAbxX</t>
  </si>
  <si>
    <t>1970517428816736428</t>
  </si>
  <si>
    <t>https://x.com/linternacope/status/1970517428816736428</t>
  </si>
  <si>
    <t>https://pbs.twimg.com/profile_banners/231436622/1690362784</t>
  </si>
  <si>
    <t>1945720032576565388</t>
  </si>
  <si>
    <t>🎧Alberto Soler, psicólogo: “Un adulto con TDAH trabaja rápido y se equivoca con frecuencia” 👇 https://t.co/T59BMRC2WR</t>
  </si>
  <si>
    <t>linternacope</t>
  </si>
  <si>
    <t>La Linterna</t>
  </si>
  <si>
    <t>https://pbs.twimg.com/profile_images/1710312743578861568/_itXUjcl_normal.jpg</t>
  </si>
  <si>
    <t>https://x.com/MauricioLeija/status/1945720032576565388</t>
  </si>
  <si>
    <t>https://pbs.twimg.com/profile_banners/245809028/1701348186</t>
  </si>
  <si>
    <t>TDAH del adulto, procrastinación y el concepto que tienes de ti mismo... ¿indefensión aprendida?
Conversación entre Gina Fonseca y Mauricio Leija para #MiDiarioDeTDAH
#TDAHdelAdulto #TDAH #HablemosDelTDAH #Neurodiversidad #Neurodivergencia #Neurodesarrollo https://t.co/zjWEJ9iq9D</t>
  </si>
  <si>
    <t>Tdah,tdahAdulto</t>
  </si>
  <si>
    <t>https://pbs.twimg.com/media/F-Go977WgAAFj5J.jpg</t>
  </si>
  <si>
    <t>https://pbs.twimg.com/amplify_video_thumb/1945719745291898880/img/49uKFGAra55GU3y9.jpg</t>
  </si>
  <si>
    <t>https://ver.cope.es/gt2at4</t>
  </si>
  <si>
    <t>1711542022320836969</t>
  </si>
  <si>
    <t>https://x.com/ContadorFred/status/1711542022320836969</t>
  </si>
  <si>
    <t>1970517428766486537</t>
  </si>
  <si>
    <t>https://x.com/findesemanacope/status/1970517428766486537</t>
  </si>
  <si>
    <t>#tdah #tdahinfantil #tdahadulto #transtornos #diagnóstico #portador #BPC #bpcloas #Benefícios #aposentadoria #aposentadoriaporinvalidez #incapacidade #inss2023 #previdência #previdênciasocial #hiperatividade #processo #processos #processoadministrativo #contabilidadeconsultiva https://t.co/7lGeCf9a8B</t>
  </si>
  <si>
    <t>ContadorFred</t>
  </si>
  <si>
    <t>Fred Quintanilha | Contador &amp; Calculista Judicial</t>
  </si>
  <si>
    <t>https://pbs.twimg.com/profile_images/1965966787448541184/cpAx4uBV_normal.jpg</t>
  </si>
  <si>
    <t>https://video.twimg.com/amplify_video/1945719745291898880/vid/avc1/1280x720/9WnkVYARyroTKMAi.mp4?tag=14</t>
  </si>
  <si>
    <t>https://pbs.twimg.com/profile_banners/1707652002/1761091200</t>
  </si>
  <si>
    <t>🎧Alberto Soler, psicólogo: “Un adulto con TDAH trabaja rápido y se equivoca con frecuencia” 👇 https://t.co/MMZEcFxMzu</t>
  </si>
  <si>
    <t>findesemanacope</t>
  </si>
  <si>
    <t>Fin de Semana</t>
  </si>
  <si>
    <t>https://pbs.twimg.com/profile_images/1710313266872754176/uy941pAa_normal.jpg</t>
  </si>
  <si>
    <t>1954355089587487231</t>
  </si>
  <si>
    <t>tdah,tdahinfantil,tdahadulto,transtornos,diagnóstico,portador,BPC,bpcloas,Benefícios,aposentadoria,aposentadoriaporinvalidez,incapacidade,inss2023,previdência,previdênciasocial,hiperatividade,processo,processos,processoadministrativo,contabilidadeconsultiva</t>
  </si>
  <si>
    <t>https://pbs.twimg.com/profile_banners/187948082/1701347974</t>
  </si>
  <si>
    <t>https://pbs.twimg.com/media/F8CeSxkWwAA6N0G.jpg</t>
  </si>
  <si>
    <t>https://x.com/MauricioLeija/status/1954355089587487231</t>
  </si>
  <si>
    <t>1711085440852214248</t>
  </si>
  <si>
    <t>1711085233242562856</t>
  </si>
  <si>
    <t>https://x.com/marggiemae1/status/1711085440852214248</t>
  </si>
  <si>
    <t>https://ver.cope.es/gt2at6</t>
  </si>
  <si>
    <t>#tdahadulto #tdah</t>
  </si>
  <si>
    <t>marggiemae1</t>
  </si>
  <si>
    <t>1970517428724519289</t>
  </si>
  <si>
    <t>MARGO</t>
  </si>
  <si>
    <t>1179101875804803072</t>
  </si>
  <si>
    <t>https://pbs.twimg.com/profile_images/1939500008518107136/J1rqEid3_normal.jpg</t>
  </si>
  <si>
    <t>https://x.com/MediodiaCOPE/status/1970517428724519289</t>
  </si>
  <si>
    <t>Algunas personas se sienten en peligro si viajan como copiloto de un adulto con TDAH. Conversación con la neuropsicóloga Gina Fonseca para #MiDiarioDeTDAH
#TDAHdelAdulto #TDAH #HablemosDelTDAH #Neurodiversidad #Neurodivergencia #Neurodesarrollo #NeurodesarrolloyConducta https://t.co/MVzELgtEy4</t>
  </si>
  <si>
    <t>🎧Alberto Soler, psicólogo: “Un adulto con TDAH trabaja rápido y se equivoca con frecuencia” 👇 https://t.co/zzZNJZZbwI</t>
  </si>
  <si>
    <t>MediodiaCOPE</t>
  </si>
  <si>
    <t>Mediodía COPE</t>
  </si>
  <si>
    <t>770557562471284736</t>
  </si>
  <si>
    <t>https://pbs.twimg.com/profile_images/1710311542959259648/UEUi7uFS_normal.jpg</t>
  </si>
  <si>
    <t>https://pbs.twimg.com/profile_banners/1179101875804803072/1701272728</t>
  </si>
  <si>
    <t>MiDiarioDeTDAH,TDAHdelAdulto,TDAH,HablemosDelTDAH,Neurodiversidad,Neurodivergencia,Neurodesarrollo,NeurodesarrolloyConducta</t>
  </si>
  <si>
    <t>https://pbs.twimg.com/amplify_video_thumb/1954354807419858946/img/BUGvTl0dr0KOjjLq.jpg</t>
  </si>
  <si>
    <t>qht</t>
  </si>
  <si>
    <t>https://pbs.twimg.com/profile_banners/770557562471284736/1756131770</t>
  </si>
  <si>
    <t>tdahadulto,tdah</t>
  </si>
  <si>
    <t>1696122410204819618</t>
  </si>
  <si>
    <t>https://video.twimg.com/amplify_video/1954354807419858946/vid/avc1/1280x720/ybZz7t1wcReQLWpE.mp4?tag=21</t>
  </si>
  <si>
    <t>https://x.com/psicologoAndreD/status/1696122410204819618</t>
  </si>
  <si>
    <t>https://ver.cope.es/gt2at5</t>
  </si>
  <si>
    <t>#linknabio Com dificuldades relacionadas ao TDAH no seu relacionamento? Aprenda como usar empatia para fortalecer o vínculo. Leia meu novo artigo no blog para saber mais. 
#tdah #tdahadulto #tdahdescomplicado #TDAHrelacionamento #tdahcomamor https://t.co/Afl6qQNZDO</t>
  </si>
  <si>
    <t>psicologoAndreD</t>
  </si>
  <si>
    <t>Psicólogo André Duarte | CRP: 05/71020</t>
  </si>
  <si>
    <t>1680006275403268096</t>
  </si>
  <si>
    <t>https://pbs.twimg.com/profile_images/1680006468005777411/9RRFyb-6_normal.jpg</t>
  </si>
  <si>
    <t>1970517428099506408</t>
  </si>
  <si>
    <t>https://x.com/LaTardeCOPE/status/1970517428099506408</t>
  </si>
  <si>
    <t>1987277586767225094</t>
  </si>
  <si>
    <t>1987257374273335616</t>
  </si>
  <si>
    <t>https://x.com/TiakathDrawns/status/1987277586767225094</t>
  </si>
  <si>
    <t>https://pbs.twimg.com/profile_banners/1680006275403268096/1689420949</t>
  </si>
  <si>
    <t>🎧Alberto Soler, psicólogo: “Un adulto con TDAH trabaja rápido y se equivoca con frecuencia” 👇 https://t.co/uKwt4SNw6x</t>
  </si>
  <si>
    <t>LaTardeCOPE</t>
  </si>
  <si>
    <t>La Tarde COPE</t>
  </si>
  <si>
    <t>755692362890903552</t>
  </si>
  <si>
    <t>https://pbs.twimg.com/profile_images/1710312105088335872/Q9lwGVLI_normal.jpg</t>
  </si>
  <si>
    <t>@Juancho_facho @NewtyNewt_ Para quien lea este post 
Le deseo que logre conquistar a su madura alta, tetuda, O AMBAS y que sean felices PAL resto de sus vidas https://t.co/ODweXLytgB</t>
  </si>
  <si>
    <t>TiakathDrawns</t>
  </si>
  <si>
    <t>La Tía Kathy 🦈🧟‍♂️🇸🇻</t>
  </si>
  <si>
    <t>1422046705344729092</t>
  </si>
  <si>
    <t>https://pbs.twimg.com/profile_images/1986252489792929794/4wMHuBGT_normal.jpg</t>
  </si>
  <si>
    <t>linknabio,tdah,tdahadulto,tdahdescomplicado,TDAHrelacionamento,tdahcomamor</t>
  </si>
  <si>
    <t>https://pbs.twimg.com/ext_tw_video_thumb/1696122381851361280/pu/img/Ikf6BQBdI_Eg3CzD.jpg</t>
  </si>
  <si>
    <t>https://video.twimg.com/ext_tw_video/1696122381851361280/pu/vid/720x1280/jpzfvC0CsCTKoqtm.mp4?tag=12</t>
  </si>
  <si>
    <t>https://pbs.twimg.com/profile_banners/1422046705344729092/1760499268</t>
  </si>
  <si>
    <t>1695051241582219477</t>
  </si>
  <si>
    <t>https://x.com/OscearaS/status/1695051241582219477</t>
  </si>
  <si>
    <t>https://pbs.twimg.com/profile_banners/755692362890903552/1725258866</t>
  </si>
  <si>
    <t>Juancho_facho</t>
  </si>
  <si>
    <t>https://pbs.twimg.com/media/G5Q6bt-XoAEmbEk.jpg</t>
  </si>
  <si>
    <t>🙆🏼‍♂️ Lo que vemos en alguien es solo una pequeña parte de su vida, así es el TDAH, más allá de los conceptos que vemos, hay un mundo de pensamientos que conforman esta condición 🧠
#TDAH #SaludMental #TDAHadulto https://t.co/xT0BD5Rf3S</t>
  </si>
  <si>
    <t>OscearaS</t>
  </si>
  <si>
    <t>OSCEARA Salud</t>
  </si>
  <si>
    <t>1106194570398834688</t>
  </si>
  <si>
    <t>https://pbs.twimg.com/profile_images/1753113315440820224/NGZQPeMM_normal.jpg</t>
  </si>
  <si>
    <t>Juancho_facho,NewtyNewt_</t>
  </si>
  <si>
    <t>1961442241009914041</t>
  </si>
  <si>
    <t>https://pbs.twimg.com/profile_banners/1106194570398834688/1706810974</t>
  </si>
  <si>
    <t>https://x.com/btswingsjm7/status/1961442241009914041</t>
  </si>
  <si>
    <t>Dejen de comentar cosas así... Jungkook puede hacer lo que quiera, déjenlo tranquilo 🤨
👤: “No te muevas cuando estés sentado”
🐰: ¿Sigo moviéndome?
🐰: Pero no puedo evitarlo. Es como…
🐰: Es como el TDAH adulto.
🐰: Lo tengo. Sigo moviéndome así.
https://t.co/NZI9HJMtDK</t>
  </si>
  <si>
    <t>btswingsjm7</t>
  </si>
  <si>
    <t>https://ver.cope.es/gt2at8</t>
  </si>
  <si>
    <t>ale ; ʙᴛs ʏᴇᴀʀ ?! ★</t>
  </si>
  <si>
    <t>https://pbs.twimg.com/profile_images/1975219723659870208/S4y-Lmb__normal.jpg</t>
  </si>
  <si>
    <t>TDAH,SaludMental,TDAHadulto</t>
  </si>
  <si>
    <t>https://pbs.twimg.com/media/F4YIFldWkAADo_a.jpg</t>
  </si>
  <si>
    <t>https://pbs.twimg.com/profile_banners/3528171918/1759763308</t>
  </si>
  <si>
    <t>1683402939883220995</t>
  </si>
  <si>
    <t>1970517419505353080</t>
  </si>
  <si>
    <t>https://x.com/LogopediaYMas/status/1683402939883220995</t>
  </si>
  <si>
    <t>https://x.com/COPE/status/1970517419505353080</t>
  </si>
  <si>
    <t>🤓 ¿Qué es el Trastorno de Déficit de Atención (TDA) y cómo afecta al aprendizaje? Te lo explicamos 🚀aquí abajo 👇.
https://t.co/It3rhNFDF3
#tda #tdahinfantil #tdahadulto #logopediaymas #logopedia #logopediamadrid #neurologopedia https://t.co/Oj0ICyuXuo</t>
  </si>
  <si>
    <t>LogopediaYMas</t>
  </si>
  <si>
    <t>Logopedia y Más</t>
  </si>
  <si>
    <t>https://pbs.twimg.com/profile_images/898853589266944000/AjZBTIgg_normal.jpg</t>
  </si>
  <si>
    <t>1912346816139452471</t>
  </si>
  <si>
    <t>🎧Alberto Soler, psicólogo: “Un adulto con TDAH trabaja rápido y se equivoca con frecuencia” 👇 https://t.co/xPeTSJPCw4</t>
  </si>
  <si>
    <t>https://x.com/Malaquias85/status/1912346816139452471</t>
  </si>
  <si>
    <t>COPE</t>
  </si>
  <si>
    <t>https://pbs.twimg.com/profile_images/1713945389668155392/9yDD807W_normal.jpg</t>
  </si>
  <si>
    <t>https://pbs.twimg.com/profile_banners/4017379276/1661957865</t>
  </si>
  <si>
    <t>Eso de tener TDAH adulto no está tan chido la neta</t>
  </si>
  <si>
    <t>Malaquias85</t>
  </si>
  <si>
    <t>Malaquias</t>
  </si>
  <si>
    <t>https://pbs.twimg.com/profile_images/1902512796580892672/nFtfVq_A_normal.jpg</t>
  </si>
  <si>
    <t>Conte.ai</t>
  </si>
  <si>
    <t>https://pbs.twimg.com/profile_banners/9706822/1636029051</t>
  </si>
  <si>
    <t>1886116026376450320</t>
  </si>
  <si>
    <t>https://x.com/Tdah_exprimido/status/1886116026376450320</t>
  </si>
  <si>
    <t>tda,tdahinfantil,tdahadulto,logopediaymas,logopedia,logopediamadrid,neurologopedia</t>
  </si>
  <si>
    <t>https://www.logopediaymas.es/blog/tda/</t>
  </si>
  <si>
    <t>estoy en la búsqueda de los motivos por los que toda mi vida me he sentido como perdida, desubicada, fuera del mundo y en una urgencia permanente y sin fundamentos. He visto recientemente un video sobre el tdah adulto que fue como un despertar.</t>
  </si>
  <si>
    <t>Tdah_exprimido</t>
  </si>
  <si>
    <t>Tdah exprimido</t>
  </si>
  <si>
    <t>1645354333322584065</t>
  </si>
  <si>
    <t>https://pbs.twimg.com/profile_images/1651011889223155713/9_CcD8QF_normal.jpg</t>
  </si>
  <si>
    <t>https://pbs.twimg.com/media/F1ymDY0XgAMn4kF.jpg</t>
  </si>
  <si>
    <t>https://pbs.twimg.com/profile_banners/1645354333322584065/1685452221</t>
  </si>
  <si>
    <t>https://ver.cope.es/gt2at2</t>
  </si>
  <si>
    <t>1681439735812882441</t>
  </si>
  <si>
    <t>https://x.com/JosephDreddPL/status/1681439735812882441</t>
  </si>
  <si>
    <t>1988386179209982183</t>
  </si>
  <si>
    <t>https://x.com/exageronalaje/status/1988386179209982183</t>
  </si>
  <si>
    <t>1970469542619922465</t>
  </si>
  <si>
    <t>1970278230125912474</t>
  </si>
  <si>
    <t>https://x.com/MMALICK9/status/1970469542619922465</t>
  </si>
  <si>
    <t>Todo mi Apoyo a esas personas que con TDAH han conseguido llegar a todo eso que se han propuesto y más
#TDAH #TDAHadulto #TDAHinfantil</t>
  </si>
  <si>
    <t>JosephDreddPL</t>
  </si>
  <si>
    <t>Joseph Dredd PL</t>
  </si>
  <si>
    <t>https://pbs.twimg.com/profile_images/1504417126521659393/y47JKhtQ_normal.jpg</t>
  </si>
  <si>
    <t>jovem bebado 😄😄😄😄😄😄
adulto bebado 😐😐😐😐😐😐</t>
  </si>
  <si>
    <t>exageronalaje</t>
  </si>
  <si>
    <t>𓇼</t>
  </si>
  <si>
    <t>1686528835301330944</t>
  </si>
  <si>
    <t>https://pbs.twimg.com/profile_images/1987702248529436672/tdBFH2FH_normal.jpg</t>
  </si>
  <si>
    <t>@TauanyMRL @Psiquiatripa Eu mesmo,já fui chamado de retardado pra baixo. Eu só fui descobrir que tenho TDAH adulto. Tenho conhecidos com filhos autistas. Alguns são verdadeiros gênios.</t>
  </si>
  <si>
    <t>https://pbs.twimg.com/profile_banners/2761247693/1456356862</t>
  </si>
  <si>
    <t>https://pbs.twimg.com/profile_banners/1686528835301330944/1762740541</t>
  </si>
  <si>
    <t>TauanyMRL</t>
  </si>
  <si>
    <t>TauanyMRL,Psiquiatripa</t>
  </si>
  <si>
    <t>1970313683449307449</t>
  </si>
  <si>
    <t>https://x.com/Max_E_Power/status/1970313683449307449</t>
  </si>
  <si>
    <t>1461415845263986689</t>
  </si>
  <si>
    <t>NEURAdivergente</t>
  </si>
  <si>
    <t>Un gran poder conlleva una gran responsabilidad; si tienes TDAH, tienes 5 #TDAH #TDAHadulto #SaludMental #éxito https://t.co/2nS0eZN9Sy</t>
  </si>
  <si>
    <t>TDAH,TDAHadulto,TDAHinfantil</t>
  </si>
  <si>
    <t>Cuando tenía como 6 años me diagnosticaron síndrome de Asperger, no tengo un diagnóstico de adulto al respecto, solo TDAH, la realidad yo no sé que es sentirme mal por otros o bien, tampoco se que es que me importe lo que otros piensan de mi, a veces veo a la gente muy preocupada</t>
  </si>
  <si>
    <t>1951710049060978945</t>
  </si>
  <si>
    <t>Max_E_Power</t>
  </si>
  <si>
    <t>Max. E. Power</t>
  </si>
  <si>
    <t>1678362845304463360</t>
  </si>
  <si>
    <t>1551244854092476416</t>
  </si>
  <si>
    <t>https://x.com/talitahazevedo/status/1951710049060978945</t>
  </si>
  <si>
    <t>https://pbs.twimg.com/profile_images/1868456558255898624/-f0t_36f_normal.jpg</t>
  </si>
  <si>
    <t>https://x.com/DayaneVanessa/status/1678362845304463360</t>
  </si>
  <si>
    <t>Tem autista e TDAH adulto que aprendeu a fingir que está tudo bem, que responde “tudo certo” com o cérebro em pane… Mas o silêncio que protege também adoece é um dia ele estoura em crise burnout ou calapso sensorial!</t>
  </si>
  <si>
    <t>talitahazevedo</t>
  </si>
  <si>
    <t>Iniciando mais uma semana e gostaria de te fazer uma pergunta. Você está se ouvindo? O quanto te ouvir está sendo prioridade para você? 
#tdah #bomdia #tdahadulto #tdahinfantil #tdahadolescente #abencoado #segundou #segundafeira #motivacao https://t.co/mssFSzUAcT</t>
  </si>
  <si>
    <t>Talita Azevedo</t>
  </si>
  <si>
    <t>DayaneVanessa</t>
  </si>
  <si>
    <t>1779893821246951424</t>
  </si>
  <si>
    <t>Psicóloga Dayane Costa</t>
  </si>
  <si>
    <t>https://pbs.twimg.com/profile_images/1953676586839863296/92IR_tIS_normal.jpg</t>
  </si>
  <si>
    <t>https://pbs.twimg.com/profile_images/1616262975639244800/jczSXOAd_normal.jpg</t>
  </si>
  <si>
    <t>https://pbs.twimg.com/profile_banners/1551244854092476416/1729182684</t>
  </si>
  <si>
    <t>https://pbs.twimg.com/profile_banners/67360043/1595301949</t>
  </si>
  <si>
    <t>https://pbs.twimg.com/profile_banners/1779893821246951424/1754627781</t>
  </si>
  <si>
    <t>tdah,bomdia,tdahadulto,tdahinfantil,tdahadolescente,abencoado,segundou,segundafeira,motivacao</t>
  </si>
  <si>
    <t>https://pbs.twimg.com/media/F0q-HNJXgAA0oKW.jpg</t>
  </si>
  <si>
    <t>1677318277419155461</t>
  </si>
  <si>
    <t>1930802447087235369</t>
  </si>
  <si>
    <t>https://x.com/mentordeingles/status/1677318277419155461</t>
  </si>
  <si>
    <t>https://x.com/MariolySosaP/status/1930802447087235369</t>
  </si>
  <si>
    <t>1970244107579863532</t>
  </si>
  <si>
    <t>1970243710416818276</t>
  </si>
  <si>
    <t>https://x.com/gukhoonie/status/1970244107579863532</t>
  </si>
  <si>
    <t>Dica de como aprender inglês com TDAH PART I.
.
.
.
.
#aprenderinglês #tdahadulto #comoaprenderingles https://t.co/bC0GfxousF</t>
  </si>
  <si>
    <t>mentordeingles</t>
  </si>
  <si>
    <t>Thiago Fernandes</t>
  </si>
  <si>
    <t>https://pbs.twimg.com/profile_images/1215282401498337281/io9Dnbhr_normal.jpg</t>
  </si>
  <si>
    <t>🧵 HILO | ¿Realmente tienes TDAH… o te hicieron creer que lo tienes?
El caso del “TDAH en adultos” es una de las historias más silenciosas y rentables del negocio farmacéutico moderno.
Abrimos el expediente:
👇 https://t.co/oUiDtcgZur</t>
  </si>
  <si>
    <t>MariolySosaP</t>
  </si>
  <si>
    <t>Dr. Sosa</t>
  </si>
  <si>
    <t>https://pbs.twimg.com/profile_images/1402776961676632066/ux5zMv2b_normal.jpg</t>
  </si>
  <si>
    <t>o surto pq pela milesima vez me peguei duvidando se eu tenho tdah msm e se isso existe em adulto de vdd mesmo dps de ser diagnosticada por 3 profissionais https://t.co/PLpGnLc0FS</t>
  </si>
  <si>
    <t>https://pbs.twimg.com/profile_banners/1531681154/1490880740</t>
  </si>
  <si>
    <t>gukhoonie</t>
  </si>
  <si>
    <t>vn</t>
  </si>
  <si>
    <t>1933147356318273536</t>
  </si>
  <si>
    <t>https://pbs.twimg.com/profile_images/1991879814202966016/NevAh72S_normal.jpg</t>
  </si>
  <si>
    <t>LinkedIn</t>
  </si>
  <si>
    <t>aprenderinglês,tdahadulto,comoaprenderingles</t>
  </si>
  <si>
    <t>https://lnkd.in/dpQEkneH</t>
  </si>
  <si>
    <t>https://pbs.twimg.com/profile_banners/1933147356318273536/1749793962</t>
  </si>
  <si>
    <t>https://pbs.twimg.com/profile_banners/2492501816/1586067250</t>
  </si>
  <si>
    <t>1673447878268731393</t>
  </si>
  <si>
    <t>https://x.com/isaacnewton75/status/1673447878268731393</t>
  </si>
  <si>
    <t>#TDAH #ADHD #TDAHadulto @TriboTDAH https://t.co/hm3R5YGS2e</t>
  </si>
  <si>
    <t>isaacnewton75</t>
  </si>
  <si>
    <t>Isaac Newton</t>
  </si>
  <si>
    <t>https://pbs.twimg.com/profile_images/1984096237709066240/GtEVcK_T_normal.jpg</t>
  </si>
  <si>
    <t>https://pbs.twimg.com/media/GsuWivjWYAATCq6.jpg</t>
  </si>
  <si>
    <t>1970181565071376777</t>
  </si>
  <si>
    <t>https://x.com/RussellTor40786/status/1970181565071376777</t>
  </si>
  <si>
    <t>1943396412693033148</t>
  </si>
  <si>
    <t>https://pbs.twimg.com/profile_banners/171665356/1755439459</t>
  </si>
  <si>
    <t>https://x.com/MauricioLeija/status/1943396412693033148</t>
  </si>
  <si>
    <t>Libro TDAH EN EL ADULTO Descargar PDF - Dra. Juncal Sevilla
➡ https://t.co/61CoTkW2yy
Descargar o leer en línea TDAH EN EL ADULTO Libro gratuito (PDF ePub Mobi) de Dra. Juncal Sevilla.
TDAH EN EL ADULTO Dra. Juncal Sevilla PDF, TDAH EN EL ADULTO https://t.co/N1GAf9zQUm</t>
  </si>
  <si>
    <t>RussellTor40786</t>
  </si>
  <si>
    <t>Russell Torres</t>
  </si>
  <si>
    <t>1773174991934091264</t>
  </si>
  <si>
    <t>https://pbs.twimg.com/profile_images/1787763812550242304/rNeoqV9U_normal.jpg</t>
  </si>
  <si>
    <t>Al largo camino para llegar al diagnóstico de TDAH del adulto. Entrevista al Dr. Mario González.  
#TDAHdelAdulto #TDAH #HablemosDelTDAH #Neurodiversidad #Neurodivergencia #Neurodesarrollo #NeurodesarrolloyConducta #HablemosDeSaludMental https://t.co/n6Xe0wsTcl</t>
  </si>
  <si>
    <t>TDAH,ADHD,TDAHadulto</t>
  </si>
  <si>
    <t>https://pbs.twimg.com/amplify_video_thumb/1943396228181442560/img/WiEl8tAoRvJbaCRp.jpg</t>
  </si>
  <si>
    <t>https://pbs.twimg.com/media/FzlH-WQWwAM4vaX.jpg</t>
  </si>
  <si>
    <t>TriboTDAH</t>
  </si>
  <si>
    <t>https://video.twimg.com/amplify_video/1943396228181442560/vid/avc1/1280x720/PxYdMzdCbfXuTZTd.mp4?tag=14</t>
  </si>
  <si>
    <t>-38.090172,-5.627043</t>
  </si>
  <si>
    <t>Apodi, Brasil</t>
  </si>
  <si>
    <t>1671893759871815680</t>
  </si>
  <si>
    <t>1671893631777775618</t>
  </si>
  <si>
    <t>https://x.com/TeaVallarta/status/1671893759871815680</t>
  </si>
  <si>
    <t>http://ebooksharez.info/x/libro/123788/1360</t>
  </si>
  <si>
    <t>Pero, hay quien va más allá y decide hacerse un tatuaje y ahí escribir con un marcador los pendientes del día. 😂
.
¿Alguna estrategia que te haya funcionado que quieras compartir?
(2)
.
Créditos de texto e imagen: Soy médica neurodivergente 
#tdahadulto</t>
  </si>
  <si>
    <t>TeaVallarta</t>
  </si>
  <si>
    <t>Soy médica neurodivergente</t>
  </si>
  <si>
    <t>1535677445059141632</t>
  </si>
  <si>
    <t>1943390327462572304</t>
  </si>
  <si>
    <t>https://pbs.twimg.com/profile_images/1535677545936322561/sSqrWr3Z_normal.jpg</t>
  </si>
  <si>
    <t>https://x.com/MauricioLeija/status/1943390327462572304</t>
  </si>
  <si>
    <t>En el TDAH del adulto los problemas de familia son tremendos. Entrevista al Dr. Mario González.
#TDAHdelAdulto #TDAH #HablemosDelTDAH #Neurodiversidad #Neurodivergencia #Neurodesarrollo #NeurodesarrolloyConducta #HablemosDeSaludMental https://t.co/6dIDfGQCXs</t>
  </si>
  <si>
    <t>https://pbs.twimg.com/media/G1d9mYIaoAYKusm.jpg</t>
  </si>
  <si>
    <t>https://pbs.twimg.com/profile_banners/1535677445059141632/1654969447</t>
  </si>
  <si>
    <t>https://pbs.twimg.com/amplify_video_thumb/1943390030434594817/img/gt8BKRuWhewOx3hg.jpg</t>
  </si>
  <si>
    <t>1969715444287521091</t>
  </si>
  <si>
    <t>1969715440986509817</t>
  </si>
  <si>
    <t>https://x.com/TenemosTDAHSBD/status/1969715444287521091</t>
  </si>
  <si>
    <t>https://video.twimg.com/amplify_video/1943390030434594817/vid/avc1/1280x720/dwGpb8LttaL1buRB.mp4?tag=14</t>
  </si>
  <si>
    <t>1667979045122842627</t>
  </si>
  <si>
    <t>1667978782211293185</t>
  </si>
  <si>
    <t>https://x.com/TeaVallarta/status/1667979045122842627</t>
  </si>
  <si>
    <t>📢I entre els participants que completin les 4 etapes sortejarem un lot de llibres de @tdahvalles .
"El niño Incomprendido."
"La vida con TDAH.A vista de pájaro."
"¿Eres tu, soy yo o es el TDAH adulto?"
Inscriu-te 👇👇👇
https://t.co/SLiBZXeR7c https://t.co/Yhx3sNuieI</t>
  </si>
  <si>
    <t>TenemosTDAHSBD</t>
  </si>
  <si>
    <t>Que se te pierdan las cosas, es cero gracioso, pero a los que somos inatentos, nos pasa. 
.
.
.
¿A ti, o a tu hijo/a, te pasan cosas parecidas en la vida cotidiana? (3) Fin.
.
.
.
Créditos de texto e imagen: Soy médica neurodivergente 
.
.
.
#TDAHAdulto
#TDAH
#Neurodivergente</t>
  </si>
  <si>
    <t>Tenemos TDAH SBD</t>
  </si>
  <si>
    <t>https://pbs.twimg.com/profile_images/1880563923532873728/NAV97Jw9_normal.jpg</t>
  </si>
  <si>
    <t>1908357906585837806</t>
  </si>
  <si>
    <t>https://x.com/AleSomnologa/status/1908357906585837806</t>
  </si>
  <si>
    <t>TDAHAdulto,TDAH,Neurodivergente</t>
  </si>
  <si>
    <t>1666916729082003456</t>
  </si>
  <si>
    <t>Hoy es de esos días que no se si sentir tristeza o frustración 
Como es posible que un psiquiatra siga sin creer/diagnosticar TDAH en el adulto 
… 
Hoy es un buen día para planear vender café ☕️</t>
  </si>
  <si>
    <t>https://x.com/DNATalentqro/status/1666916729082003456</t>
  </si>
  <si>
    <t>https://pbs.twimg.com/profile_banners/1326998840/1737196190</t>
  </si>
  <si>
    <t>Gracias a @MenteScopia  por esta oportunidad de visibilizarnos, soy Elisa Farías de @hablemosneuro y este es mi testimonio de #tdah #tdahadulto y su mensaje sobre #saludmental #neurociencia #neurodiversidad https://t.co/1oZxuhRD43</t>
  </si>
  <si>
    <t>tdah,tdahadulto,saludmental,neurociencia,neurodiversidad</t>
  </si>
  <si>
    <t>https://pbs.twimg.com/ext_tw_video_thumb/1666916209542025216/pu/img/VavdvtleUHSshI5s.jpg</t>
  </si>
  <si>
    <t>1988581409146261579</t>
  </si>
  <si>
    <t>https://x.com/enegreci/status/1988581409146261579</t>
  </si>
  <si>
    <t>https://tdahvalles.org/%f0%9f%9a%b6%f0%9f%9a%b6%e2%99%80%ef%b8%8f2a-edicio-sabadell360-camina-pel-tdah/</t>
  </si>
  <si>
    <t>https://video.twimg.com/ext_tw_video/1666916209542025216/pu/vid/720x1280/PfLsvO-chcuPFgdQ.mp4?tag=12</t>
  </si>
  <si>
    <t>O pior sintoma que tenho do tdah, pra mim, é a intensa busca por novidade. Isso na vida adulta desgasta relações amorosas, de trabalho, acadêmicas 
affffff</t>
  </si>
  <si>
    <t>enegreci</t>
  </si>
  <si>
    <t>enê</t>
  </si>
  <si>
    <t>1430382779414585346</t>
  </si>
  <si>
    <t>https://pbs.twimg.com/profile_images/1985362696062029824/PdMq004k_normal.jpg</t>
  </si>
  <si>
    <t>MenteScopia</t>
  </si>
  <si>
    <t>https://pbs.twimg.com/profile_banners/1430382779414585346/1762896865</t>
  </si>
  <si>
    <t>1666845343781142529</t>
  </si>
  <si>
    <t>1666555334901596162</t>
  </si>
  <si>
    <t>https://x.com/meztonopochtli/status/1666845343781142529</t>
  </si>
  <si>
    <t>https://pbs.twimg.com/media/G1XVs93X0AAU_Kd.jpg,https://pbs.twimg.com/media/G1XUdvDXMAAqBoP.jpg,https://pbs.twimg.com/media/G1XVrZrXYAAzUud.jpg</t>
  </si>
  <si>
    <t>@InformaCosmos Olvidé ponerle café a mi agua caliente con leche y ahora debo lavar los trastes... Maldito #tdahadulto https://t.co/KXfFRvYgPp</t>
  </si>
  <si>
    <t>meztonopochtli</t>
  </si>
  <si>
    <t>Saraí Lechuga</t>
  </si>
  <si>
    <t>https://pbs.twimg.com/profile_images/776959014152249344/igurCXFk_normal.jpg</t>
  </si>
  <si>
    <t>1544491599983480834</t>
  </si>
  <si>
    <t>https://x.com/Gastonortegaa/status/1544491599983480834</t>
  </si>
  <si>
    <t>https://pbs.twimg.com/profile_banners/207630868/1507426625</t>
  </si>
  <si>
    <t>Ser adulto es básicamente estar PREOCUPADO... por la plata , el trabajo , los estudios,  el bienestar de los que queremos , es una preocupación constante por todooooo</t>
  </si>
  <si>
    <t>Gastonortegaa</t>
  </si>
  <si>
    <t>Tongas ⭐️⭐️⭐️</t>
  </si>
  <si>
    <t>https://pbs.twimg.com/profile_images/1605045287369711621/SHlZqSGw_normal.jpg</t>
  </si>
  <si>
    <t>tdahvalles</t>
  </si>
  <si>
    <t>1969577679100809433</t>
  </si>
  <si>
    <t>https://pbs.twimg.com/profile_banners/1628588443/1598919539</t>
  </si>
  <si>
    <t>https://x.com/Lordpristino7/status/1969577679100809433</t>
  </si>
  <si>
    <t>InformaCosmos</t>
  </si>
  <si>
    <t>https://pbs.twimg.com/media/FyHTAZNWYAEEAFk.jpg</t>
  </si>
  <si>
    <t>1180155043300990977</t>
  </si>
  <si>
    <t>https://x.com/thaassinha/status/1180155043300990977</t>
  </si>
  <si>
    <t>1665398585729458177</t>
  </si>
  <si>
    <t>Se o cara aprender a ser um adulto funcional mesmo com o TDAH estalando. Com Ritalina ele se torna um deus</t>
  </si>
  <si>
    <t>Lordpristino7</t>
  </si>
  <si>
    <t>https://x.com/zenpacienciapsi/status/1665398585729458177</t>
  </si>
  <si>
    <t>Deus ex machina</t>
  </si>
  <si>
    <t>1931467205998178304</t>
  </si>
  <si>
    <t>https://pbs.twimg.com/profile_images/1984009020219195393/yvqFH26U_normal.jpg</t>
  </si>
  <si>
    <t>o adolescente que não faz merdas tipicas de jovens na adolescente, mais tarde cresce e vira um adulto revoltado que vai querer descobrir a sensaçao de fazer as merdas típicas de adolescente no auge dos seus 25 anos</t>
  </si>
  <si>
    <t>thaassinha</t>
  </si>
  <si>
    <t>thassião 🍋</t>
  </si>
  <si>
    <t>706548434652831744</t>
  </si>
  <si>
    <t>https://pbs.twimg.com/profile_images/1561348961461477376/hGuYTTQL_normal.jpg</t>
  </si>
  <si>
    <t>Você já ouviu falar de Body Doubling? é uma estratégia sensacional para produtividade de quem tem TDAH! Vem ver no instagram! Faremos body doubling ao vivo todo domingo, porque a gente é pobre e tem que trabalhar domingo tb! hahhahaha só vem!
#tdah #tdahadulto</t>
  </si>
  <si>
    <t>zenpacienciapsi</t>
  </si>
  <si>
    <t>Zen Paciência®</t>
  </si>
  <si>
    <t>1542479058658906112</t>
  </si>
  <si>
    <t>https://pbs.twimg.com/profile_images/1672392271512076288/wDMMHY45_normal.jpg</t>
  </si>
  <si>
    <t>https://pbs.twimg.com/profile_banners/706548434652831744/1729261374</t>
  </si>
  <si>
    <t>https://pbs.twimg.com/profile_banners/1542479058658906112/1685302494</t>
  </si>
  <si>
    <t>1968871999712690568</t>
  </si>
  <si>
    <t>1988207750346866987</t>
  </si>
  <si>
    <t>https://x.com/mahlucca1206/status/1968871999712690568</t>
  </si>
  <si>
    <t>https://x.com/TomasAV12/status/1988207750346866987</t>
  </si>
  <si>
    <t>1664762019713622016</t>
  </si>
  <si>
    <t>https://x.com/zenpacienciapsi/status/1664762019713622016</t>
  </si>
  <si>
    <t>La adultez es escribirle a los socios a esta hora y que todos respondan</t>
  </si>
  <si>
    <t>TomasAV12</t>
  </si>
  <si>
    <t>T12</t>
  </si>
  <si>
    <t>Ser lerdo, burro, Sonso oi inútil não é TDAH ou autismo. Tem adulto 9 à esquerda procurando diagnóstico a toa</t>
  </si>
  <si>
    <t>848638723600396294</t>
  </si>
  <si>
    <t>mahlucca1206</t>
  </si>
  <si>
    <t>https://pbs.twimg.com/profile_images/1942430880422678528/ssV1d_qp_normal.jpg</t>
  </si>
  <si>
    <t>O Corleone do Galego</t>
  </si>
  <si>
    <t>949430546442137601</t>
  </si>
  <si>
    <t>https://pbs.twimg.com/profile_images/1961151976059670528/S3ET-DHp_normal.jpg</t>
  </si>
  <si>
    <t>Ter TDAH é esquecer a palavra que você ia dizer e ter que descrever a palavra pra pessoa com quem você está falando, para que ela lembre para você. Eu chamo isso de TDAH Adivinhação, você nunca sabe quando você vai jogar, e não é divertido pra ninguém.
#tdah #tdahadulto</t>
  </si>
  <si>
    <t>1442289737201561607</t>
  </si>
  <si>
    <t>1663218812777381893</t>
  </si>
  <si>
    <t>https://x.com/TriboTDAH/status/1442289737201561607</t>
  </si>
  <si>
    <t>https://x.com/TeaVallarta/status/1663218812777381893</t>
  </si>
  <si>
    <t>https://pbs.twimg.com/profile_banners/949430546442137601/1751073816</t>
  </si>
  <si>
    <t>TDAH NÃO É SÓ COISA DE CRIANÇA!
Transtorno de Déficit de Atenção e Hiperatividade é muito afetado por baixa recepção de neurotransmissores de dopamina no nosso cérebro, que funciona diferente desde o nascimento e continua na vida adulta.
Não existe “ex-TDAH”, não some só adapta</t>
  </si>
  <si>
    <t>Tribo TDAH® - Apoia.se/TriboTDAH</t>
  </si>
  <si>
    <t>Que me digan rara, a mí no me ofende, a mí me gusta ser diferente.🙃❤️
.
.
.
#SoyAutista
#TDAHadulto
#Dispraxia
#Discalculia
#Alexitimia
#Prosopagnosia
#Ansiedad
#DesorientacionTopografica https://t.co/5UiSIqlQmb</t>
  </si>
  <si>
    <t>1174138773023657985</t>
  </si>
  <si>
    <t>https://pbs.twimg.com/profile_images/1377529312304373766/DezBVjOe_normal.jpg</t>
  </si>
  <si>
    <t>SoyAutista,TDAHadulto,Dispraxia,Discalculia,Alexitimia,Prosopagnosia,Ansiedad,DesorientacionTopografica</t>
  </si>
  <si>
    <t>https://pbs.twimg.com/media/FxTwsk2aMAA7Gk3.jpg</t>
  </si>
  <si>
    <t>https://pbs.twimg.com/profile_banners/1174138773023657985/1591234301</t>
  </si>
  <si>
    <t>1967620179829072263</t>
  </si>
  <si>
    <t>peakmemess</t>
  </si>
  <si>
    <t>Opinion on mental health that will have you like this? https://t.co/TLjy4d2kWw</t>
  </si>
  <si>
    <t>https://pbs.twimg.com/media/G05kH0BXgAAahss.jpg</t>
  </si>
  <si>
    <t>1661503884517416961</t>
  </si>
  <si>
    <t>1661503879937241091</t>
  </si>
  <si>
    <t>https://x.com/tdahdislex/status/1661503884517416961</t>
  </si>
  <si>
    <t>1881782536541732904</t>
  </si>
  <si>
    <t>https://x.com/j_bleon/status/1881782536541732904</t>
  </si>
  <si>
    <t>1968846894483886082</t>
  </si>
  <si>
    <t>1968846659124617693</t>
  </si>
  <si>
    <t>https://x.com/DavidFiocchi/status/1968846894483886082</t>
  </si>
  <si>
    <t>Outras habilidades da Alexa
📄Lista de tarefas e de compras 🛒 
.
📚Ler livros
.
⏰E criar rotinas 
.
⁉️Se eu esqueci de alguma, seja a minha Alexa por um dia e escreva aí embaixo por favor 🙏🏼
#tdah #tdahadulto #alexa #assistentevirtu</t>
  </si>
  <si>
    <t>Se podrá trata el TDAH de un adulto mayor?</t>
  </si>
  <si>
    <t>j_bleon</t>
  </si>
  <si>
    <t>JB León</t>
  </si>
  <si>
    <t>https://pbs.twimg.com/profile_images/1239688032195919873/LBl9PT7k_normal.jpg</t>
  </si>
  <si>
    <t>esse post é só desinformação, se o cara é diagnosticado TDAH adulto ele PROVAVELMENTE usou alguma substancia durante a vida como automedicação</t>
  </si>
  <si>
    <t>DavidFiocchi</t>
  </si>
  <si>
    <t>café</t>
  </si>
  <si>
    <t>1105994111109267457</t>
  </si>
  <si>
    <t>https://pbs.twimg.com/profile_images/1968834253837201408/Hu-6pnsl_normal.jpg</t>
  </si>
  <si>
    <t>tdah,tdahadulto,alexa,assistentevirtu</t>
  </si>
  <si>
    <t>1659714688723058695</t>
  </si>
  <si>
    <t>https://x.com/malditatv_/status/1659714688723058695</t>
  </si>
  <si>
    <t>https://pbs.twimg.com/profile_banners/134572630/1438403716</t>
  </si>
  <si>
    <t>https://pbs.twimg.com/profile_banners/1105994111109267457/1758241575</t>
  </si>
  <si>
    <t>Adivinen quien trato de pagar hoy viernes con la promoción de ayer del banco por creer que era jueves #cosasdeTDAH #TDAHadulto</t>
  </si>
  <si>
    <t>malditatv_</t>
  </si>
  <si>
    <t>mica</t>
  </si>
  <si>
    <t>1543433261514256384</t>
  </si>
  <si>
    <t>https://pbs.twimg.com/profile_images/1935466314300002304/4NGLoK6__normal.jpg</t>
  </si>
  <si>
    <t>1948855434598662445</t>
  </si>
  <si>
    <t>https://x.com/MauricioLeija/status/1948855434598662445</t>
  </si>
  <si>
    <t>1968137229391499467</t>
  </si>
  <si>
    <t>1968065066797863290</t>
  </si>
  <si>
    <t>cosasdeTDAH,TDAHadulto</t>
  </si>
  <si>
    <t>https://x.com/Gatonegroylkj/status/1968137229391499467</t>
  </si>
  <si>
    <t>1659194111373737984</t>
  </si>
  <si>
    <t>https://x.com/Gil_Cardoso_/status/1659194111373737984</t>
  </si>
  <si>
    <t>@susanamorazan Si es así gracias, fui madre soltera también con un hijo con TDAH y ansiedad no es fácil pero ver esto por fin me da esperanza mi hijo ya es adulto y que difícil fue espero y logren hacer algo al respecto, es necesario!</t>
  </si>
  <si>
    <t>Gatonegroylkj</t>
  </si>
  <si>
    <t>Déjà vu 🪷</t>
  </si>
  <si>
    <t>https://pbs.twimg.com/profile_images/1986961063972163584/vA4mu2EC_normal.jpg</t>
  </si>
  <si>
    <t>Sintomas de TDAH
Todo dia isso 🤷🏽‍♂️🤣🤣
#TDAH
#TDAHADULTO
#TDAHGATOS
#TDAHDESATENTO
#TDAHHIPERATIVOIMPULSIVO
#TDAHMISTOCOMBINADO https://t.co/FKXxA2cEPE</t>
  </si>
  <si>
    <t>Gil_Cardoso_</t>
  </si>
  <si>
    <t>Gil_Cardoso</t>
  </si>
  <si>
    <t>1426998562097967104</t>
  </si>
  <si>
    <t>https://pbs.twimg.com/profile_images/1639987383876583427/FHKyE0jn_normal.jpg</t>
  </si>
  <si>
    <t>https://pbs.twimg.com/profile_banners/614921619/1638468385</t>
  </si>
  <si>
    <t>https://pbs.twimg.com/profile_banners/1426998562097967104/1679838392</t>
  </si>
  <si>
    <t>susanamorazan</t>
  </si>
  <si>
    <t>TDAH,TDAHADULTO,TDAHGATOS,TDAHDESATENTO,TDAHHIPERATIVOIMPULSIVO,TDAHMISTOCOMBINADO</t>
  </si>
  <si>
    <t>https://pbs.twimg.com/media/FwakP3-WYAAEupG.jpg</t>
  </si>
  <si>
    <t>1967916713141473326</t>
  </si>
  <si>
    <t>1967693004275323362</t>
  </si>
  <si>
    <t>https://x.com/Elkarre1/status/1967916713141473326</t>
  </si>
  <si>
    <t>1657553076226609152</t>
  </si>
  <si>
    <t>@Fucos_ Exacto. Cuando íbamos a las escuelas para padres de la asociación, dieron una charla de TDAH en el adulto. Mi mujer se descojonaba...😂😂😂</t>
  </si>
  <si>
    <t>Elkarre1</t>
  </si>
  <si>
    <t>Dr. Grijander.Democracia plena Edition</t>
  </si>
  <si>
    <t>https://x.com/Txeminis/status/1657553076226609152</t>
  </si>
  <si>
    <t>987245748998852609</t>
  </si>
  <si>
    <t>https://pbs.twimg.com/profile_images/1960247751138037760/NxiT7pbc_normal.jpg</t>
  </si>
  <si>
    <t>Día 4 con la medicación del tdah... son las 3 y no tengo sueño y un bebé de 10 meses, pinta un domingo interesante.
Ah y sigo con la boca seca
#tdah #tdahadulto #bocaseca #medicacióntdah #dejamedormir</t>
  </si>
  <si>
    <t>Txeminis</t>
  </si>
  <si>
    <t>Txeminis 🏳️‍🌈🏳️‍⚧️</t>
  </si>
  <si>
    <t>https://pbs.twimg.com/profile_images/1246536418228396032/gud9LO03_normal.jpg</t>
  </si>
  <si>
    <t>https://pbs.twimg.com/profile_banners/987245748998852609/1740834311</t>
  </si>
  <si>
    <t>«No te quiero medicar para eso, porque tú ya aprendiste a vivir con eso»: respuesta de un psiquiatra ante la demanda de atención de un paciente adulto con TDAH.
Posible traducción: «No sé tratar el TDAH del adulto, enfoquémonos en otras cosas»</t>
  </si>
  <si>
    <t>https://pbs.twimg.com/profile_banners/184775379/1588882728</t>
  </si>
  <si>
    <t>Fucos_</t>
  </si>
  <si>
    <t>1967691432703168840</t>
  </si>
  <si>
    <t>1967691390919598444</t>
  </si>
  <si>
    <t>https://x.com/ElPaido/status/1967691432703168840</t>
  </si>
  <si>
    <t>1917651984837943772</t>
  </si>
  <si>
    <t>tdah,tdahadulto,bocaseca,medicacióntdah,dejamedormir</t>
  </si>
  <si>
    <t>https://x.com/seujeitolrs/status/1917651984837943772</t>
  </si>
  <si>
    <t>1656241562362212353</t>
  </si>
  <si>
    <t>https://x.com/Txeminis/status/1656241562362212353</t>
  </si>
  <si>
    <t>La gran brecha
La investigación en TDAH adulto recibe menos financiamiento que la de TDAH infantil o la de otros trastornos en la adultez.</t>
  </si>
  <si>
    <t>Bueno, pues he conseguido mi medicación  para el tdah... he empezado hoy. 
Tengo la boca seca. Ya os contaré más
#tdahadulto</t>
  </si>
  <si>
    <t>me desculpe mas eu ODEIO homem adulto com tdah</t>
  </si>
  <si>
    <t>seujeitolrs</t>
  </si>
  <si>
    <t>gaby 🧃</t>
  </si>
  <si>
    <t>990296924396900354</t>
  </si>
  <si>
    <t>https://pbs.twimg.com/profile_images/1901690971215065088/9ZlSpusc_normal.jpg</t>
  </si>
  <si>
    <t>1967691425300222232</t>
  </si>
  <si>
    <t>https://x.com/ElPaido/status/1967691425300222232</t>
  </si>
  <si>
    <t>1651944436643819520</t>
  </si>
  <si>
    <t>https://x.com/tupsiquiatraa/status/1651944436643819520</t>
  </si>
  <si>
    <t>https://pbs.twimg.com/profile_banners/990296924396900354/1742233433</t>
  </si>
  <si>
    <t>Pero no hay 🆘🤡
#saludmental
#Colombia
#tdahadulto https://t.co/wExgua6zmE</t>
  </si>
  <si>
    <t>tupsiquiatraa</t>
  </si>
  <si>
    <t>Angelica Aparicio MD 🥼</t>
  </si>
  <si>
    <t>https://pbs.twimg.com/profile_images/1370589148768264192/7y0hnbal_normal.jpg</t>
  </si>
  <si>
    <t>Genética y biología
El TDAH es altamente hereditario (70-80%).
Estudios genéticos sugieren que la biología del TDAH adulto es similar a la del infantil, pero aún falta investigación</t>
  </si>
  <si>
    <t>1967691420636155964</t>
  </si>
  <si>
    <t>https://pbs.twimg.com/profile_banners/831316723/1585412750</t>
  </si>
  <si>
    <t>https://x.com/ElPaido/status/1967691420636155964</t>
  </si>
  <si>
    <t>1906082840380416289</t>
  </si>
  <si>
    <t>El costo invisible
Más hospitalizaciones, más accidentes, menor ingreso económico. El impacto del TDAH adulto no es solo personal: también afecta a la sociedad.</t>
  </si>
  <si>
    <t>https://x.com/angelo_diogenes/status/1906082840380416289</t>
  </si>
  <si>
    <t>saludmental,Colombia,tdahadulto</t>
  </si>
  <si>
    <t>https://pbs.twimg.com/media/FuzitdxWAAEXxqY.jpg</t>
  </si>
  <si>
    <t>1967691418245402921</t>
  </si>
  <si>
    <t>Homem adulto que diz que tem TDAH (tendência de amar homens)</t>
  </si>
  <si>
    <t>angelo_diogenes</t>
  </si>
  <si>
    <t>Dom Diógenes I</t>
  </si>
  <si>
    <t>https://x.com/ElPaido/status/1967691418245402921</t>
  </si>
  <si>
    <t>https://pbs.twimg.com/profile_images/1929858132777345024/jxulGJSp_normal.jpg</t>
  </si>
  <si>
    <t>-75.731653,6.270883</t>
  </si>
  <si>
    <t>Medellín, Colombia</t>
  </si>
  <si>
    <t>1651157867842482178</t>
  </si>
  <si>
    <t>https://x.com/gisele_dornelas/status/1651157867842482178</t>
  </si>
  <si>
    <t>Comorbilidades frecuentes
El TDAH adulto suele ir acompañado de otros problemas:
Ansiedad, depresión, bipolaridad.
Trastornos de sueño, obesidad, migraña, incluso enfermedades cardiovasculares.</t>
  </si>
  <si>
    <t>🧠🎗️Eu APOIO e sou um DEFENSOR da causa TDAH. 
🧠❤️De todos os tr4st0rn0s mentais, o TDAH é o mais tratável do planeta! 
Ação de conscientização criada por Haider Rizvi 
#tdah #tdahnãoépreguiça #tdahadulto https://t.co/KDxsYL8vVR</t>
  </si>
  <si>
    <t>gisele_dornelas</t>
  </si>
  <si>
    <t>https://pbs.twimg.com/profile_banners/2554762959/1750815359</t>
  </si>
  <si>
    <t>Gisele Dornelas</t>
  </si>
  <si>
    <t>1232371430089728000</t>
  </si>
  <si>
    <t>https://pbs.twimg.com/profile_images/1488559085528268804/AVpS9V6Q_normal.jpg</t>
  </si>
  <si>
    <t>1967691405213810728</t>
  </si>
  <si>
    <t>https://x.com/ElPaido/status/1967691405213810728</t>
  </si>
  <si>
    <t>Controversias abiertas
El artículo resalta varias preguntas sin respuesta clara:
1. ¿Existe un TDAH de inicio adulto o siempre estuvo desde la niñez?
2. ¿La desregulación emocional debería ser parte del diagnóstico?
3. ¿Qué papel juegan los déficits en funciones ejecutivas?</t>
  </si>
  <si>
    <t>tdah,tdahnãoépreguiça,tdahadulto</t>
  </si>
  <si>
    <t>https://pbs.twimg.com/media/FuoXU2LWwAI5H0s.jpg</t>
  </si>
  <si>
    <t>1959363585097789879</t>
  </si>
  <si>
    <t>1959301109576560826</t>
  </si>
  <si>
    <t>https://x.com/unxciudadana/status/1959363585097789879</t>
  </si>
  <si>
    <t>1967691401896006024</t>
  </si>
  <si>
    <t>https://x.com/ElPaido/status/1967691401896006024</t>
  </si>
  <si>
    <t>1644349795975282695</t>
  </si>
  <si>
    <t>https://x.com/paulaenz/status/1644349795975282695</t>
  </si>
  <si>
    <t>En vista que se viralizo voy a promocionarme como Terapeuta ocupacional en salud mental atiendo a Trastorno del ánimo, TDAH y autismo. Tiendo juvenil y adulto a bajo costo 😊</t>
  </si>
  <si>
    <t>unxciudadana</t>
  </si>
  <si>
    <t>Ciudadana ❯ ❯ ❯ ❯ ❯</t>
  </si>
  <si>
    <t>1197699181487542272</t>
  </si>
  <si>
    <t>https://pbs.twimg.com/profile_images/1877524749481385984/rDFeLLwz_normal.jpg</t>
  </si>
  <si>
    <t>A maioria das mulheres só são diagnosticadas e tratadas  quando adulto pq criaram esteriótipos q impedem de enxergar q nossa agitação é mental, enquanto nos meninos é física #TDAH #TDAHADULTO https://t.co/DCc857HhZ2</t>
  </si>
  <si>
    <t>paulaenz</t>
  </si>
  <si>
    <t>Clara Como a Luz do Sol</t>
  </si>
  <si>
    <t>Más allá de la inatención
El TDAH adulto no es solo “distraerse”. Se asocia a consecuencias cómo:
Depresión, ansiedad y consumo de sustancias.
Problemas de pareja y de empleo.
Accidentes de tránsito y dificultades económicas.</t>
  </si>
  <si>
    <t>https://pbs.twimg.com/profile_images/1812592932068773888/geNiLL8B_normal.jpg</t>
  </si>
  <si>
    <t>https://pbs.twimg.com/profile_banners/180142991/1667445978</t>
  </si>
  <si>
    <t>https://pbs.twimg.com/profile_banners/1197699181487542272/1712974390</t>
  </si>
  <si>
    <t>1967391748893909443</t>
  </si>
  <si>
    <t>1967391537316376731</t>
  </si>
  <si>
    <t>https://x.com/just_vals/status/1967391748893909443</t>
  </si>
  <si>
    <t>Me da risa porque siempre son: ay es que es un adulto súper inquieto, y si les dijera que esa es la forma menos común en el que se presenta el TDAH en adultos se van de culo</t>
  </si>
  <si>
    <t>just_vals</t>
  </si>
  <si>
    <t>Kelly pero que mondá</t>
  </si>
  <si>
    <t>https://pbs.twimg.com/profile_images/1953303614262239233/oGB7u0x2_normal.jpg</t>
  </si>
  <si>
    <t>https://pbs.twimg.com/ext_tw_video_thumb/1644349730766438400/pu/img/pFdjOuVpDKBEurO0.jpg</t>
  </si>
  <si>
    <t>1572065475609116672</t>
  </si>
  <si>
    <t>https://x.com/diettskinny/status/1572065475609116672</t>
  </si>
  <si>
    <t>https://video.twimg.com/ext_tw_video/1644349730766438400/pu/vid/576x932/JRut805fj0YvqHgh.mp4?tag=12</t>
  </si>
  <si>
    <t>https://pbs.twimg.com/profile_banners/167144501/1728702575</t>
  </si>
  <si>
    <t>nossa agr adulto não pode ter t.a? o edtwt é só pra kid? sinto mt mas eu tenho 25 anos, sou adulta sim, moro sozinha, me sustento, trabalho e to terminando a facul e to aq, e não vai ser as kids q vai me fazer curar kkkkkkkkkk cada coisa q eu tenho q ler aq toda vez q volto</t>
  </si>
  <si>
    <t>diettskinny</t>
  </si>
  <si>
    <t>mily</t>
  </si>
  <si>
    <t>1631687336256847875</t>
  </si>
  <si>
    <t>https://pbs.twimg.com/profile_images/1909592874842292224/htoNPylf_normal.jpg</t>
  </si>
  <si>
    <t>https://x.com/apdaperu/status/1631687336256847875</t>
  </si>
  <si>
    <t>⚠️ ¡Si quieres conocer más sobre el TDAH te invitamos a seguirnos en todas nuestras redes sociales!
#TDAH #tdahadulto #tdhainfantil #educaciónparatodos #mejoradehábitos #Asociacióperuanadedéficitdeatención https://t.co/MngtAv7kCh</t>
  </si>
  <si>
    <t>apdaperu</t>
  </si>
  <si>
    <t>APDA</t>
  </si>
  <si>
    <t>https://pbs.twimg.com/profile_images/2916123536/77aa775f2291e22e0f91e35ce07b8d06_normal.jpeg</t>
  </si>
  <si>
    <t>https://pbs.twimg.com/profile_banners/2786565149/1705331845</t>
  </si>
  <si>
    <t>https://x.com/just_vals/status/1967391537316376731</t>
  </si>
  <si>
    <t>https://pbs.twimg.com/profile_banners/981246782/1354312092</t>
  </si>
  <si>
    <t>Es chistoso como dicen que tienen tdah y pasan a describir todos los síntomas de un niño con tdah y no los de un adulto, chicos tener ansiedad no es lo mismo que un tdah, espero que eso les ayude y dejen de autodiagnosticarse 🙄🙄🙄</t>
  </si>
  <si>
    <t>1988792886536896993</t>
  </si>
  <si>
    <t>TDAH,tdahadulto,tdhainfantil,educaciónparatodos,mejoradehábitos,Asociacióperuanadedéficitdeatención</t>
  </si>
  <si>
    <t>https://x.com/lunchtimedog/status/1988792886536896993</t>
  </si>
  <si>
    <t>https://pbs.twimg.com/media/FqTq85DWIAEVOnA.jpg</t>
  </si>
  <si>
    <t>1629057536472018944</t>
  </si>
  <si>
    <t>a defesa do meu tcc veio pra me mostrar o quao errado eu estava em afirmar q nao consigo estabelecer vínculos depois de adulto
simplesmente uma sala cheia de gente, presentes e homenagens até hoje... acho q nunca fui tao celebrado</t>
  </si>
  <si>
    <t>1629055937142050816</t>
  </si>
  <si>
    <t>lunchtimedog</t>
  </si>
  <si>
    <t>ddco</t>
  </si>
  <si>
    <t>https://x.com/fundacioningada/status/1629057536472018944</t>
  </si>
  <si>
    <t>https://pbs.twimg.com/profile_images/1953296469416374272/NMHVg6-b_normal.jpg</t>
  </si>
  <si>
    <t>👥Su participación fue muy activa y estuvieron dirigidos por Stella Vicens Llorca (psicóloga clínica) y el Dr. Francisco Pascual Pastor (vicepresidente de Socidrogalcohol).
#tdahgalicia #fundacioningada #tdahadulto #tdahespaña #tdahadolescentes #Socidrogalcohol https://t.co/u4v44ACYTD</t>
  </si>
  <si>
    <t>fundacioningada</t>
  </si>
  <si>
    <t>Fundación INGADA</t>
  </si>
  <si>
    <t>https://pbs.twimg.com/profile_images/439016713338617856/itWypl0R_normal.png</t>
  </si>
  <si>
    <t>https://pbs.twimg.com/profile_banners/2549713804/1754577573</t>
  </si>
  <si>
    <t>https://pbs.twimg.com/profile_banners/2364082788/1425462919</t>
  </si>
  <si>
    <t>1966773849724514425</t>
  </si>
  <si>
    <t>https://x.com/penguinlibros/status/1966773849724514425</t>
  </si>
  <si>
    <t>tdahgalicia,fundacioningada,tdahadulto,tdahespaña,tdahadolescentes,Socidrogalcohol</t>
  </si>
  <si>
    <t>https://pbs.twimg.com/ext_tw_video_thumb/1629056046542061569/pu/img/QWDh1s183whAe0KF.jpg</t>
  </si>
  <si>
    <t>¿Despistes, cambios de humor, caos constante, ansiedad o procrastinación? 👀
Puede que detrás haya un TDAH no diagnosticado.
En «TDAH en el adulto», la psiquiatra Juncal Sevilla explica con rigor y cercanía qué significa vivir con este trastorno en la edad adulta. 📚✨ ¿Más https://t.co/eiFmmIB52X</t>
  </si>
  <si>
    <t>penguinlibros</t>
  </si>
  <si>
    <t>Penguin España 🐧📚</t>
  </si>
  <si>
    <t>https://pbs.twimg.com/profile_images/1775078100939718656/HH_-J0ib_normal.jpg</t>
  </si>
  <si>
    <t>https://video.twimg.com/ext_tw_video/1629056046542061569/pu/vid/1280x720/kSHIf22nfhMglkYy.mp4?tag=12</t>
  </si>
  <si>
    <t>https://pbs.twimg.com/profile_banners/15019391/1762786924</t>
  </si>
  <si>
    <t>1626373270747467776</t>
  </si>
  <si>
    <t>https://x.com/apdaperu/status/1626373270747467776</t>
  </si>
  <si>
    <t>Twitter Web Client</t>
  </si>
  <si>
    <t>https://pbs.twimg.com/media/G0U6xYJXcAEp7ne.png,https://pbs.twimg.com/media/G0U62GwXEAATUEz.png,https://pbs.twimg.com/media/G0U61nsWEAADIKw.png,https://pbs.twimg.com/media/G0U6h8GW4AANepV.jpg</t>
  </si>
  <si>
    <t>➡️ Querido amigos, los invitamos a este taller sobre el TDAH.
🗓️ Lunes 20 y 27 de febrero; y lunes 6 y 13 de marzo.
⚠️ ¡Puedes participar de este taller junto a un familiar! 
Más información en: 997 554 209
#apdaperu #tdahperu #TDAHadulto
#tdahenlafamilia #TDAH #tdahinfantil https://t.co/TS1kpFp6GN</t>
  </si>
  <si>
    <t>apdaperu,tdahperu,TDAHadulto,tdahenlafamilia,TDAH,tdahinfantil</t>
  </si>
  <si>
    <t>https://pbs.twimg.com/media/FpIJwX0XsAA7TZ0.jpg</t>
  </si>
  <si>
    <t>1965633157321171295</t>
  </si>
  <si>
    <t>1623821371695370241</t>
  </si>
  <si>
    <t>1965562882877522170</t>
  </si>
  <si>
    <t>https://x.com/adahigi/status/1623821371695370241</t>
  </si>
  <si>
    <t>https://x.com/fortunagitana/status/1965633157321171295</t>
  </si>
  <si>
    <t>#TDAH
#TDAHADULTO
#TDAHCRONICO
@sanidadgob
@osakidetzaEJGV
https://t.co/EMw0FWhYna</t>
  </si>
  <si>
    <t>adahigi</t>
  </si>
  <si>
    <t>ADAHIGI Asoc</t>
  </si>
  <si>
    <t>937041894198136838</t>
  </si>
  <si>
    <t>https://pbs.twimg.com/profile_images/1623821709865283584/Yu6OfLCD_normal.jpg</t>
  </si>
  <si>
    <t>@pasotti_ @TuTiaSandra Justo. Siempre me dio mucha pena ajena (y me sigue dando) la gente qué consume su contenido, empezó siendo un Jackass wannabe AKA puras idioteces. Se nota que tiene un caso severo de TDAH pero no x eso vamos a solapar qué un adulto agreda a gente mucho menor qué él. Es patético. https://t.co/rBLIfmxE3C</t>
  </si>
  <si>
    <t>fortunagitana</t>
  </si>
  <si>
    <t>U🍏BRAT</t>
  </si>
  <si>
    <t>1228937343605858304</t>
  </si>
  <si>
    <t>https://pbs.twimg.com/profile_images/1977568517542010880/QosSRHtw_normal.jpg</t>
  </si>
  <si>
    <t>https://pbs.twimg.com/profile_banners/937041894198136838/1752248588</t>
  </si>
  <si>
    <t>1932387525118623984</t>
  </si>
  <si>
    <t>https://x.com/elneuropediatra/status/1932387525118623984</t>
  </si>
  <si>
    <t>https://pbs.twimg.com/profile_banners/1228937343605858304/1760324009</t>
  </si>
  <si>
    <t>✨ "No entendía por qué era diferente... hasta que me diagnosticaron TDAH siendo adulto"
Javier Quintana no solo es psicólogo y psicopedagogo. También ha vivido el TDAH desde dentro. https://t.co/yS3z7lT4bz</t>
  </si>
  <si>
    <t>TDAH,TDAHADULTO,TDAHCRONICO</t>
  </si>
  <si>
    <t>https://www.naiz.eus/es/iritzia/articulos/que-puede-hacer-un-tdah-por-mejorar-la-vida-de-los-demas</t>
  </si>
  <si>
    <t>pasotti_</t>
  </si>
  <si>
    <t>pasotti_,TuTiaSandra</t>
  </si>
  <si>
    <t>1965598738933755983</t>
  </si>
  <si>
    <t>1965585346265305472</t>
  </si>
  <si>
    <t>https://x.com/evanlvshana/status/1965598738933755983</t>
  </si>
  <si>
    <t>sanidadgob,osakidetzaEJGV</t>
  </si>
  <si>
    <t>1621955122879135747</t>
  </si>
  <si>
    <t>https://x.com/tdahdislex/status/1621955122879135747</t>
  </si>
  <si>
    <t>1. Tiene TDAH que recién se le fue diagnosticado siendo adulto.</t>
  </si>
  <si>
    <t>evanlvshana</t>
  </si>
  <si>
    <t>ᴗ Dollyth ˚ʚ 🌺 ɞ˚</t>
  </si>
  <si>
    <t>1888782830324396032</t>
  </si>
  <si>
    <t>Não existe remédios que ensinem comportamentos, não adianta tomar venvanse ritalina ou seja lá o que for se você não promover comportamentos adaptativos! Pilulas não ensinam hardskills ou softskills #tdah #tdahadulto #tdahadulto #tdahtiktok #venvanse #ritalina https://t.co/9GJvI7FLUn</t>
  </si>
  <si>
    <t>https://pbs.twimg.com/profile_images/1994477625708793856/xsHrVePl_normal.jpg</t>
  </si>
  <si>
    <t>tdah,tdahadulto,tdahadulto,tdahtiktok,venvanse,ritalina</t>
  </si>
  <si>
    <t>https://pbs.twimg.com/ext_tw_video_thumb/1621954933896396800/pu/img/awDbUEehhJCmo0BS.jpg</t>
  </si>
  <si>
    <t>https://elneuropediatra.es/psicologo-con-tdah/</t>
  </si>
  <si>
    <t>https://pbs.twimg.com/profile_banners/1888782830324396032/1764354933</t>
  </si>
  <si>
    <t>https://video.twimg.com/ext_tw_video/1621954933896396800/pu/vid/720x1280/BuP47sHpdE2la6Xt.mp4?tag=12</t>
  </si>
  <si>
    <t>1988273163227259279</t>
  </si>
  <si>
    <t>1988205302697848967</t>
  </si>
  <si>
    <t>https://x.com/TiakathDrawns/status/1988273163227259279</t>
  </si>
  <si>
    <t>1618277697230372870</t>
  </si>
  <si>
    <t>https://x.com/TriboTDAH/status/1618277697230372870</t>
  </si>
  <si>
    <t>1965531226036732099</t>
  </si>
  <si>
    <t>1965088110154576366</t>
  </si>
  <si>
    <t>https://x.com/ricardo_nakaoka/status/1965531226036732099</t>
  </si>
  <si>
    <t>@ArcanoGW2 @Yezan135 @Sonic_E_F @ChisaiMew @Creampie_butter @St0rm1es_ @BvgCrusade22648 @Pinkuzhy16 @brandythecat_05 @DannaSoeVisaiz FELIZ CUMPLEAÑOS ARQUIEEEEEE WOOOOHOOOOOOOOOO💕💕‼️‼️‼️🗣️🗣️🗣️🔥🫩🔥🔥
CUMPLE MAS AÑITOS PENDEJO Y QUE DIOS LO PROTEJA SIEMPRE. 
LO QUIERO MUCHO Y TRAGUE TORTA HASTA REVENTAR TRIPA https://t.co/wzinFrPpb4</t>
  </si>
  <si>
    <t>Tribo TDAH traz mais uma dica de viagem e passeio: a @pinacotecasp tem entrada gratuita como PcD para TDAHs apresentando laudo e acompanhares pagam meia entrada também em exposições permanentes e temporárias!
Parabéns, São Paulo, por seus 469 anos.
#pinacoteca #tdah #tdahadulto https://t.co/nJWK1uWRw3</t>
  </si>
  <si>
    <t>@tubasmeias @kiki_blossoms @Carvalho_Svcer @leonardo1opes ser TEA (como eu descobri ser TDAH), depois de vc ter se formado, entrado em relacionamento e no mercado de trabalho, serve mais para ajustes com essas dificuldades ocultas e pra fazer as pazes com seu passado. Mas tem adulto fazendo birra agora pra sentar em assento preferencial</t>
  </si>
  <si>
    <t>ricardo_nakaoka</t>
  </si>
  <si>
    <t>Ricardo Nakaoka</t>
  </si>
  <si>
    <t>1427818653072908288</t>
  </si>
  <si>
    <t>https://pbs.twimg.com/profile_images/1970907032736641024/eTw7yI9w_normal.jpg</t>
  </si>
  <si>
    <t>ArcanoGW2</t>
  </si>
  <si>
    <t>https://pbs.twimg.com/ext_tw_video_thumb/1988273142242979840/pu/img/ftioeIQZnOn2fxWZ.jpg</t>
  </si>
  <si>
    <t>https://pbs.twimg.com/profile_banners/1427818653072908288/1753825662</t>
  </si>
  <si>
    <t>https://video.twimg.com/ext_tw_video/1988273142242979840/pu/vid/avc1/576x766/ti06XZRl7EDoi5NL.mp4?tag=12</t>
  </si>
  <si>
    <t>pinacoteca,tdah,tdahadulto</t>
  </si>
  <si>
    <t>https://pbs.twimg.com/ext_tw_video_thumb/1618277587792314369/pu/img/LvXcWb6pmPfsZlDd.jpg</t>
  </si>
  <si>
    <t>https://video.twimg.com/ext_tw_video/1618277587792314369/pu/vid/480x848/5y3AnmYSHuN_9BXL.mp4?tag=12</t>
  </si>
  <si>
    <t>tubasmeias,kiki_blossoms,Carvalho_Svcer,leonardo1opes</t>
  </si>
  <si>
    <t>ArcanoGW2,Yezan135,Sonic_E_F,ChisaiMew,Creampie_butter,St0rm1es_,BvgCrusade22648,Pinkuzhy16,brandythecat_05,DannaSoeVisaiz</t>
  </si>
  <si>
    <t>1965112371342705041</t>
  </si>
  <si>
    <t>1987610020855316534</t>
  </si>
  <si>
    <t>https://x.com/IsaacDahi/status/1987610020855316534</t>
  </si>
  <si>
    <t>https://x.com/carulinap30/status/1965112371342705041</t>
  </si>
  <si>
    <t>pinacotecasp</t>
  </si>
  <si>
    <t>1611065472639766535</t>
  </si>
  <si>
    <t>https://x.com/ffdalles/status/1611065472639766535</t>
  </si>
  <si>
    <t>Queria ser rico na minha adolescência 
Vou ser rico adulto mas não vai ter a mesma graça</t>
  </si>
  <si>
    <t>IsaacDahi</t>
  </si>
  <si>
    <t>TDAHi</t>
  </si>
  <si>
    <t>1877977224206307328</t>
  </si>
  <si>
    <t>https://pbs.twimg.com/profile_images/1982909290974175232/P36AWs8f_normal.jpg</t>
  </si>
  <si>
    <t>"O adulto com TDAH não sabe a diferença entre recusa e rejeição. Quando ouve um “não” de um namorado ou namorada, de um amigo ou de um chefe, é como se o Universo estivesse lhe negando o direito de existir"</t>
  </si>
  <si>
    <t>carulinap30</t>
  </si>
  <si>
    <t>Odeio a fase de planejamento estratégico da minha empresa. Minha disfunçao executiva me deixa doidinha.#tdah #tdahadulto</t>
  </si>
  <si>
    <t>ffdalles</t>
  </si>
  <si>
    <t>Carolina</t>
  </si>
  <si>
    <t>Fe Dalles</t>
  </si>
  <si>
    <t>1413118798983540740</t>
  </si>
  <si>
    <t>https://pbs.twimg.com/profile_images/1524056616370376704/jUKLwu36_normal.jpg</t>
  </si>
  <si>
    <t>https://pbs.twimg.com/profile_images/1987983449429286912/3DzuFCum_normal.jpg</t>
  </si>
  <si>
    <t>https://pbs.twimg.com/profile_banners/16407741/1653499712</t>
  </si>
  <si>
    <t>https://pbs.twimg.com/profile_banners/1413118798983540740/1696385326</t>
  </si>
  <si>
    <t>https://pbs.twimg.com/profile_banners/1877977224206307328/1762916193</t>
  </si>
  <si>
    <t>1611037608443797504</t>
  </si>
  <si>
    <t>https://x.com/fronteira_livre/status/1611037608443797504</t>
  </si>
  <si>
    <t>1965089975713906986</t>
  </si>
  <si>
    <t>1964418328572645666</t>
  </si>
  <si>
    <t>https://x.com/alphaPoirot/status/1965089975713906986</t>
  </si>
  <si>
    <t>TDAH I Uma criança com Déficit de atenção ou TDAH, pode apresentar também dificuldades de aprendizagem
#tdah #tdahadulto #tdahinfantil
https://t.co/Ks4UKCByHf</t>
  </si>
  <si>
    <t>fronteira_livre</t>
  </si>
  <si>
    <t>Fronteira Livre</t>
  </si>
  <si>
    <t>https://pbs.twimg.com/profile_images/1824509553616076800/GzxavTR__normal.jpg</t>
  </si>
  <si>
    <t>1923308023822348364</t>
  </si>
  <si>
    <t>@TheTuruco @Krakatoa341898 @Daneelvs @7dsaint @CuriosidadesBRL Xadrez terapêutico é recomendado até para esquizofrenia, bipolaridade e borderline, além de TDAH e preventivo de demências.
E é um jogo de adulto.
Jogo de Homem Casca Grossa.</t>
  </si>
  <si>
    <t>alphaPoirot</t>
  </si>
  <si>
    <t>Alpha Poirot 🇻🇦</t>
  </si>
  <si>
    <t>1449262974649176067</t>
  </si>
  <si>
    <t>https://x.com/LabRubio/status/1923308023822348364</t>
  </si>
  <si>
    <t>https://pbs.twimg.com/profile_images/1990803878611181568/klxBmwLu_normal.jpg</t>
  </si>
  <si>
    <t>https://pbs.twimg.com/profile_banners/72681608/1743102241</t>
  </si>
  <si>
    <t>https://pbs.twimg.com/profile_banners/1449262974649176067/1763479606</t>
  </si>
  <si>
    <t>🧠 Rubió, patrocinador único del XX Curso TDAH en Adultos (Dr. Ramos-Quiroga).
🎓 Formación avanzada en diagnóstico y manejo del TDAH adulto.Rubió reafirmamos nuestro 
📚 Reafirmamos compromiso con la formación médica de excelencia, impulsando el conocimiento y la innovación para https://t.co/O5ckhRTACU</t>
  </si>
  <si>
    <t>LabRubio</t>
  </si>
  <si>
    <t>Rubió</t>
  </si>
  <si>
    <t>https://pbs.twimg.com/profile_images/1940389913045729280/bA5cKxHU_normal.jpg</t>
  </si>
  <si>
    <t>https://www.fronteiralivre.com.br/noticia/20-estrategias-escolares-para-criancas-com-deficit-de-atencao-ou-tdah</t>
  </si>
  <si>
    <t>TheTuruco</t>
  </si>
  <si>
    <t>TheTuruco,Daneelvs,7dsaint,CuriosidadesBRL</t>
  </si>
  <si>
    <t>https://pbs.twimg.com/profile_banners/2467626889/1732724736</t>
  </si>
  <si>
    <t>1965073650824163725</t>
  </si>
  <si>
    <t>https://x.com/PsicoterapiaMSC/status/1965073650824163725</t>
  </si>
  <si>
    <t>1606415506709401603</t>
  </si>
  <si>
    <t>Un adulto con TDAH se puede ver así:
-Distraído en detalles pequeños
-Olvidadizo de lo importante
-Impulsivo en palabras y acciones
-Inquieto, siempre en movimiento.
-Comiéndose uñas
-Golpeando el volante al conducir con música.
- Moviendo piernas inquietas sin parar.</t>
  </si>
  <si>
    <t>PsicoterapiaMSC</t>
  </si>
  <si>
    <t>Marisol SALINAS |</t>
  </si>
  <si>
    <t>https://x.com/LadyDalek/status/1606415506709401603</t>
  </si>
  <si>
    <t>https://pbs.twimg.com/profile_images/1973189112141152256/Z0ArSqBM_normal.jpg</t>
  </si>
  <si>
    <t>https://pbs.twimg.com/media/GrD2UUZWYAAVALk.jpg</t>
  </si>
  <si>
    <t>Hoy decidí no tomarme mi segunda dosis de Adderall porque me sentía bien al 💯
 Al salir del trabajo salí abrazando a todos deseándoles feliz noche buena...que es mañana.
🐶🐻🤦‍♀️
#tdahadulto #nadiedicenada</t>
  </si>
  <si>
    <t>LadyDalek</t>
  </si>
  <si>
    <t>Mother of Cats</t>
  </si>
  <si>
    <t>https://pbs.twimg.com/profile_images/1397076451875241987/OMSYoNJO_normal.jpg</t>
  </si>
  <si>
    <t>https://pbs.twimg.com/profile_banners/603257566/1762136474</t>
  </si>
  <si>
    <t>1988396696041365887</t>
  </si>
  <si>
    <t>https://pbs.twimg.com/profile_banners/620336672/1401060219</t>
  </si>
  <si>
    <t>https://x.com/A_real_idiot/status/1988396696041365887</t>
  </si>
  <si>
    <t>1965050825954439403</t>
  </si>
  <si>
    <t>1964778267690594609</t>
  </si>
  <si>
    <t>https://x.com/ReencarneiSlime/status/1965050825954439403</t>
  </si>
  <si>
    <t>La adultez de una mujer es un trabajo continuo de descentralizar hombres, veintitantos años siendo socializada pa esa mondá tan consumidora y aún así le cuesta a una.</t>
  </si>
  <si>
    <t>A_real_idiot</t>
  </si>
  <si>
    <t>Tibaduisa</t>
  </si>
  <si>
    <t>https://pbs.twimg.com/profile_images/1852150559643414528/kFBsxTK5_normal.jpg</t>
  </si>
  <si>
    <t>tdahadulto,nadiedicenada</t>
  </si>
  <si>
    <t>1605631366208552984</t>
  </si>
  <si>
    <t>@Cardoso Hoje todo adulto funcional ou é autista ou tdah ou altas habilidades</t>
  </si>
  <si>
    <t>https://x.com/MicheleLuckwu/status/1605631366208552984</t>
  </si>
  <si>
    <t>ReencarneiSlime</t>
  </si>
  <si>
    <t>Reencarnei como um Slime</t>
  </si>
  <si>
    <t>1816860313343418368</t>
  </si>
  <si>
    <t>https://pbs.twimg.com/profile_images/1843975672567373824/PkHbcciU_normal.jpg</t>
  </si>
  <si>
    <t>#Repost @tdahabitos with @use.repost
・・・
E aí? Já tinham se questionado sobre isso?
🧠🎗
#
 #tdah #tdahadulto #dopamina
#saudemental #visibilidadetdah #visibilidadetdah
#tdahportugal #neurociencia #saudemental #terapia https://t.co/Kq8uXcEKY5</t>
  </si>
  <si>
    <t>MicheleLuckwu</t>
  </si>
  <si>
    <t>Michele Luckwu</t>
  </si>
  <si>
    <t>1277308721639698432</t>
  </si>
  <si>
    <t>https://pbs.twimg.com/profile_images/1277308858671783938/lZ_eWfDQ_normal.jpg</t>
  </si>
  <si>
    <t>https://pbs.twimg.com/profile_banners/1144048572/1709294236</t>
  </si>
  <si>
    <t>https://pbs.twimg.com/profile_banners/1816860313343418368/1722009499</t>
  </si>
  <si>
    <t>Instagram</t>
  </si>
  <si>
    <t>Repost,tdah,tdahadulto,dopamina,saudemental,visibilidadetdah,visibilidadetdah,tdahportugal,neurociencia,saudemental,terapia</t>
  </si>
  <si>
    <t>https://www.instagram.com/p/CmcKd-gJWyN/?igshid=YTgzYjQ4ZTY=</t>
  </si>
  <si>
    <t>Cardoso</t>
  </si>
  <si>
    <t>1965018997268807683</t>
  </si>
  <si>
    <t>1965015524448010428</t>
  </si>
  <si>
    <t>tdahabitos,use</t>
  </si>
  <si>
    <t>https://x.com/matias_gleza/status/1965018997268807683</t>
  </si>
  <si>
    <t>1605258885434056722</t>
  </si>
  <si>
    <t>https://x.com/dara_coch/status/1605258885434056722</t>
  </si>
  <si>
    <t>Recordatorio para éstas fechas 😅
#tdahadulto #emociones #tdah #dara_coach #SaludMental #mujertdah #hombretdah #coachingtdah #coachtdah #coachingtranspersonal #impulsividad #hiperactividad #lgtbi #comunidad #familiatdah #tdahypareja #Pareja #coach https://t.co/mVyg6423Sj</t>
  </si>
  <si>
    <t>dara_coch</t>
  </si>
  <si>
    <t>Dara_Coach Transpersonal Profesional |</t>
  </si>
  <si>
    <t>1127581082986192896</t>
  </si>
  <si>
    <t>@rackso2010 Puedes imaginarte. Niño de 11 años con #TDAH que no colabora en el proceso. Yo soy quejica, pero al menos, también soy adulto y no tengo un retraso madurativo que lo complica todo. Estas cosas nos van a seguir pasando por desgracia durante algunos años más</t>
  </si>
  <si>
    <t>https://pbs.twimg.com/profile_images/1477276471878209541/954UqXt6_normal.jpg</t>
  </si>
  <si>
    <t>matias_gleza</t>
  </si>
  <si>
    <t>Matías González Alarcón</t>
  </si>
  <si>
    <t>744214204685627396</t>
  </si>
  <si>
    <t>https://pbs.twimg.com/profile_images/1918961665892093953/-MibPZgc_normal.jpg</t>
  </si>
  <si>
    <t>https://pbs.twimg.com/profile_banners/1127581082986192896/1660506971</t>
  </si>
  <si>
    <t>https://pbs.twimg.com/profile_banners/744214204685627396/1547157727</t>
  </si>
  <si>
    <t>tdahadulto,emociones,tdah,dara_coach,SaludMental,mujertdah,hombretdah,coachingtdah,coachtdah,coachingtranspersonal,impulsividad,hiperactividad,lgtbi,comunidad,familiatdah,tdahypareja,Pareja,coach</t>
  </si>
  <si>
    <t>https://pbs.twimg.com/media/FkcGcu3XEAAu-s3.jpg</t>
  </si>
  <si>
    <t>1912086706871808216</t>
  </si>
  <si>
    <t>https://x.com/gatofornite4/status/1912086706871808216</t>
  </si>
  <si>
    <t>-6.207261,42.463661</t>
  </si>
  <si>
    <t>Astorga, Spain</t>
  </si>
  <si>
    <t>1604893886656258049</t>
  </si>
  <si>
    <t>rackso2010</t>
  </si>
  <si>
    <t>https://x.com/rafamerino/status/1604893886656258049</t>
  </si>
  <si>
    <t>hola buenas busco ayuda
alguien que haya sido diagnosticado con tdah / tda de adulto en madrid
podría recomendarme alguna clínica o algún algo de confianza donde puedan chequearme</t>
  </si>
  <si>
    <t>gatofornite4</t>
  </si>
  <si>
    <t>₊˙♡﹗˚ viki ༘</t>
  </si>
  <si>
    <t>1225514949771956224</t>
  </si>
  <si>
    <t>https://pbs.twimg.com/profile_images/1978484999042031616/WEPeqkfJ_normal.jpg</t>
  </si>
  <si>
    <t>1964529431051194689</t>
  </si>
  <si>
    <t>1964444498504929603</t>
  </si>
  <si>
    <t>https://x.com/karenluizacr/status/1964529431051194689</t>
  </si>
  <si>
    <t>Sacar el taladro de la caja de herramientas para hacer una cosilla.
Necesitarlo dos semanas después y no saber dónde lo he guardado/soltado...
(ni está en la caja, ni en el resto de la casa, ni se lo he dejado a nadie)
#TDAHadulto #TDAH https://t.co/24hW97BSV5</t>
  </si>
  <si>
    <t>rafamerino</t>
  </si>
  <si>
    <t>Rafa Merino</t>
  </si>
  <si>
    <t>https://pbs.twimg.com/profile_images/1604979531097538561/bj78nGh__normal.jpg</t>
  </si>
  <si>
    <t>@lomres_ O diagnóstico favorito da vez é o TDAH, todo adulto com capacidade funcional limitada, preguiçoso e incompentente, tem</t>
  </si>
  <si>
    <t>karenluizacr</t>
  </si>
  <si>
    <t>Karenzinha</t>
  </si>
  <si>
    <t>https://pbs.twimg.com/profile_images/1246520830378508294/wUfQaceS_normal.jpg</t>
  </si>
  <si>
    <t>https://pbs.twimg.com/profile_banners/1225514949771956224/1760539550</t>
  </si>
  <si>
    <t>https://pbs.twimg.com/profile_banners/89605309/1348214572</t>
  </si>
  <si>
    <t>https://pbs.twimg.com/profile_banners/291497155/1582841297</t>
  </si>
  <si>
    <t>https://pbs.twimg.com/media/FkW6XarWYAAEyn5.png</t>
  </si>
  <si>
    <t>1865040459896098947</t>
  </si>
  <si>
    <t>penido_</t>
  </si>
  <si>
    <t>https://x.com/AeAigc/status/1865040459896098947</t>
  </si>
  <si>
    <t>1602695064630837248</t>
  </si>
  <si>
    <t>https://x.com/dara_coch/status/1602695064630837248</t>
  </si>
  <si>
    <t>Tenho opiniões quanto a real necessidade de ir atrás de neuro em possível caso de TDAH adulto. 0 respaldo científico pra utilidade de exames complementares ou avaliações neuro em geral, muito raro chegar à fase adulta sem perceber coisas que aparecem em exame, e MUITO caro...</t>
  </si>
  <si>
    <t>AeAigc</t>
  </si>
  <si>
    <t>Felipe</t>
  </si>
  <si>
    <t>830200658544427008</t>
  </si>
  <si>
    <t>https://pbs.twimg.com/profile_images/1336700532656910337/sVykXZYe_normal.jpg</t>
  </si>
  <si>
    <t>Apúntate en el correo que aparece en el cartel. Escuela de familias el día 20 #tdah #tdahadulto #tdahadolescente #tdahparatodalavida</t>
  </si>
  <si>
    <t>https://pbs.twimg.com/profile_banners/830200658544427008/1607529891</t>
  </si>
  <si>
    <t>1601974878571315203</t>
  </si>
  <si>
    <t>Facyltdah</t>
  </si>
  <si>
    <t>Anota en tu agenda y participa sin moverte de tu lugar de residencia. https://t.co/PsMPn8gbla</t>
  </si>
  <si>
    <t>https://pbs.twimg.com/media/FjtbqXIWQAcZkUc.jpg</t>
  </si>
  <si>
    <t>tdah,tdahadulto,tdahadolescente,tdahparatodalavida</t>
  </si>
  <si>
    <t>1597309500150910977</t>
  </si>
  <si>
    <t>https://x.com/adahigi/status/1597309500150910977</t>
  </si>
  <si>
    <t>1814155039377600566</t>
  </si>
  <si>
    <t>https://x.com/ElPaido/status/1814155039377600566</t>
  </si>
  <si>
    <t>#TDAH, #TDAHAdulto</t>
  </si>
  <si>
    <t>1597149280313434113</t>
  </si>
  <si>
    <t>Aquí fingiendo que sé lo que digo.
#TDAH en el Adulto 
#SaludMental
#Neurodesarrollo https://t.co/1ouk16cnzl</t>
  </si>
  <si>
    <t>1963866964717158853</t>
  </si>
  <si>
    <t>"El TDAH no se diagnostica lo suficiente en población adulta, sobre todo entre las mujeres". 
👉 Un nuevo estudio indica que solo el 0,1% de la población adulta en España tiene detectado el trastorno.
👇 @elmundoes 
#tdah #tdahenadultos #diagnostico
https://t.co/zPoNdZhYrq</t>
  </si>
  <si>
    <t>1963694155105767513</t>
  </si>
  <si>
    <t>https://x.com/HeeJaeyuniie/status/1963866964717158853</t>
  </si>
  <si>
    <t>TDAH,TDAHAdulto</t>
  </si>
  <si>
    <t>1594664477001220096</t>
  </si>
  <si>
    <t>https://x.com/eupaulaeller/status/1594664477001220096</t>
  </si>
  <si>
    <t>TDAH,SaludMental,Neurodesarrollo</t>
  </si>
  <si>
    <t>@woonagiteddy Si, y eso, no es nada bueno. Ven cualquier movimiento así de más y ya: oh, tiene TDAH.
Es que, no ven que solo desinforman haciendo eso.
Nos perjudican. Lo digo, como persona con TDAH diagnosticado adulto. 
Me sienta fatal que hagan eso</t>
  </si>
  <si>
    <t>https://pbs.twimg.com/media/GS0sZH5WEAAxqq3.jpg</t>
  </si>
  <si>
    <t>HeeJaeyuniie</t>
  </si>
  <si>
    <t>Dae saw enha. YUNVEMBER~</t>
  </si>
  <si>
    <t>1926081442154446848</t>
  </si>
  <si>
    <t>https://pbs.twimg.com/profile_images/1994598455935672320/fK4nBS-4_normal.jpg</t>
  </si>
  <si>
    <t>Eu: miriscórdia! Tô cheia de coisa pra fazer! Tenho q terminar meus cursos! Eu 10 minutos depois: olha! Que curso legal! Vou fazer! #bipolaridade #tdahadulto #megalomania</t>
  </si>
  <si>
    <t>eupaulaeller</t>
  </si>
  <si>
    <t>Paula Eller</t>
  </si>
  <si>
    <t>1414204583287664641</t>
  </si>
  <si>
    <t>https://pbs.twimg.com/profile_images/1706399099728039936/1xmk8ckF_normal.jpg</t>
  </si>
  <si>
    <t>https://pbs.twimg.com/profile_banners/1926081442154446848/1758145694</t>
  </si>
  <si>
    <t>-100.425188,25.650287</t>
  </si>
  <si>
    <t>San Pedro Garza García, Nuevo León</t>
  </si>
  <si>
    <t>1986618551940047151</t>
  </si>
  <si>
    <t>https://x.com/DayanPattyto/status/1986618551940047151</t>
  </si>
  <si>
    <t>bipolaridade,tdahadulto,megalomania</t>
  </si>
  <si>
    <t>1593543809681563649</t>
  </si>
  <si>
    <t>https://x.com/fundacioningada/status/1593543809681563649</t>
  </si>
  <si>
    <t>woonagiteddy</t>
  </si>
  <si>
    <t>1963634089010844113</t>
  </si>
  <si>
    <t>1963280758526882099</t>
  </si>
  <si>
    <t>https://x.com/IIBALOR/status/1963634089010844113</t>
  </si>
  <si>
    <t>Asistimos al XXV Congreso Nacional de Psiquiatría
Compartir y actualizar conocimiento forman parte de nuestros objetivos, para contar con la mejor evidencia científica en nuestros proyectos.
#tdahgalicia #tdah #tdahadulto #fundacioningada #inclusion #diversidad https://t.co/2JEevpQPLE</t>
  </si>
  <si>
    <t>@FIGHTZINCLUB Eu tenho TDAH e um nível baixo de autismo vim descobrir depois de adulto após passar por 3 psicóloga e um psiquiatra, eu sabia que era diferente e isso nunca me impediu nem me incapacitou em nada,  e posso dizer que a AI melhorou minha vida em 153,4%, geração nova é imparável.</t>
  </si>
  <si>
    <t>IIBALOR</t>
  </si>
  <si>
    <t>You Are Nuts! 🎃</t>
  </si>
  <si>
    <t>1172250162049224709</t>
  </si>
  <si>
    <t>Por ejemplo: un adulto más adulto que yo. 😜 https://t.co/xkmkbwCszt</t>
  </si>
  <si>
    <t>https://pbs.twimg.com/profile_images/1187706794983985153/s3iHjeRx_normal.jpg</t>
  </si>
  <si>
    <t>DayanPattyto</t>
  </si>
  <si>
    <t>Dayana CPda</t>
  </si>
  <si>
    <t>https://pbs.twimg.com/profile_images/1660514334915567617/hhfyd_7d_normal.jpg</t>
  </si>
  <si>
    <t>tdahgalicia,tdah,tdahadulto,fundacioningada,inclusion,diversidad</t>
  </si>
  <si>
    <t>https://pbs.twimg.com/media/Fh1npI_WYAEWUy1.jpg</t>
  </si>
  <si>
    <t>https://pbs.twimg.com/profile_banners/1172250162049224709/1619548573</t>
  </si>
  <si>
    <t>1591125317900730368</t>
  </si>
  <si>
    <t>1591124106807631872</t>
  </si>
  <si>
    <t>https://pbs.twimg.com/profile_banners/52761392/1613082867</t>
  </si>
  <si>
    <t>https://x.com/umpiscianosou/status/1591125317900730368</t>
  </si>
  <si>
    <t>2º Ter total certeza das minhas capacidades mas na hora duvidar, ficar mto nervoso a ponto de atrapalhar tudo. 🤷🏻‍♂️ #TDAHadulto</t>
  </si>
  <si>
    <t>umpiscianosou</t>
  </si>
  <si>
    <t>FIGHTZINCLUB</t>
  </si>
  <si>
    <t>João</t>
  </si>
  <si>
    <t>1210547564967342081</t>
  </si>
  <si>
    <t>https://pbs.twimg.com/profile_images/1770130549400608768/OfwHHRMr_normal.jpg</t>
  </si>
  <si>
    <t>1963629422298153393</t>
  </si>
  <si>
    <t>1963393523207876888</t>
  </si>
  <si>
    <t>https://x.com/Joan_KimP/status/1963629422298153393</t>
  </si>
  <si>
    <t>https://pbs.twimg.com/media/G5HjC8IXMAAFgX-.jpg</t>
  </si>
  <si>
    <t>https://pbs.twimg.com/profile_banners/1210547564967342081/1710866801</t>
  </si>
  <si>
    <t>@jimssluvv Oigan, resuélvanme una duda, según la traducción que yo vi el jamás aseguró ser neurodivergente, solo dijo que era inquieto como un adulto con tdah, no que lo tuviera.</t>
  </si>
  <si>
    <t>Joan_KimP</t>
  </si>
  <si>
    <t>Joejo</t>
  </si>
  <si>
    <t>https://pbs.twimg.com/profile_images/1987694951791009792/ij3u3xUO_normal.jpg</t>
  </si>
  <si>
    <t>1988679035636052128</t>
  </si>
  <si>
    <t>https://x.com/GuadiAlt_Britos/status/1988679035636052128</t>
  </si>
  <si>
    <t>https://pbs.twimg.com/profile_banners/2384402196/1760306656</t>
  </si>
  <si>
    <t>1590547019869073408</t>
  </si>
  <si>
    <t>https://x.com/thalita/status/1590547019869073408</t>
  </si>
  <si>
    <t>Hoje tô indo dormir feliz, dia MUITO produtivo todo trabalhado no #hiperfoco. :))))
#tdahadulto https://t.co/OLxpI4mgkO</t>
  </si>
  <si>
    <t>Oficialmente soy adulta. Me desvincularon de la obra social de mis viejos por la edad 🥲</t>
  </si>
  <si>
    <t>thalita</t>
  </si>
  <si>
    <t>GuadiAlt_Britos</t>
  </si>
  <si>
    <t>Thalita</t>
  </si>
  <si>
    <t>Guadita</t>
  </si>
  <si>
    <t>https://pbs.twimg.com/profile_images/1633430286355644416/0PsDbC2c_normal.jpg</t>
  </si>
  <si>
    <t>https://pbs.twimg.com/profile_images/1987179015602409472/hx0JDgIa_normal.jpg</t>
  </si>
  <si>
    <t>jimssluvv</t>
  </si>
  <si>
    <t>1963591466061644157</t>
  </si>
  <si>
    <t>https://x.com/Noemi21734263/status/1963591466061644157</t>
  </si>
  <si>
    <t>https://pbs.twimg.com/profile_banners/11538752/1605858843</t>
  </si>
  <si>
    <t>https://pbs.twimg.com/profile_banners/2962147467/1733316591</t>
  </si>
  <si>
    <t>@jimssluvv Leí una traducción que decia tengo tdah de adulto algo asi como que soy ansioso y ya, es inteligente, se recibió de una universidad,  tiene pensamientos profundos, tiene toc, y vive en Corea donde un joven a los 20 años tiene que ser como un adulto de 40 con presiones y exigencia</t>
  </si>
  <si>
    <t>Noemi21734263</t>
  </si>
  <si>
    <t>Noemi</t>
  </si>
  <si>
    <t>942514878211940352</t>
  </si>
  <si>
    <t>https://pbs.twimg.com/profile_images/1984338225553362944/gAdoiOjB_normal.jpg</t>
  </si>
  <si>
    <t>hiperfoco,tdahadulto</t>
  </si>
  <si>
    <t>-38.638212,-3.789768</t>
  </si>
  <si>
    <t>Fortaleza, Brazil</t>
  </si>
  <si>
    <t>https://pbs.twimg.com/profile_banners/942514878211940352/1515376665</t>
  </si>
  <si>
    <t>1584982856606310401</t>
  </si>
  <si>
    <t>https://x.com/ampachico/status/1584982856606310401</t>
  </si>
  <si>
    <t>1897935658942915051</t>
  </si>
  <si>
    <t>https://x.com/SaludMentalSJD/status/1897935658942915051</t>
  </si>
  <si>
    <t>Este fin de semana nos ha visitado la presidenta de @adahi_es  
La hemos recibido con los brazos abiertos y dispuestos a seguir colaborando cómo venimos haciendo hasta ahora
Gracias por la visita!
#tdah #tdahinfantil #tdahadulto #asociaciontdah #ampachico #tdahadultos https://t.co/jP7B1Y7d1Z</t>
  </si>
  <si>
    <t>ampachico</t>
  </si>
  <si>
    <t>Ampachico TDAH-Granada</t>
  </si>
  <si>
    <t>https://pbs.twimg.com/profile_images/1453134963977641993/Vl-h5ugG_normal.jpg</t>
  </si>
  <si>
    <t>1963578820478349441</t>
  </si>
  <si>
    <t>https://x.com/sammy_p1901/status/1963578820478349441</t>
  </si>
  <si>
    <t>Me han diagnosticado #TDAH de adulto, ¿ahora qué? ➡️ Descubre consejos para gestionar algunos de los principales síntomas.
✍️ Marta Martín, periodista especializada en TDAH
https://t.co/a52RMWjNI6</t>
  </si>
  <si>
    <t>SaludMentalSJD</t>
  </si>
  <si>
    <t>SOM Salud Mental 360 SJD</t>
  </si>
  <si>
    <t>1288464674690928642</t>
  </si>
  <si>
    <t>https://pbs.twimg.com/profile_banners/385954220/1635325275</t>
  </si>
  <si>
    <t>https://pbs.twimg.com/profile_images/1288472327433445376/s8dLhLjC_normal.jpg</t>
  </si>
  <si>
    <t>@jimssluvv Que huevada, sinceramente 
Tiene TDAH pero eso no tiene pq limitarlo, sobre todo porque es un ADULTO, ya aprendió a funcionar en este mundo Dios mío</t>
  </si>
  <si>
    <t>sammy_p1901</t>
  </si>
  <si>
    <t>💤Samjunnie🌺❄️Else by CEW🌟〣🎀Gal is mind!</t>
  </si>
  <si>
    <t>1612969465158705152</t>
  </si>
  <si>
    <t>https://pbs.twimg.com/profile_images/1984683232294572032/YiZLRXbO_normal.jpg</t>
  </si>
  <si>
    <t>https://pbs.twimg.com/profile_banners/1288464674690928642/1662475263</t>
  </si>
  <si>
    <t>https://pbs.twimg.com/profile_banners/1612969465158705152/1753646822</t>
  </si>
  <si>
    <t>tdah,tdahinfantil,tdahadulto,asociaciontdah,ampachico,tdahadultos</t>
  </si>
  <si>
    <t>https://pbs.twimg.com/media/Ff79KyYXgAEHLst.jpg</t>
  </si>
  <si>
    <t>adahi_es</t>
  </si>
  <si>
    <t>1582472146193817600</t>
  </si>
  <si>
    <t>https://x.com/LevementeND/status/1582472146193817600</t>
  </si>
  <si>
    <t>1963340062336102495</t>
  </si>
  <si>
    <t>1962995887178973328</t>
  </si>
  <si>
    <t>https://x.com/juridicominghao/status/1963340062336102495</t>
  </si>
  <si>
    <t>https://www.som360.org/es/blog/me-han-diagnosticado-tdah-adulto-ahora</t>
  </si>
  <si>
    <t>E aí: alguém fez bingo? Se não, quantos marcaram? Conta aí nos comentários. 
Baseado no post do dia 22/09 de @/the_mini_adhd_coach #TDAH #tdahdescomplicado #tdahadulto #mulheresTDAH #TDAHemMulheres #TDAHemmeninas #duplaexcepcionalidade https://t.co/u7Sx2V2GLl</t>
  </si>
  <si>
    <t>LevementeND</t>
  </si>
  <si>
    <t>Superdotação, autismo e TDAH com um TOC de...</t>
  </si>
  <si>
    <t>1405548207002865664</t>
  </si>
  <si>
    <t>https://pbs.twimg.com/profile_images/1580287990215196672/nIzbtvmI_normal.jpg</t>
  </si>
  <si>
    <t>@ironickha Uma parte importante dos atuais diagnósticos de TOD costuma ser: TEA/TDAH ou episódio depressivo (já que criança costuma deprimir com irritabilidade e uma psicopatologia bem diferente do adulto). Porém: existe e geralmente vem comórbido.</t>
  </si>
  <si>
    <t>juridicominghao</t>
  </si>
  <si>
    <t>Ex-Presidenta do jurídico XuMinghao</t>
  </si>
  <si>
    <t>912844146548920320</t>
  </si>
  <si>
    <t>https://pbs.twimg.com/profile_images/1995111820818796544/f5PFIx9d_normal.jpg</t>
  </si>
  <si>
    <t>https://pbs.twimg.com/profile_banners/912844146548920320/1748739319</t>
  </si>
  <si>
    <t>1943334892642697618</t>
  </si>
  <si>
    <t>https://x.com/MRizaldos/status/1943334892642697618</t>
  </si>
  <si>
    <t>TDAH,tdahdescomplicado,tdahadulto,mulheresTDAH,TDAHemMulheres,TDAHemmeninas,duplaexcepcionalidade</t>
  </si>
  <si>
    <t>https://pbs.twimg.com/media/FfYSB4wXgAA3Jia.jpg</t>
  </si>
  <si>
    <t>¿Eres un TDAH Adulto? https://t.co/UmJpcxIPp7</t>
  </si>
  <si>
    <t>MRizaldos</t>
  </si>
  <si>
    <t>1963317856978047079</t>
  </si>
  <si>
    <t>Miguel A. Rizaldos Lamoca</t>
  </si>
  <si>
    <t>1962961941367791837</t>
  </si>
  <si>
    <t>https://pbs.twimg.com/profile_images/1407082152475430912/5J-pMRPv_normal.jpg</t>
  </si>
  <si>
    <t>1580882230599389186</t>
  </si>
  <si>
    <t>https://x.com/pumgolazo/status/1963317856978047079</t>
  </si>
  <si>
    <t>https://x.com/LeonasTdah/status/1580882230599389186</t>
  </si>
  <si>
    <t>@bravanobravita @HippiesConOsde Yo tengo TDAH y no me diagnosticaron hasta adulto. No te imaginas lo que me hubiese ayudado tener tratamiento a tiempo.</t>
  </si>
  <si>
    <t>pumgolazo</t>
  </si>
  <si>
    <t>MESSI PATEANDO LAS T0RRES GEMELAS</t>
  </si>
  <si>
    <t>1878773633058742272</t>
  </si>
  <si>
    <t>Recomiendo leer este hilo. El TDAH no es sólo cosa de niños, el TDAH está a lo largo de la vida. Muchas personas son diagnosticadas en la adultez. 
#TDAH
#ADHD
#TDAHADULTO</t>
  </si>
  <si>
    <t>https://pbs.twimg.com/profile_images/1881415616797548545/bCsgpKV7_normal.jpg</t>
  </si>
  <si>
    <t>LeonasTdah</t>
  </si>
  <si>
    <t>Familias Leonas TDAH</t>
  </si>
  <si>
    <t>1021394908043710465</t>
  </si>
  <si>
    <t>https://pbs.twimg.com/profile_images/1542661624544337923/1INOK3Cv_normal.jpg</t>
  </si>
  <si>
    <t>https://pbs.twimg.com/profile_banners/432322234/1706009030</t>
  </si>
  <si>
    <t>https://pbs.twimg.com/profile_banners/1021394908043710465/1688988054</t>
  </si>
  <si>
    <t>bravanobravita</t>
  </si>
  <si>
    <t>bravanobravita,HippiesConOsde</t>
  </si>
  <si>
    <t>1963300961956630995</t>
  </si>
  <si>
    <t>https://x.com/canal26noticias/status/1963300961956630995</t>
  </si>
  <si>
    <t>https://www.rizaldos.com/tdah-en-adultos/</t>
  </si>
  <si>
    <t>1580613318502281216</t>
  </si>
  <si>
    <t>smartinezho1</t>
  </si>
  <si>
    <t>➡TOM HOLLAND A CORAZÓN ABIERTO
👉En una reciente entrevista, el actor británico reveló fue diagnosticado con déficit de atención e hiperactividad (TDAH) y dislexia.
💬“Cualquier forma en la que, como joven o como adulto, puedas interactuar con algo que te obligue a ser https://t.co/n1HZYLAWDY</t>
  </si>
  <si>
    <t>Paciente varón de 60 años de edad que consulta refiriendo una queja subjetiva extremadamente frecuente en muchas de las personas que nos vienen a ver: “tengo problemas de memoria y han empeorado durante los últimos años”.</t>
  </si>
  <si>
    <t>canal26noticias</t>
  </si>
  <si>
    <t>CANAL 26</t>
  </si>
  <si>
    <t>https://pbs.twimg.com/profile_images/1673638015703347207/oNdyztvD_normal.jpg</t>
  </si>
  <si>
    <t>TDAH,ADHD,TDAHADULTO</t>
  </si>
  <si>
    <t>1580609482924519424</t>
  </si>
  <si>
    <t>https://x.com/AnhidaCoruna/status/1580609482924519424</t>
  </si>
  <si>
    <t>https://pbs.twimg.com/profile_banners/176540641/1760642930</t>
  </si>
  <si>
    <t>aún disponéis de una semana para inscribiros a esta jornada gratuita sobre el #tdahadulto 
https://t.co/4qcwsxnWUo</t>
  </si>
  <si>
    <t>AnhidaCoruna</t>
  </si>
  <si>
    <t>1927090262347587837</t>
  </si>
  <si>
    <t>AnhidaCoruña</t>
  </si>
  <si>
    <t>https://pbs.twimg.com/profile_images/2751438511/f64d383540d19906b2056f66282537e3_normal.jpeg</t>
  </si>
  <si>
    <t>https://x.com/Cuatxaras/status/1927090262347587837</t>
  </si>
  <si>
    <t>https://pbs.twimg.com/profile_banners/883094708/1633941130</t>
  </si>
  <si>
    <t>https://pbs.twimg.com/media/Gz7hXruWMAAL18r.jpg</t>
  </si>
  <si>
    <t>Ay :( a mí sí me gusta trabajar, soy un adulto con TDAH y rasgos tlp me ayuda mucho a mi salud mental tener cosas difíciles de hacer, además que me gustan las ventas y ayudar a la gente.</t>
  </si>
  <si>
    <t>Cuatxaras</t>
  </si>
  <si>
    <t>Cuacharas</t>
  </si>
  <si>
    <t>1450218220812750856</t>
  </si>
  <si>
    <t>https://pbs.twimg.com/profile_images/1900726886306557952/VZpOVLs9_normal.jpg</t>
  </si>
  <si>
    <t>1963270146182529191</t>
  </si>
  <si>
    <t>https://x.com/agusglv/status/1963270146182529191</t>
  </si>
  <si>
    <t>https://pbs.twimg.com/profile_banners/1450218220812750856/1731434473</t>
  </si>
  <si>
    <t>https://www.csif.es/contenido/nacional/general/349141</t>
  </si>
  <si>
    <t>@HippiesConOsde @LaTataGB Para que te diagnostiquen es re difícil. Más siendo adulto. Si no te diagnósticaron de pibe....
Ahora, si son unos boludos ansiosos, pero el tratamiento para tea tdah o bipolaridad les hace efecto y les sirve....no hay más excusas q poner. Nose, digo...</t>
  </si>
  <si>
    <t>agusglv</t>
  </si>
  <si>
    <t>Agus tina</t>
  </si>
  <si>
    <t>1579484656655044611</t>
  </si>
  <si>
    <t>https://pbs.twimg.com/profile_images/1684944416685821953/NS8Cg8Jw_normal.jpg</t>
  </si>
  <si>
    <t>https://x.com/adahigi/status/1579484656655044611</t>
  </si>
  <si>
    <t>https://pbs.twimg.com/profile_banners/119561738/1532843611</t>
  </si>
  <si>
    <t>1988480483806560409</t>
  </si>
  <si>
    <t>1988337865579958521</t>
  </si>
  <si>
    <t>https://x.com/LuisaVrod/status/1988480483806560409</t>
  </si>
  <si>
    <t>#TDAH
#TDAHADULTO
#TDAHparatodalavida</t>
  </si>
  <si>
    <t>1578341708185866241</t>
  </si>
  <si>
    <t>HippiesConOsde</t>
  </si>
  <si>
    <t>Desde FEAADAH con el apoyo de CSIF realizaremos una jornada online gratuita dentro de nuestra campaña #TDAHparatodalavida</t>
  </si>
  <si>
    <t>HippiesConOsde,LaTataGB</t>
  </si>
  <si>
    <t>@moy_qmac Me sorprende tanto que en farmacias del ahorro siempre han surtido las recetas de miso que hago sin problema, pero no sea metilfenidato porque como un adulto va a tener tdah?!?!?!</t>
  </si>
  <si>
    <t>TDAH,TDAHADULTO,TDAHparatodalavida</t>
  </si>
  <si>
    <t>LuisaVrod</t>
  </si>
  <si>
    <t>Luisa V.</t>
  </si>
  <si>
    <t>https://pbs.twimg.com/profile_images/1476448926311976963/_qOoQirq_normal.jpg</t>
  </si>
  <si>
    <t>1578388464604782593</t>
  </si>
  <si>
    <t>1578387731612401669</t>
  </si>
  <si>
    <t>https://x.com/brujimedium/status/1578388464604782593</t>
  </si>
  <si>
    <t>Una vez él sistema se recoloca la persona con TDAH avanza de forma libre y autónoma sin más  interferencias que sus propias limitaciones. Es un profundo cambio el que se manifiesta. Consultas on Line. +34881258697 #tdahadulto #constelacaofamiliar 
#constelartdah 
#tdahinfantil</t>
  </si>
  <si>
    <t>brujimedium</t>
  </si>
  <si>
    <t>MÁGICA TAROT</t>
  </si>
  <si>
    <t>https://pbs.twimg.com/profile_images/1819531232117501952/eWUtGGeb_normal.jpg</t>
  </si>
  <si>
    <t>https://pbs.twimg.com/profile_banners/68838168/1443666150</t>
  </si>
  <si>
    <t>https://pbs.twimg.com/profile_banners/1900991568/1722645024</t>
  </si>
  <si>
    <t>moy_qmac</t>
  </si>
  <si>
    <t>1916928414768107825</t>
  </si>
  <si>
    <t>https://x.com/tdahworld/status/1916928414768107825</t>
  </si>
  <si>
    <t>tdahadulto,constelacaofamiliar,constelartdah,tdahinfantil</t>
  </si>
  <si>
    <t>-8.471284,43.345661</t>
  </si>
  <si>
    <t>A Coruña, Spain</t>
  </si>
  <si>
    <t>https://x.com/brujimedium/status/1578387731612401669</t>
  </si>
  <si>
    <t>Mito ou Verdade: Tomar Venvanse®/Adderall® faz o adulto com TDAH seguir o tratamento mais fácil? 🤔 SURPRESA: A Revisão Cochrane NÃO achou provas disso comparado ao placebo!</t>
  </si>
  <si>
    <t>El síntoma tal cual: TDAH se puede constelar, es un proceso interno y  te juro que el cambio es grande  
A grandes rasgos tiene que ver con excluidos del sistema familiar a los que el niño tiene fidelidad y a los secretos no revelados. 
#tdah #tdahadulto #constelacaofamiliar https://t.co/WswaNaYbPy</t>
  </si>
  <si>
    <t>tdah,tdahadulto,constelacaofamiliar</t>
  </si>
  <si>
    <t>1962628956806402346</t>
  </si>
  <si>
    <t>1559274929136312326</t>
  </si>
  <si>
    <t>1962520285862617312</t>
  </si>
  <si>
    <t>1559239341817450498</t>
  </si>
  <si>
    <t>https://pbs.twimg.com/media/FeePRueXwAMupIW.png</t>
  </si>
  <si>
    <t>https://x.com/nandafahrenheit/status/1559274929136312326</t>
  </si>
  <si>
    <t>https://x.com/miumiueum/status/1962628956806402346</t>
  </si>
  <si>
    <t>-9.299516,43.12671</t>
  </si>
  <si>
    <t>Corunna, Galicia</t>
  </si>
  <si>
    <t>1578383577514909701</t>
  </si>
  <si>
    <t>@helenamddt ele já é adulto 30 anos o diagnóstico deficiência foi tardio, mas desde que nasceu sabíamos que tinha algo errado e bem novinho ele recebeu o diagnóstico de tdah e dislexia</t>
  </si>
  <si>
    <t>miumiueum</t>
  </si>
  <si>
    <t>https://x.com/UrkizuMaite/status/1578383577514909701</t>
  </si>
  <si>
    <t>miumiu</t>
  </si>
  <si>
    <t>984873996381540353</t>
  </si>
  <si>
    <t>https://pbs.twimg.com/profile_images/1969939550270058496/qiq-M-tp_normal.jpg</t>
  </si>
  <si>
    <t>@dinoenby_ eu já ouvi de um psiquiatra que eu não podia ter TDAH porque tinha passado a consulta inteira sentada 🤦🏻‍♀️
como se um adulto com TDAH e todas as características do tipo desatento fosse se comportar igual, sei lá, uma criança de três anos predominantemente hiperativa</t>
  </si>
  <si>
    <t>#TDAH #TDAHADULTO #TDAHparatodalavida 
#TDAHFORMACION</t>
  </si>
  <si>
    <t>nandafahrenheit</t>
  </si>
  <si>
    <t>UrkizuMaite</t>
  </si>
  <si>
    <t>Açúcar Tano 🇵🇸</t>
  </si>
  <si>
    <t>Maite Urkizu</t>
  </si>
  <si>
    <t>https://pbs.twimg.com/profile_images/1693355731041353728/KdlNc6DD_normal.jpg</t>
  </si>
  <si>
    <t>https://pbs.twimg.com/profile_images/1589720119382532096/jwdKnhIZ_normal.jpg</t>
  </si>
  <si>
    <t>https://pbs.twimg.com/profile_banners/984873996381540353/1668041638</t>
  </si>
  <si>
    <t>https://pbs.twimg.com/profile_banners/43727536/1681221169</t>
  </si>
  <si>
    <t>https://pbs.twimg.com/profile_banners/2809175032/1729973824</t>
  </si>
  <si>
    <t>aelbrainposts</t>
  </si>
  <si>
    <t>TDAH,TDAHADULTO,TDAHparatodalavida,TDAHFORMACION</t>
  </si>
  <si>
    <t>helenamddt</t>
  </si>
  <si>
    <t>1577102407531651072</t>
  </si>
  <si>
    <t>https://x.com/loquetemotiva/status/1577102407531651072</t>
  </si>
  <si>
    <t>1962490234609791484</t>
  </si>
  <si>
    <t>1962490229119438877</t>
  </si>
  <si>
    <t>https://x.com/daniiellefn/status/1962490234609791484</t>
  </si>
  <si>
    <t>MI HIPERACTIVIDAD NO ME DEJA DORMIR
#tdahadulto en Playa de Las Canteras https://t.co/xALqEbAfsM</t>
  </si>
  <si>
    <t>loquetemotiva</t>
  </si>
  <si>
    <t>LO QUE TE MOTIVA</t>
  </si>
  <si>
    <t>1534660362687156224</t>
  </si>
  <si>
    <t>https://pbs.twimg.com/profile_images/1687684729984696321/HwTVEiX8_normal.jpg</t>
  </si>
  <si>
    <t>o Nicolas tem todas as características do tdah e que as vezes se confundem com, a partir do nosso entendimento limitado como adulto, com falta de limites e nada mais é do que características do que ele tem</t>
  </si>
  <si>
    <t>daniiellefn</t>
  </si>
  <si>
    <t>dani-se</t>
  </si>
  <si>
    <t>https://pbs.twimg.com/profile_images/1975515624550895616/CfxbQlnI_normal.jpg</t>
  </si>
  <si>
    <t>https://pbs.twimg.com/profile_banners/1534660362687156224/1691196527</t>
  </si>
  <si>
    <t>1962305913101959211</t>
  </si>
  <si>
    <t>1962304451198193790</t>
  </si>
  <si>
    <t>https://x.com/_jeyth/status/1962305913101959211</t>
  </si>
  <si>
    <t>https://www.instagram.com/p/CjRc_r7IqI3/?igshid=YTgzYjQ4ZTY=</t>
  </si>
  <si>
    <t>@ncknanas cinema lotado de adulto com autismo, TDAH, nerodivergentes batendo palma em filme de terror vsf KKKKKKKKKKK</t>
  </si>
  <si>
    <t>_jeyth</t>
  </si>
  <si>
    <t>𝓝𝓪𝓴</t>
  </si>
  <si>
    <t>1039632943415812097</t>
  </si>
  <si>
    <t>1871974820092731843</t>
  </si>
  <si>
    <t>https://pbs.twimg.com/profile_images/1979716512362430464/mDFWfxku_normal.jpg</t>
  </si>
  <si>
    <t>https://x.com/elebecerezo/status/1871974820092731843</t>
  </si>
  <si>
    <t>El diagnóstico del TDAH en el adulto es CLÍNICO, y una buena historia clínica es clave</t>
  </si>
  <si>
    <t>elebecerezo</t>
  </si>
  <si>
    <t>elenabcerezo_psiquiatra</t>
  </si>
  <si>
    <t>1287119825127583747</t>
  </si>
  <si>
    <t>1575546925394571264</t>
  </si>
  <si>
    <t>https://pbs.twimg.com/profile_banners/1039632943415812097/1680830556</t>
  </si>
  <si>
    <t>https://pbs.twimg.com/profile_images/1776003084541480960/46PvGWFS_normal.jpg</t>
  </si>
  <si>
    <t>https://x.com/ffdalles/status/1575546925394571264</t>
  </si>
  <si>
    <t>https://pbs.twimg.com/profile_banners/1287119825127583747/1710159196</t>
  </si>
  <si>
    <t>Status: cochilando no carro, dentro de um estacionamento, pq ta com obra no meu prédio. #sensibilidadeauditiva #tdah #tdahadulto</t>
  </si>
  <si>
    <t>ncknanas</t>
  </si>
  <si>
    <t>1871418921636728940</t>
  </si>
  <si>
    <t>sensibilidadeauditiva,tdah,tdahadulto</t>
  </si>
  <si>
    <t>1961818062752989348</t>
  </si>
  <si>
    <t>Estrategias diagnósticas clave:
Historia clínica: ¿Los síntomas están presentes desde la infancia?
Identificar contextos múltiples: ¿Ocurren en el trabajo, hogar y relaciones sociales?
Examinar compensación: ¿Desempeño sostenido gracias a altos niveles de ansiedad o esfuerzo?</t>
  </si>
  <si>
    <t>1575159335868846080</t>
  </si>
  <si>
    <t>https://x.com/hitmagazine_br/status/1961818062752989348</t>
  </si>
  <si>
    <t>1854282710292078746</t>
  </si>
  <si>
    <t>https://x.com/tuliocardosoadv/status/1575159335868846080</t>
  </si>
  <si>
    <t>https://x.com/ihtaejin/status/1854282710292078746</t>
  </si>
  <si>
    <t>🦋 Jung Kook (@bts_bighit) comentou em uma live que tem Transtorno de Déficit de Atenção e Hiperatividade (TDAH).
Ao ser questionado por que se move enquanto está sentado, ele respondeu que não consegue evitar, pois tem o transtorno enquanto adulto. 
#JUNGKOOK #BTS https://t.co/jHx41kOG7M</t>
  </si>
  <si>
    <t>hitmagazine_br</t>
  </si>
  <si>
    <t>o conteúdo em inglês sobre tdah adulto é MUITO mais avançado que o do brasil que só é centrado em meme besta e frases prontas</t>
  </si>
  <si>
    <t>HIT! Magazine</t>
  </si>
  <si>
    <t>Ministério da Saúde aprova protocolo para diagnóstico de TDAH | Agência Brasil https://t.co/3PgeSV9mqi 
#TDAH #saudemental #tdahadulto</t>
  </si>
  <si>
    <t>ihtaejin</t>
  </si>
  <si>
    <t>1949978403341316096</t>
  </si>
  <si>
    <t>tuliocardosoadv</t>
  </si>
  <si>
    <t>https://pbs.twimg.com/profile_images/1949979084550807553/Tt8wVRrq_normal.jpg</t>
  </si>
  <si>
    <t>Túlio Cardoso | Advogado</t>
  </si>
  <si>
    <t>‏ִֶָ</t>
  </si>
  <si>
    <t>https://pbs.twimg.com/profile_images/1906702235272167424/1vXnx7jA_normal.jpg</t>
  </si>
  <si>
    <t>https://pbs.twimg.com/profile_images/1973047358997893120/tIaFMLx4_normal.jpg</t>
  </si>
  <si>
    <t>https://pbs.twimg.com/profile_banners/1949978403341316096/1760570058</t>
  </si>
  <si>
    <t>https://pbs.twimg.com/profile_banners/246824283/1743428354</t>
  </si>
  <si>
    <t>https://pbs.twimg.com/profile_banners/567726602/1755436006</t>
  </si>
  <si>
    <t>JUNGKOOK,BTS</t>
  </si>
  <si>
    <t>https://pbs.twimg.com/amplify_video_thumb/1961817883421339649/img/-c7njyr1CU34U6kd.jpg</t>
  </si>
  <si>
    <t>TDAH,saudemental,tdahadulto</t>
  </si>
  <si>
    <t>https://agenciabrasil.ebc.com.br/saude/noticia/2022-08/ministerio-da-saude-aprova-protocolo-para-diagnostico-de-tdah</t>
  </si>
  <si>
    <t>1924874637244088481</t>
  </si>
  <si>
    <t>https://x.com/flopzynho/status/1924874637244088481</t>
  </si>
  <si>
    <t>https://video.twimg.com/amplify_video/1961817883421339649/vid/avc1/960x720/94KRlbdzWuuBbw0a.mp4?tag=14</t>
  </si>
  <si>
    <t>Não aguento mais viver tendo absolutamente todos os sintomas de TDAH adulto e nunca estar com grana pra fechar um diagnóstico ou fazer um tratamento.</t>
  </si>
  <si>
    <t>flopzynho</t>
  </si>
  <si>
    <t>felipe</t>
  </si>
  <si>
    <t>1777150888773079040</t>
  </si>
  <si>
    <t>https://pbs.twimg.com/profile_images/1977107143699386368/jaOPbgKz_normal.jpg</t>
  </si>
  <si>
    <t>https://pbs.twimg.com/profile_banners/1777150888773079040/1733819990</t>
  </si>
  <si>
    <t>bts_bighit</t>
  </si>
  <si>
    <t>-49.444853,-16.642782</t>
  </si>
  <si>
    <t>Goiânia, Brazil</t>
  </si>
  <si>
    <t>1572376251532447746</t>
  </si>
  <si>
    <t>1572376240853766146</t>
  </si>
  <si>
    <t>https://x.com/tdahdislex/status/1572376251532447746</t>
  </si>
  <si>
    <t>1306582075013844999</t>
  </si>
  <si>
    <t>https://x.com/Alterego131_/status/1306582075013844999</t>
  </si>
  <si>
    <t>Uma alternativa é conversar com seu médico e pedir  ao seu médico uma receita de outro estimulante como ritalina ou concerta.
Ainda não se sabe quando irá voltar 
#tdah #tdahadulto #medicação #venvanse #ritalina #concerta</t>
  </si>
  <si>
    <t>Ser adulto definitivamente está sobrevalorado...</t>
  </si>
  <si>
    <t>Alterego131_</t>
  </si>
  <si>
    <t>T.</t>
  </si>
  <si>
    <t>https://pbs.twimg.com/profile_images/1834637951533211648/Qc7ZAh-k_normal.jpg</t>
  </si>
  <si>
    <t>tdah,tdahadulto,medicação,venvanse,ritalina,concerta</t>
  </si>
  <si>
    <t>https://pbs.twimg.com/profile_banners/2312331990/1681486633</t>
  </si>
  <si>
    <t>1571982018417758215</t>
  </si>
  <si>
    <t>https://x.com/augustodias/status/1571982018417758215</t>
  </si>
  <si>
    <t>TDAH
Vamos falar sobre isso.
#tdahadulto 
#tdah 
#adhd 
#add 
#dda em Floripa (Florianópolis) https://t.co/tVJ6m17UwQ</t>
  </si>
  <si>
    <t>augustodias</t>
  </si>
  <si>
    <t>Augusto (Guga)Dias</t>
  </si>
  <si>
    <t>https://pbs.twimg.com/profile_images/1853440983976882176/Xc80ppTk_normal.jpg</t>
  </si>
  <si>
    <t>1961627112680444335</t>
  </si>
  <si>
    <t>1961534681855238323</t>
  </si>
  <si>
    <t>https://x.com/nkkrkive/status/1961627112680444335</t>
  </si>
  <si>
    <t>@nammu__ ele falou que tinha tipo tdah adulto</t>
  </si>
  <si>
    <t>https://pbs.twimg.com/profile_banners/24171057/1730729742</t>
  </si>
  <si>
    <t>nkkrkive</t>
  </si>
  <si>
    <t>izzie ☆</t>
  </si>
  <si>
    <t>https://pbs.twimg.com/profile_images/1885690849897369600/zBHcyJKz_normal.jpg</t>
  </si>
  <si>
    <t>https://pbs.twimg.com/profile_banners/1561370330/1732725129</t>
  </si>
  <si>
    <t>tdahadulto,tdah,adhd,add,dda</t>
  </si>
  <si>
    <t>https://www.instagram.com/p/CitEg__rBbW/?igshid=YTgzYjQ4ZTY=</t>
  </si>
  <si>
    <t>1910026659337560494</t>
  </si>
  <si>
    <t>nammu__</t>
  </si>
  <si>
    <t>https://x.com/prisi_luna27/status/1910026659337560494</t>
  </si>
  <si>
    <t>-48.610313,-27.609691</t>
  </si>
  <si>
    <t>Florianópolis, Brazil</t>
  </si>
  <si>
    <t>1571116031313313792</t>
  </si>
  <si>
    <t>https://x.com/ffdalles/status/1571116031313313792</t>
  </si>
  <si>
    <t>1961612007418782125</t>
  </si>
  <si>
    <t>https://x.com/Kdeira_ecletica/status/1961612007418782125</t>
  </si>
  <si>
    <t>Todavía no asumo que tengo TDAH adulto 🙄</t>
  </si>
  <si>
    <t>Fui viajar pra serra, previsão do tempo com mínima de 14 graus. Minha mala: 4 camisetas sem manga, 1 calça comprida, 3 shorts e 2 casacos (sendo que 1 deles passa vento 🥴 #disfuncaoexecutiva #tdah #tdahadulto</t>
  </si>
  <si>
    <t>ser um adulto com TDAH real é um bgl meio foda
eu tenho que ver vc falar com vc senão vc realmente some da existência no meu horizonte 
eu tenho que ter um jeito de anotar o bgl senão eu esqueço REAL 
é uma visão de mundo egoísta culposa, eu nao pedi pra ser assim mas marcha!!</t>
  </si>
  <si>
    <t>Kdeira_ecletica</t>
  </si>
  <si>
    <t>_isstevows</t>
  </si>
  <si>
    <t>1844926918467936258</t>
  </si>
  <si>
    <t>1936875661844717817</t>
  </si>
  <si>
    <t>https://pbs.twimg.com/profile_images/1994901314401144832/jM_zfCPC_normal.jpg</t>
  </si>
  <si>
    <t>https://x.com/AENSaludMental/status/1936875661844717817</t>
  </si>
  <si>
    <t>disfuncaoexecutiva,tdah,tdahadulto</t>
  </si>
  <si>
    <t>1571060046322372608</t>
  </si>
  <si>
    <t>🗺️ Novedades autonómicas en salud mental | AEN-PSM
📍Madrid: nuevo boletín de AMSM-AEN
📍Canarias: Lahera en el Congreso de la ACN
📍Andalucía: adenda crítica al protocolo de TDAH adulto
Una red viva, diversa y comprometida.
#SaludMental #AENPSM https://t.co/Kh1ltBK1uB</t>
  </si>
  <si>
    <t>AENSaludMental</t>
  </si>
  <si>
    <t>https://x.com/adahigi/status/1571060046322372608</t>
  </si>
  <si>
    <t>AEN Salud Mental</t>
  </si>
  <si>
    <t>https://pbs.twimg.com/profile_banners/1844926918467936258/1764481488</t>
  </si>
  <si>
    <t>https://pbs.twimg.com/profile_images/1622600960273940482/xi_3j3O9_normal.jpg</t>
  </si>
  <si>
    <t>#TDAH
#VISIBILIDADTDAH
#tdahadulto
https://t.co/d1fLf0f8Wy</t>
  </si>
  <si>
    <t>https://pbs.twimg.com/profile_banners/1400777557/1465037153</t>
  </si>
  <si>
    <t>TDAH,VISIBILIDADTDAH,tdahadulto</t>
  </si>
  <si>
    <t>1961608139620401652</t>
  </si>
  <si>
    <t>https://www.diariovasco.com/gipuzkoa/tdah-asocia-ninos-20220917174008-nt.html</t>
  </si>
  <si>
    <t>https://x.com/Karladeangelis1/status/1961608139620401652</t>
  </si>
  <si>
    <t>SaludMental,AENPSM</t>
  </si>
  <si>
    <t>https://pbs.twimg.com/media/GuEqJblWQAA6pkY.jpg,https://pbs.twimg.com/media/GuEqJbkXgAAtOUi.jpg,https://pbs.twimg.com/media/GuEqJblXgAAbxU2.jpg,https://pbs.twimg.com/media/GuEqJbkXUAAHgp2.jpg</t>
  </si>
  <si>
    <t>👤 não se mova quando estiver sentado
🐰 eu continuo me movendo?
🐰 mas, não consigo evitar. eu meio que...
🐰 é como TDAH adulto
🐰 eu tenho. eu continuo me movendo assim.
agora parem de fazer comentários sem noção sobre ele!
#JUNGKOOK #BTS  https://t.co/JEn72qDnaR</t>
  </si>
  <si>
    <t>Karladeangelis1</t>
  </si>
  <si>
    <t>Karla• EU VI STRAYKIDS AO VIVO</t>
  </si>
  <si>
    <t>1308204379258916865</t>
  </si>
  <si>
    <t>https://pbs.twimg.com/profile_images/1844070662568079360/SG2XhpiE_normal.jpg</t>
  </si>
  <si>
    <t>1566512224717492224</t>
  </si>
  <si>
    <t>https://x.com/Danynica2489/status/1566512224717492224</t>
  </si>
  <si>
    <t>1987534186098442256</t>
  </si>
  <si>
    <t>https://pbs.twimg.com/profile_banners/1308204379258916865/1707449861</t>
  </si>
  <si>
    <t>https://x.com/JustLils/status/1987534186098442256</t>
  </si>
  <si>
    <t>Gente! Se vocês virem uma pessoa com TDAH dormindo, DEIXEM, ela dormindo. A mente de um TDAH é a mil por hora de Hiperatividade.
A nossa mente suga toda nossa energia.
#TDAH #TranstornoDeDeficitDeAtençaoeHipertividade #TDAHAdulto #TDAHInfantil #DDA</t>
  </si>
  <si>
    <t>Danynica2489</t>
  </si>
  <si>
    <t>Danielle De Souza Macedo</t>
  </si>
  <si>
    <t>1445105816617488388</t>
  </si>
  <si>
    <t>Hoy en educando al soberano: adultos con TDAH.</t>
  </si>
  <si>
    <t>JustLils</t>
  </si>
  <si>
    <t>https://pbs.twimg.com/profile_images/1572926300968439808/OwPqMb5R_normal.jpg</t>
  </si>
  <si>
    <t>Lils 🐉</t>
  </si>
  <si>
    <t>https://pbs.twimg.com/profile_images/1292993707373993992/qnyOsXJY_normal.jpg</t>
  </si>
  <si>
    <t>https://pbs.twimg.com/profile_banners/1445105816617488388/1637709645</t>
  </si>
  <si>
    <t>https://pbs.twimg.com/profile_banners/206776127/1761915300</t>
  </si>
  <si>
    <t>1987533314224173319</t>
  </si>
  <si>
    <t>@Santizalez Soy de las que prefieren visitar museos cuando no hay aglomeración ni fila, pero porque tengo una condición neurológica que me impide realizar esas actividades. El TDAH.</t>
  </si>
  <si>
    <t>-57.645563,-38.011587</t>
  </si>
  <si>
    <t>Mar del Plata, Argentina</t>
  </si>
  <si>
    <t>TDAH,TranstornoDeDeficitDeAtençaoeHipertividade,TDAHAdulto,TDAHInfantil,DDA</t>
  </si>
  <si>
    <t>1752107260279411159</t>
  </si>
  <si>
    <t>-46.395354,-12.023469</t>
  </si>
  <si>
    <t>https://x.com/TINI3x/status/1752107260279411159</t>
  </si>
  <si>
    <t>Barreiras, Brasil</t>
  </si>
  <si>
    <t>1565352753060122624</t>
  </si>
  <si>
    <t>1564539621672976384</t>
  </si>
  <si>
    <t>https://x.com/lapacafit/status/1565352753060122624</t>
  </si>
  <si>
    <t>1961540013646324174</t>
  </si>
  <si>
    <t>1961537303215505430</t>
  </si>
  <si>
    <t>https://x.com/vcuthope/status/1961540013646324174</t>
  </si>
  <si>
    <t>Pablo era o único adulto realmente adulto dessa novela</t>
  </si>
  <si>
    <t>TINI3x</t>
  </si>
  <si>
    <t>3xTINI - UMDP❤️‍🩹 🧠 🇧🇷</t>
  </si>
  <si>
    <t>https://pbs.twimg.com/profile_images/1843656307959599104/28Ff3cck_normal.jpg</t>
  </si>
  <si>
    <t>@marcefitnessgt @crimeeesss @vaneavilaluna Tengo tanto TDAH que no leí todo wuajajajaja.
#tdah #tdahadulto</t>
  </si>
  <si>
    <t>lapacafit</t>
  </si>
  <si>
    <t>La Paca Fit</t>
  </si>
  <si>
    <t>1388877126749888519</t>
  </si>
  <si>
    <t>@hobigiuk disse sim, que ele tem um nível adulto de TDAH (algo pra gnt que seria o TDAH com à hiperatividade acentuada) pq alguém comentou pra ele se aquietar pq ele tava se balançar como regulação</t>
  </si>
  <si>
    <t>https://pbs.twimg.com/profile_images/1623891923546042369/vRbEBKCy_normal.jpg</t>
  </si>
  <si>
    <t>vcuthope</t>
  </si>
  <si>
    <t>koya</t>
  </si>
  <si>
    <t>1388351795232116737</t>
  </si>
  <si>
    <t>https://pbs.twimg.com/profile_images/1972844268986257408/PTnUPSCa_normal.jpg</t>
  </si>
  <si>
    <t>https://pbs.twimg.com/profile_banners/3295393091/1665317290</t>
  </si>
  <si>
    <t>https://pbs.twimg.com/profile_banners/1388351795232116737/1753671621</t>
  </si>
  <si>
    <t>marcefitnessgt</t>
  </si>
  <si>
    <t>1751983796419756038</t>
  </si>
  <si>
    <t>acervoviolettos</t>
  </si>
  <si>
    <t>TÓPICO DE HOJE: o pior término de violetta 
eu começo https://t.co/Alw1jNypCk</t>
  </si>
  <si>
    <t>1564400695335329800</t>
  </si>
  <si>
    <t>https://pbs.twimg.com/ext_tw_video_thumb/1751983677959974912/pu/img/Xb08CulxBdBMHqZc.jpg</t>
  </si>
  <si>
    <t>https://x.com/monicabarretoc/status/1564400695335329800</t>
  </si>
  <si>
    <t>58curls</t>
  </si>
  <si>
    <t>Super olfato, un super poder #neurodiverso, heredado de mi papá. 
¿Cuál es tu super poder?
#tdahadulto
#neurodivergencia 
#diarioneurodivergente https://t.co/BJcLeKY3Px</t>
  </si>
  <si>
    <t>monicabarretoc</t>
  </si>
  <si>
    <t>Monica Barreto</t>
  </si>
  <si>
    <t>1472564162400292871</t>
  </si>
  <si>
    <t>https://pbs.twimg.com/profile_images/1505322863078912001/TFefEjdr_normal.jpg</t>
  </si>
  <si>
    <t>1942346730110083106</t>
  </si>
  <si>
    <t>1942346703618646267</t>
  </si>
  <si>
    <t>https://x.com/ElPaido/status/1942346730110083106</t>
  </si>
  <si>
    <t>El TDAH adulto es real, pero su evaluación requiere método y escepticismo clínico.
No todo lo que parece TDAH lo es.
Y no todo TDAH requiere lo mismo.
👨‍⚕️ “Más psicopatología no equivale a más precisión diagnóstica”.</t>
  </si>
  <si>
    <t>https://pbs.twimg.com/profile_images/1995203445410705408/DqMcZXvj_normal.jpg</t>
  </si>
  <si>
    <t>neurodiverso,tdahadulto,neurodivergencia,diarioneurodivergente</t>
  </si>
  <si>
    <t>1986983063524643000</t>
  </si>
  <si>
    <t>https://pbs.twimg.com/media/FbXeJD5XgAAeRzh.jpg</t>
  </si>
  <si>
    <t>https://x.com/jhezusb/status/1986983063524643000</t>
  </si>
  <si>
    <t>https://pbs.twimg.com/profile_banners/1311746150890901505/1764528510</t>
  </si>
  <si>
    <t>ser adulto es retirar efectivo de tu tarjeta de crédito porque no tienes dinero para pagarle al plomero mientras pides taquitos por rappi,
si, no?</t>
  </si>
  <si>
    <t>jhezusb</t>
  </si>
  <si>
    <t>Borja</t>
  </si>
  <si>
    <t>https://pbs.twimg.com/profile_images/1349257026912858112/weKQXbrw_normal.jpg</t>
  </si>
  <si>
    <t>1564272633541283841</t>
  </si>
  <si>
    <t>https://x.com/LolaBarros11/status/1564272633541283841</t>
  </si>
  <si>
    <t>https://pbs.twimg.com/profile_banners/50189533/1588577665</t>
  </si>
  <si>
    <t>En consulta, muchos adultos se quejan de "sensación de inquietud interna", dificultades para concentrarse, terminar las tareas, manejo del tiempo y dinero... ¿Qué puede estar pasando? 🤔 #tdahadulto #tdah
🧒👩🧔 La respuesta es afirmativa 
https://t.co/IwHai5koZS</t>
  </si>
  <si>
    <t>LolaBarros11</t>
  </si>
  <si>
    <t>Yo misma</t>
  </si>
  <si>
    <t>1042130765465694211</t>
  </si>
  <si>
    <t>https://pbs.twimg.com/profile_images/1351681626229637123/Ra_tSVjB_normal.jpg</t>
  </si>
  <si>
    <t>https://pbs.twimg.com/profile_banners/1042130765465694211/1611101152</t>
  </si>
  <si>
    <t>1465847517560590340</t>
  </si>
  <si>
    <t>https://x.com/modelskcals/status/1465847517560590340</t>
  </si>
  <si>
    <t>ter t.a na vida adulta é tipo você se sentir culpada e triste com seu corpo mas também sua cabeça não girar só em torno daquele problema porque a vida adulta tá te cobrando obrigações como trabalhar, estudar...</t>
  </si>
  <si>
    <t>modelskcals</t>
  </si>
  <si>
    <t>saturno</t>
  </si>
  <si>
    <t>1402040318313312257</t>
  </si>
  <si>
    <t>https://pbs.twimg.com/profile_images/1555370719369912325/p0hMsyi0_normal.jpg</t>
  </si>
  <si>
    <t>https://www.instagram.com/p/Ch1vbA8qAW9/?igshid=MDJmNzVkMjY=</t>
  </si>
  <si>
    <t>1961473295842250765</t>
  </si>
  <si>
    <t>1961430719202238812</t>
  </si>
  <si>
    <t>https://x.com/updatebangtan_/status/1961473295842250765</t>
  </si>
  <si>
    <t>https://pbs.twimg.com/profile_banners/1402040318313312257/1659458267</t>
  </si>
  <si>
    <t>1561686094529298435</t>
  </si>
  <si>
    <t>https://x.com/MamaeTagarela/status/1561686094529298435</t>
  </si>
  <si>
    <t>👤: “não se mova quando estiver sentado”
JK: Eu continuo me movendo?
JK: mas, não consigo evitar. Eu meio que..
JK: é como TDAH adulto
JK: Eu tenho. Eu continuo me movendo assim.</t>
  </si>
  <si>
    <t>1863922778665025831</t>
  </si>
  <si>
    <t>Sou inquieto (a)! Será que tenho TDAH? 🧠
Se essa dúvida já passou pela sua cabeça, vem de live que hoje o Rafa e o Bruno Lima vão te ajudar a identificar características do TDAH e dar dicas que vão ajudar a conviver com ele no seu dia a dia.
https://t.co/7Ia1YV1lJm
#tdahadulto https://t.co/VPoxAE6iBC</t>
  </si>
  <si>
    <t>MamaeTagarela</t>
  </si>
  <si>
    <t>Familia Tagarela</t>
  </si>
  <si>
    <t>https://x.com/ah_lectora/status/1863922778665025831</t>
  </si>
  <si>
    <t>https://pbs.twimg.com/profile_images/1432740666690441217/0MtIRB3m_normal.jpg</t>
  </si>
  <si>
    <t>Debería haber un médico específico para personas con tdah pero no tipo, para TRATAR el tdah, sino que puedas ir a su consulta de adulto e igual tenga jueguitos chiquitos para que nuestra mente pueda concentrarse en la consulta</t>
  </si>
  <si>
    <t>ah_lectora</t>
  </si>
  <si>
    <t>𝖑𝖊𝖓 12/11 🧠 the fate of ophelia</t>
  </si>
  <si>
    <t>1175186588281835525</t>
  </si>
  <si>
    <t>https://pbs.twimg.com/profile_images/1913598374734909440/-yFzyrl5_normal.jpg</t>
  </si>
  <si>
    <t>https://pbs.twimg.com/profile_banners/2929302917/1703694035</t>
  </si>
  <si>
    <t>https://pbs.twimg.com/profile_banners/1175186588281835525/1745072379</t>
  </si>
  <si>
    <t>https://youtu.be/Mwe_jNcnry0</t>
  </si>
  <si>
    <t>https://pbs.twimg.com/media/Faw374-WQAEKeQv.jpg</t>
  </si>
  <si>
    <t>are you sure, anaju?! ⓥ</t>
  </si>
  <si>
    <t>https://pbs.twimg.com/profile_images/1994346937865142272/14cx1hMJ_normal.jpg</t>
  </si>
  <si>
    <t>1560764770034360322</t>
  </si>
  <si>
    <t>https://x.com/She1sDanna/status/1560764770034360322</t>
  </si>
  <si>
    <t>1902377527164678605</t>
  </si>
  <si>
    <t>https://pbs.twimg.com/profile_banners/1716547017978363905/1764245866</t>
  </si>
  <si>
    <t>https://x.com/kawencey/status/1902377527164678605</t>
  </si>
  <si>
    <t>FUI DIAGNOSTICADA com TDAH e agora tudo fez sentido https://t.co/ZQwtmytkd9 #TDAH #tdahadulto</t>
  </si>
  <si>
    <t>She1sDanna</t>
  </si>
  <si>
    <t>Danna M. Foletto</t>
  </si>
  <si>
    <t>https://pbs.twimg.com/profile_images/1963338483096776704/JbmPkAns_normal.jpg</t>
  </si>
  <si>
    <t>já comecei o dia recebendo aquela chamada da companhia de gás pra descer e pagar a conta ou ficar sem gás enfim a vida do adulto com tdah</t>
  </si>
  <si>
    <t>kawencey</t>
  </si>
  <si>
    <t>kawence</t>
  </si>
  <si>
    <t>https://pbs.twimg.com/profile_images/1964047425112334336/U-VqTczp_normal.jpg</t>
  </si>
  <si>
    <t>https://pbs.twimg.com/profile_banners/65364769/1636529319</t>
  </si>
  <si>
    <t>https://pbs.twimg.com/profile_banners/15502866/1702342522</t>
  </si>
  <si>
    <t>1925679304622416121</t>
  </si>
  <si>
    <t>https://x.com/issbelinha/status/1925679304622416121</t>
  </si>
  <si>
    <t>https://youtu.be/5JDcWX0nQiw</t>
  </si>
  <si>
    <t>lembrei agora da professora falando que adulto não tinha tdah, que adulto com sintoma de tdah era criança que cresceu mimada e hoje virou um adulto sem recursos</t>
  </si>
  <si>
    <t>issbelinha</t>
  </si>
  <si>
    <t>1559959879716147200</t>
  </si>
  <si>
    <t>https://pbs.twimg.com/profile_images/1945604336404283392/Hnr7bWVo_normal.jpg</t>
  </si>
  <si>
    <t>https://x.com/JuarezO85678826/status/1559959879716147200</t>
  </si>
  <si>
    <t>Sobre TDAH, impulsividade e necessidade de mudança pra sair da inércia 
#TDAH #TDAHADULTO https://t.co/zlvh7xsZRB</t>
  </si>
  <si>
    <t>JuarezO85678826</t>
  </si>
  <si>
    <t>https://pbs.twimg.com/profile_banners/2831662233/1761602175</t>
  </si>
  <si>
    <t>Juarez Oliveira</t>
  </si>
  <si>
    <t>1221512275439296512</t>
  </si>
  <si>
    <t>1961442007944962325</t>
  </si>
  <si>
    <t>https://pbs.twimg.com/profile_images/1939222076130295808/oe3hj_yl_normal.jpg</t>
  </si>
  <si>
    <t>https://x.com/henssnunkv/status/1961442007944962325</t>
  </si>
  <si>
    <t>nos pessoas com tdah entendemos seu tdah adulto jungkook</t>
  </si>
  <si>
    <t>henssnunkv</t>
  </si>
  <si>
    <t>namie</t>
  </si>
  <si>
    <t>1926405016492871680</t>
  </si>
  <si>
    <t>https://pbs.twimg.com/profile_images/1986092336804200448/XZ8WDvUN_normal.jpg</t>
  </si>
  <si>
    <t>1942346706500370656</t>
  </si>
  <si>
    <t>https://x.com/ElPaido/status/1942346706500370656</t>
  </si>
  <si>
    <t>https://www.instagram.com/p/ChXpe08OCtD/?igshid=YTgzYjQ4ZTY=</t>
  </si>
  <si>
    <t>🔍 Evaluar TDAH en adultos es más complejo que solo aplicar un cuestionario:
Los síntomas son inespecíficos
Puede haber exageración consciente o inconsciente
Muchas veces no se verifica la aparición en infancia
Sí, el TDAH adulto existe. Pero su diagnóstico exige cautela.</t>
  </si>
  <si>
    <t>https://pbs.twimg.com/profile_banners/1926405016492871680/1762356368</t>
  </si>
  <si>
    <t>1899467556018151707</t>
  </si>
  <si>
    <t>https://x.com/ankhmriimn/status/1899467556018151707</t>
  </si>
  <si>
    <t>1559281862593245184</t>
  </si>
  <si>
    <t>https://x.com/nhathalhihe/status/1559281862593245184</t>
  </si>
  <si>
    <t>Açúcar no sangue chama-se diabetes
Açúcar no dente chama-se cárie 
Açúcar no olho chama-se glaucoma
Açúcar no cérebro de criança chama-se TDAH 
Açúcar no cérebro de adulto chama-se demência ou Alzheimer’s 
Açúcar na pele chama-se envelhecimento 
O açúcar processado é um veneno.</t>
  </si>
  <si>
    <t>Son algunos criterios no todos, se requiere una valoración exhausta realizada por profesionales expertos en el tema.
*La imagen me pareció atractiva. 😁😁
#tdahinfantil #tdahadulto #profesionalesdelasalud #AcudeAterapia https://t.co/eb6L3C1aRj</t>
  </si>
  <si>
    <t>1960722102446661667</t>
  </si>
  <si>
    <t>ankhmriimn</t>
  </si>
  <si>
    <t>Obatala 🤲🏾🧎🏾🖤 𓇋𓏠𓈖𓈘𓇳𓋹𓏤𓄟𓋴𓇓</t>
  </si>
  <si>
    <t>1499067872387211264</t>
  </si>
  <si>
    <t>https://pbs.twimg.com/profile_images/1929938542626476032/CLmPz7gh_normal.jpg</t>
  </si>
  <si>
    <t>https://x.com/nabiunkula/status/1960722102446661667</t>
  </si>
  <si>
    <t>No era TDAH del adulto: estoy «frontalizado».</t>
  </si>
  <si>
    <t>nabiunkula</t>
  </si>
  <si>
    <t>tdahinfantil,tdahadulto,profesionalesdelasalud,AcudeAterapia</t>
  </si>
  <si>
    <t>Sebastián®</t>
  </si>
  <si>
    <t>https://pbs.twimg.com/media/FaOuluoXEAMoqMb.jpg</t>
  </si>
  <si>
    <t>https://pbs.twimg.com/profile_images/1995325562076684288/OC_aKibn_normal.jpg</t>
  </si>
  <si>
    <t>https://pbs.twimg.com/profile_banners/1499067872387211264/1664824533</t>
  </si>
  <si>
    <t>https://pbs.twimg.com/profile_banners/48185021/1761655418</t>
  </si>
  <si>
    <t>1898443501446246465</t>
  </si>
  <si>
    <t>BarbaraOneillAU</t>
  </si>
  <si>
    <t>🍬 The Sweet Deception: What They Don’t Want You to Know 🍬
They want us to believe sugar is just a “sweet indulgence” – but the truth is far from innocent. 😱
💰 A $979 BILLION industry profits while we suffer.
🩺 They blame "bad genetics", yet sugar is the #1 cause of disease https://t.co/RcCsG9JDyz</t>
  </si>
  <si>
    <t>https://pbs.twimg.com/ext_tw_video_thumb/1898443441303932928/pu/img/0u4NJ5Tkyd8Xtumd.jpg</t>
  </si>
  <si>
    <t>1556444095299686401</t>
  </si>
  <si>
    <t>https://x.com/ffdalles/status/1556444095299686401</t>
  </si>
  <si>
    <t>A jornada de uma pessoa neurodiversa é uma montanha russa em tantos sentidos… Ganhei foco e ânimo com a Ritalina. O problema foi a enxaqueca que veio de brinde. #TDAHadulto #TDAH</t>
  </si>
  <si>
    <t>1553508421952995329</t>
  </si>
  <si>
    <t>https://x.com/TerapiaAlmas/status/1553508421952995329</t>
  </si>
  <si>
    <t>Sobre o olhar por trás do comportamento!!
Via: @moniquepsicopedagoga
..
..
..
..
 .
..
 .
..
..
..
..
..
#tdahcomamor #tdahadulto #tdahdescomplicado )#tdahinfantil #tdahadultos https://t.co/SYa69I78Ze</t>
  </si>
  <si>
    <t>TerapiaAlmas</t>
  </si>
  <si>
    <t>Terapia Das Almas</t>
  </si>
  <si>
    <t>1531788644582817796</t>
  </si>
  <si>
    <t>https://pbs.twimg.com/profile_images/1531789111907983367/wiVrw-qw_normal.jpg</t>
  </si>
  <si>
    <t>1960596550683365453</t>
  </si>
  <si>
    <t>1209225278318354438</t>
  </si>
  <si>
    <t>1960043266851709094</t>
  </si>
  <si>
    <t>https://x.com/reportersalles/status/1209225278318354438</t>
  </si>
  <si>
    <t>https://x.com/SedanoCalleja/status/1960596550683365453</t>
  </si>
  <si>
    <t>tdahcomamor,tdahadulto,tdahdescomplicado,tdahinfantil,tdahadultos</t>
  </si>
  <si>
    <t>https://www.instagram.com/p/CgpzshgOHoI/?igshid=YTgzYjQ4ZTY=</t>
  </si>
  <si>
    <t>Assunto pouco falado: o TDAH vai muito além de desatenção e ansiedade. O transtorno pode prejudicar demasiadamente a vida do portador adulto. Veja os sintomas.
https://t.co/KEqXaQ5BK6</t>
  </si>
  <si>
    <t>reportersalles</t>
  </si>
  <si>
    <t>Fernanda Salles</t>
  </si>
  <si>
    <t>https://pbs.twimg.com/profile_images/1882094012045074432/5p0EN2Zb_normal.jpg</t>
  </si>
  <si>
    <t>@neurorebelde @psiquiatraca @PilarPsiq @sefh_ Profesionales que la sigan...
Muchos miedos e inseguridades que va haber que enfrentar en este viaje que es la vida y que supone crecer y hacerse adulto con TDAH...
Un abrazo.</t>
  </si>
  <si>
    <t>1551179247552761858</t>
  </si>
  <si>
    <t>https://pbs.twimg.com/profile_banners/64523460/1666030250</t>
  </si>
  <si>
    <t>https://x.com/LogopediaYMas/status/1551179247552761858</t>
  </si>
  <si>
    <t>¿Qué es el Trastorno de ✅ Déficit de Atención e 👦🧒 Hiperactividad TDAH? Te lo explicamos 🚀aquí abajo 👇.
https://t.co/D5NU6VErFc
#tda #tdahinfantil #tdahadulto #logopediaymas #logopedia #logopediamadrid #neurologopedia https://t.co/QY7y2IpdSJ</t>
  </si>
  <si>
    <t>https://youtu.be/1z0YEy_30wc</t>
  </si>
  <si>
    <t>neurorebelde,psiquiatraca,PilarPsiq,sefh_</t>
  </si>
  <si>
    <t>1960596201104904283</t>
  </si>
  <si>
    <t>https://www.logopediaymas.es/blog/tdah/</t>
  </si>
  <si>
    <t>https://x.com/neurorebelde/status/1960596201104904283</t>
  </si>
  <si>
    <t>@SedanoCalleja @psiquiatraca @PilarPsiq @sefh_ Esta es la realidad para MUCHOS de nosotros. Vas al sistema público y la primera lotería es que te toque un profesional que “crea” en el TDAH adulto. La segunda, que estime que estás suficientemente mal. https://t.co/AGW11HYfy6</t>
  </si>
  <si>
    <t>https://pbs.twimg.com/media/FYblTjPXkAIWFZD.jpg</t>
  </si>
  <si>
    <t>https://pbs.twimg.com/amplify_video_thumb/1960596033081094145/img/mta4yZyYRsx0Mbfo.jpg</t>
  </si>
  <si>
    <t>1550972801825243138</t>
  </si>
  <si>
    <t>https://x.com/ffdalles/status/1550972801825243138</t>
  </si>
  <si>
    <t>https://video.twimg.com/amplify_video/1960596033081094145/vid/avc1/364x640/kNhLrdO_GOjrPled.mp4?tag=21</t>
  </si>
  <si>
    <t>Ontem a noite começou um baile à meia noite perto do meu ap. Parecia que o MC tava cantando no meu sofá. Ótimo motivo pra tomar um ansiolitico pra facilitar meu sono né? Tomei ritalina por engano. Ô TDAH, um dia tu acaba me matando! #TDAHadulto</t>
  </si>
  <si>
    <t>1452640688445734912</t>
  </si>
  <si>
    <t>https://x.com/TriboTDAH/status/1452640688445734912</t>
  </si>
  <si>
    <t>SedanoCalleja,psiquiatraca,PilarPsiq,sefh_</t>
  </si>
  <si>
    <t>1960349208973582800</t>
  </si>
  <si>
    <t>TDAH ou TDA?
Você sabe qual a forma correta?
Já viu por aí pessoas usando as duas siglas?
Então entenda certo e errado para não sair por aí pagando mico
(Parte 1 de 2 - o Twitter não deixou publicar o vídeo inteiro 😓) https://t.co/MVBI7BQDIW</t>
  </si>
  <si>
    <t>https://x.com/psiquiatraca/status/1960349208973582800</t>
  </si>
  <si>
    <t>1550892291119890434</t>
  </si>
  <si>
    <t>https://x.com/duda_vcesqueceu/status/1550892291119890434</t>
  </si>
  <si>
    <t>https://pbs.twimg.com/ext_tw_video_thumb/1452640564596314114/pu/img/tUsBPeHJHHe76_ga.jpg</t>
  </si>
  <si>
    <t>@neurorebelde @PilarPsiq Los clínicos podemos usar los fármacos fuera de ficha técnica, siempre y cuando su uso este justificado. Como puede ser tu caso. Por suerte se está avanzando mucho en el tratamiento del TDAH en el adulto, que ha sido muy olvidado y poco reconocido.</t>
  </si>
  <si>
    <t>psiquiatraca</t>
  </si>
  <si>
    <t>Psiquiatraca (Belén S. Martín-Moreno)</t>
  </si>
  <si>
    <t>https://pbs.twimg.com/profile_images/1929818530892906496/FQ0V4kIY_normal.jpg</t>
  </si>
  <si>
    <t>Eu tô se saco cheio de romantizarem transtornos e afins! Agora todos tem TDAH, MANO VCS SE IDENTIFICAM COM ALGUNS SINTOMAS PRONTO VCS TEM TDAH! NÃO É ASSIM QUE FUNCIONA PRECISA DE DIAGNÓSTICO (continua) 
#TDAH #tdahadulto #tda #treend #romantiza</t>
  </si>
  <si>
    <t>duda_vcesqueceu</t>
  </si>
  <si>
    <t>Maria Eduarda</t>
  </si>
  <si>
    <t>1348106661949534208</t>
  </si>
  <si>
    <t>https://pbs.twimg.com/profile_images/1641168135607795712/IQn_RLbi_normal.jpg</t>
  </si>
  <si>
    <t>https://video.twimg.com/ext_tw_video/1452640564596314114/pu/vid/720x1280/nnvg0EfCm-QXMTEU.mp4?tag=12</t>
  </si>
  <si>
    <t>https://pbs.twimg.com/profile_banners/4885318043/1456058491</t>
  </si>
  <si>
    <t>https://pbs.twimg.com/profile_banners/1348106661949534208/1677455191</t>
  </si>
  <si>
    <t>1253368365260984327</t>
  </si>
  <si>
    <t>1253158699432062976</t>
  </si>
  <si>
    <t>https://x.com/ScarllatSouzas/status/1253368365260984327</t>
  </si>
  <si>
    <t>neurorebelde,PilarPsiq</t>
  </si>
  <si>
    <t>1960094246842819029</t>
  </si>
  <si>
    <t>https://x.com/sigmagogogo__/status/1960094246842819029</t>
  </si>
  <si>
    <t>@oxenoah @florencewelcro Adulto nada pq adulto sabe q a gente age é pior. Isso é adolescente q acha q quando vira adulto tempo q usar terno e falar tudo de maneira formal pois somos adultos</t>
  </si>
  <si>
    <t>ScarllatSouzas</t>
  </si>
  <si>
    <t>dojakatty🏹</t>
  </si>
  <si>
    <t>TDAH,tdahadulto,tda,treend,romantiza</t>
  </si>
  <si>
    <t>https://pbs.twimg.com/profile_images/1859603566991720448/CeCpQnC1_normal.jpg</t>
  </si>
  <si>
    <t>1550837999440695298</t>
  </si>
  <si>
    <t>https://x.com/duda_vcesqueceu/status/1550837999440695298</t>
  </si>
  <si>
    <t>Quién tiene la culpa
-adolescente temprano con autismo, depresión y tdah, que es siempre tratado cómo subhumano y escapa de la realidad en el internet
O
-adulto de 39 años, neurotipico, e inmaduro que le gusta molestar a niños neurodivergentes por alguna razón</t>
  </si>
  <si>
    <t>sigmagogogo__</t>
  </si>
  <si>
    <t>☆ ᏒᎥᎶᎧᏒ ᎷᎧᏒᏖᎥᏕ ☆</t>
  </si>
  <si>
    <t>1420224879429922819</t>
  </si>
  <si>
    <t>https://pbs.twimg.com/profile_images/1979327175321915393/V85QW0kh_normal.jpg</t>
  </si>
  <si>
    <t>https://pbs.twimg.com/profile_banners/3930751942/1652232191</t>
  </si>
  <si>
    <t>Dificuldade na execução, eu sempre fui boa na teórica (sou técnica de enfermagem) mas na prática eu passava literalmente o plantão todo organizando por horário e leito os medicamentos isso me causava cansaço mental (continua) 
#TDAH #tdahadulto</t>
  </si>
  <si>
    <t>https://pbs.twimg.com/profile_banners/1420224879429922819/1761405215</t>
  </si>
  <si>
    <t>oxenoah</t>
  </si>
  <si>
    <t>1581459386622308352</t>
  </si>
  <si>
    <t>1550806773858279425</t>
  </si>
  <si>
    <t>https://x.com/LogopediaYMas/status/1550806773858279425</t>
  </si>
  <si>
    <t>https://x.com/MicroTDH/status/1581459386622308352</t>
  </si>
  <si>
    <t>Quiero decirle a mi yo de 12 años que no se apresure en crecer, que ser adulto no es tan cool como dicen.</t>
  </si>
  <si>
    <t>El TDAH en 👨‍🦱👩‍🦰 ADULTOS y cómo es su tratamiento. Te lo explicamos 🚀aquí abajo 👇.
https://t.co/PuS0SIXT8X
#tdah #tdahadulto #tdahadultos #logopediaymas #logopedia #logopediamadrid #neurologopedia https://t.co/g6xOvg7l8D</t>
  </si>
  <si>
    <t>1959942765946556811</t>
  </si>
  <si>
    <t>1959774538238943371</t>
  </si>
  <si>
    <t>https://x.com/auto_delet3/status/1959942765946556811</t>
  </si>
  <si>
    <t>1404239598126080002</t>
  </si>
  <si>
    <t>https://x.com/telediariomty/status/1404239598126080002</t>
  </si>
  <si>
    <t>tdah,tdahadulto,tdahadultos,logopediaymas,logopedia,logopediamadrid,neurologopedia</t>
  </si>
  <si>
    <t>https://www.logopediaymas.es/blog/tdah-adultos/</t>
  </si>
  <si>
    <t>@QGdoPOP Galera, criei uma marca que vende Crack, Metanfetamina e Cocaína sem açúcar, pode dar pras crianças sem medo e adulto vai amar também. Faz bem pra quem tem TDAH e Depressão, além de ajudar a emagrecer e servir de pré treino.</t>
  </si>
  <si>
    <t>auto_delet3</t>
  </si>
  <si>
    <t>bruxismo anal</t>
  </si>
  <si>
    <t>1847628112307097600</t>
  </si>
  <si>
    <t>https://pbs.twimg.com/profile_images/1964317231879229440/NHbwrL64_normal.jpg</t>
  </si>
  <si>
    <t>https://pbs.twimg.com/media/FYWSitFWAAArWBs.jpg</t>
  </si>
  <si>
    <t>https://pbs.twimg.com/profile_banners/1847628112307097600/1757164948</t>
  </si>
  <si>
    <t>¡CHECA ESTO! 🥰❤ 
Familia adopta a adulto mayor que vivía en situación de calle  
➡ https://t.co/66lqH0vSG4 https://t.co/dnP2OQRhyQ</t>
  </si>
  <si>
    <t>telediariomty</t>
  </si>
  <si>
    <t>@telediariomty</t>
  </si>
  <si>
    <t>https://pbs.twimg.com/profile_images/1985807939903344641/uOlOs4Gs_normal.jpg</t>
  </si>
  <si>
    <t>1550441056541474816</t>
  </si>
  <si>
    <t>https://x.com/LogopediaYMas/status/1550441056541474816</t>
  </si>
  <si>
    <t>https://pbs.twimg.com/profile_banners/40105598/1736291966</t>
  </si>
  <si>
    <t>¿Qué es el Trastorno de ✅ Déficit de Atención 👦🧒 TDA? Te lo explicamos 🚀aquí abajo 👇.
https://t.co/It3rhNFDF3
#tda #tdahinfantil #tdahadulto #logopediaymas #logopedia #logopediamadrid #neurologopedia https://t.co/FVT0TZZGwe</t>
  </si>
  <si>
    <t>QGdoPOP</t>
  </si>
  <si>
    <t>1959744047545045229</t>
  </si>
  <si>
    <t>1959294271103615460</t>
  </si>
  <si>
    <t>https://x.com/AndrinaSantos55/status/1959744047545045229</t>
  </si>
  <si>
    <t>https://pbs.twimg.com/media/FYRF7LUWIAEYpmo.jpg</t>
  </si>
  <si>
    <t>https://bit.ly/3xjB6Q1</t>
  </si>
  <si>
    <t>https://pbs.twimg.com/media/E3zcdezWEAIY7wT.png</t>
  </si>
  <si>
    <t>1549036040635109378</t>
  </si>
  <si>
    <t>https://x.com/dara_coch/status/1549036040635109378</t>
  </si>
  <si>
    <t>@levisback Exemplo: meu filho é muito agitado, médico já logo passa algo pra TDAH ou hiperatividade, adulto frustrado: antidepressivo. Tá gorda? Monjauro… enfim.</t>
  </si>
  <si>
    <t>AndrinaSantos55</t>
  </si>
  <si>
    <t>A5B</t>
  </si>
  <si>
    <t>943516966014406656</t>
  </si>
  <si>
    <t>https://pbs.twimg.com/profile_images/1895564933158346752/0Tj8y-bl_normal.jpg</t>
  </si>
  <si>
    <t>1536677300753907712</t>
  </si>
  <si>
    <t>Para que algo cambie, primero has de cambiar tu☺️
.
#TDAH #tdahadulto #coaching #coachingtdah #coachingtranspersonal #mujertdah #hombretdah #LGTBI #dara_coach https://t.co/7l53DNAuYf</t>
  </si>
  <si>
    <t>https://x.com/tdahdislex/status/1536677300753907712</t>
  </si>
  <si>
    <t>Em poucas palavras, ter tdah, é ter que se esforçar o dobro ou o triplo quê todo mundo para tudo que fazemos, a faculdades é difícil nem por isso desistimos, o trabalho é mais custoso e mesmo assim seguimos lutando, TDAH em síntese é ter resiliência diante de tanto sofrimento!</t>
  </si>
  <si>
    <t>TDAH,tdahadulto,coaching,coachingtdah,coachingtranspersonal,mujertdah,hombretdah,LGTBI,dara_coach</t>
  </si>
  <si>
    <t>https://pbs.twimg.com/media/FX9IEa9WQAE38o1.jpg</t>
  </si>
  <si>
    <t>1547663772411518983</t>
  </si>
  <si>
    <t>levisback</t>
  </si>
  <si>
    <t>https://x.com/ffdalles/status/1547663772411518983</t>
  </si>
  <si>
    <t>1954513578922283113</t>
  </si>
  <si>
    <t>A ritalina sem sombra de dúvidas tem me ajudado muito a parar de procrastinar e a cumprir tarefas, mas a disfunçao executiva, socorro pq você me odeia tanto?
#TDAHadulto</t>
  </si>
  <si>
    <t>https://x.com/MauricioLeija/status/1954513578922283113</t>
  </si>
  <si>
    <t>La seguridad de un niño en un vehículo puede estar en juego si quien va al volante es un adulto con TDAH. A pesar de esto, existe una tendencia muy fuerte a medicar primero a los niños cuando los padres también tienen TDAH. 
#TDAHdelAdulto #TDAH #HablemosDelTDAH #Neurodiversidad https://t.co/dhG2j0eHgC</t>
  </si>
  <si>
    <t>1547354932650643457</t>
  </si>
  <si>
    <t>https://x.com/Psicotogether_/status/1547354932650643457</t>
  </si>
  <si>
    <t>TDAHdelAdulto,TDAH,HablemosDelTDAH,Neurodiversidad</t>
  </si>
  <si>
    <t>https://pbs.twimg.com/amplify_video_thumb/1954510713600262145/img/f61UCcaZr-79JgWH.jpg</t>
  </si>
  <si>
    <t>Día mundial de sensibilización del TDAH 🍀 #ADHD #tdahinfantil #tdahadulto https://t.co/63MJXxtVmx</t>
  </si>
  <si>
    <t>https://video.twimg.com/amplify_video/1954510713600262145/vid/avc1/1920x1088/P_PrpLfs_7V4KMPl.mp4?tag=21</t>
  </si>
  <si>
    <t>ADHD,tdahinfantil,tdahadulto</t>
  </si>
  <si>
    <t>https://www.instagram.com/p/Cf-FabcIgCy/?igshid=YTgzYjQ4ZTY=</t>
  </si>
  <si>
    <t>1360348534441140224</t>
  </si>
  <si>
    <t>https://x.com/todateen/status/1360348534441140224</t>
  </si>
  <si>
    <t>1547324995906437120</t>
  </si>
  <si>
    <t>TDAH (#TDAH ) não é uma palavra tão desconhecida assim. No entanto, preconceitos a cerca desse assunto ainda são presentes, e o #BBB trouxe dois casos recentes disso. Vem saber mais sobre o que #Fiuk revelou ter lá no #BBB21 
https://t.co/62PKt8THUU</t>
  </si>
  <si>
    <t>todateen</t>
  </si>
  <si>
    <t>https://x.com/NoticieroHechos/status/1547324995906437120</t>
  </si>
  <si>
    <t>https://pbs.twimg.com/profile_images/1981374355075416064/ixVRyoRB_normal.jpg</t>
  </si>
  <si>
    <t>1959043159293362302</t>
  </si>
  <si>
    <t>Es un trastorno con una combinación de problemas persistentes  como dificultad para mantener la atención, hiperactividad y comportamiento impulsivo. Te compartimos algunos datos y personas de farándula y mundo tecnológico que lo han padecido. 
#tdah #tdahinfantil #tdahadulto https://t.co/ndl6FFOtyd</t>
  </si>
  <si>
    <t>NoticieroHechos</t>
  </si>
  <si>
    <t>https://pbs.twimg.com/profile_banners/17347261/1709665457</t>
  </si>
  <si>
    <t>Noticiero Hechos 📱💬</t>
  </si>
  <si>
    <t>https://pbs.twimg.com/profile_images/1425916434799079427/B9U791py_normal.jpg</t>
  </si>
  <si>
    <t>https://x.com/palobomsz/status/1959043159293362302</t>
  </si>
  <si>
    <t>TweetDeck</t>
  </si>
  <si>
    <t>https://pbs.twimg.com/profile_banners/233983755/1628799946</t>
  </si>
  <si>
    <t>TDAH,BBB,Fiuk,BBB21</t>
  </si>
  <si>
    <t>https://todateen.uol.com.br/o-que-e-tdah-entenda-o-transtorno-visto-no-bbb-que-atinge-desde-criancas-a-adultos/</t>
  </si>
  <si>
    <t>Assistir essa série me fez buscar ajuda pra tratar tdah,pq meu medo era ficar assim um adulto disfuncional e dodoi da cabeça</t>
  </si>
  <si>
    <t>palobomsz</t>
  </si>
  <si>
    <t>PA LOBO</t>
  </si>
  <si>
    <t>784732863392518144</t>
  </si>
  <si>
    <t>https://pbs.twimg.com/profile_images/1922607243930767361/_8THp5Eo_normal.jpg</t>
  </si>
  <si>
    <t>tdah,tdahinfantil,tdahadulto</t>
  </si>
  <si>
    <t>https://pbs.twimg.com/ext_tw_video_thumb/1547318906301419526/pu/img/BCYnm_Cv_M9n5Syq.jpg</t>
  </si>
  <si>
    <t>1914126164471226402</t>
  </si>
  <si>
    <t>https://x.com/BiazitaGomes/status/1914126164471226402</t>
  </si>
  <si>
    <t>https://pbs.twimg.com/profile_banners/784732863392518144/1758061031</t>
  </si>
  <si>
    <t>https://video.twimg.com/ext_tw_video/1547318906301419526/pu/vid/720x720/C41_WaxqJWJzvpGV.mp4?tag=12</t>
  </si>
  <si>
    <t>Eu acabei de ouvir  num perfil de uma estudante de psicologia no Tik Tok que não existe TDHA em adultos.
Precisamos regulamentar para ontem as redes sociais</t>
  </si>
  <si>
    <t>BiazitaGomes</t>
  </si>
  <si>
    <t>Biazita Gomes</t>
  </si>
  <si>
    <t>1772551377119543296</t>
  </si>
  <si>
    <t>https://pbs.twimg.com/profile_images/1988383811193729024/xdvzTGgb_normal.jpg</t>
  </si>
  <si>
    <t>https://pbs.twimg.com/profile_banners/1772551377119543296/1711448685</t>
  </si>
  <si>
    <t>1546838968133722112</t>
  </si>
  <si>
    <t>1958931888585703601</t>
  </si>
  <si>
    <t>https://x.com/carolinitacresp/status/1546838968133722112</t>
  </si>
  <si>
    <t>socrates_szz</t>
  </si>
  <si>
    <t>os criadores de bojack sempre quiseram que ele fosse irredimível. a ideia era: até onde dá pra ir sem cruzar totalmente a linha? só que a cada temporada ele só afundava mais. quando alguém diz "não consegui mais defendê-lo depois dessa cena", é pq ali ele virou algo irreparável https://t.co/LqCdMgESsf</t>
  </si>
  <si>
    <t>https://pbs.twimg.com/media/Gy-GK_sWMAEgEP4.jpg</t>
  </si>
  <si>
    <t>Diferencias entre #tdahinfantil y #tdahadulto https://t.co/aFJuZPxuME</t>
  </si>
  <si>
    <t>carolinitacresp</t>
  </si>
  <si>
    <t>Carolina Crespo</t>
  </si>
  <si>
    <t>https://pbs.twimg.com/profile_images/1640515760417013760/qSOHAZQT_normal.jpg</t>
  </si>
  <si>
    <t>1988468131950473486</t>
  </si>
  <si>
    <t>https://x.com/4RRUNNER/status/1988468131950473486</t>
  </si>
  <si>
    <t>claro que no * 🙂‍↔️ 
la adultez comienza a los 26 años</t>
  </si>
  <si>
    <t>4RRUNNER</t>
  </si>
  <si>
    <t>https://pbs.twimg.com/profile_banners/276266211/1679964422</t>
  </si>
  <si>
    <t>ˡᵉᵗ ‍ᅠ ͏͏ 𝗺𝗲 # 𝙜͟𝙤</t>
  </si>
  <si>
    <t>1982702031904419840</t>
  </si>
  <si>
    <t>https://pbs.twimg.com/profile_images/1988486491513688064/t7qEOFK1_normal.png</t>
  </si>
  <si>
    <t>1958996171063718319</t>
  </si>
  <si>
    <t>1958880284436320372</t>
  </si>
  <si>
    <t>https://x.com/istezanol/status/1958996171063718319</t>
  </si>
  <si>
    <t>https://pbs.twimg.com/profile_banners/1982702031904419840/1761548399</t>
  </si>
  <si>
    <t>@Cardoso A melhor parte da infância, é poder se entupir de besteira e não se preocupar com isso, ai vem um arrobado de um adulto pra te controlar. Nisso eu agradeço o TDAH da minha mãe, pq tudo o que era fácil ela enfiava em mim, e eu amava as tranqueira tudo. Sejam felizes e n saldáveis.</t>
  </si>
  <si>
    <t>tdahinfantil,tdahadulto</t>
  </si>
  <si>
    <t>istezanol</t>
  </si>
  <si>
    <t>https://pbs.twimg.com/media/FXd51d_WIAUqJDX.jpg</t>
  </si>
  <si>
    <t>iSté</t>
  </si>
  <si>
    <t>https://pbs.twimg.com/profile_images/1939122666276892673/f3-pBLOa_normal.jpg</t>
  </si>
  <si>
    <t>1988467681230803072</t>
  </si>
  <si>
    <t>BRlDEOFWlNTER</t>
  </si>
  <si>
    <t>ᅠ
.  .  .  creo  que  eras  adulto  hace  ya  cinco  años,  creo.
ᅠ</t>
  </si>
  <si>
    <t>1900615089335538065</t>
  </si>
  <si>
    <t>https://x.com/namjoonloiro_/status/1900615089335538065</t>
  </si>
  <si>
    <t>1544733964186882051</t>
  </si>
  <si>
    <t>https://x.com/dara_coch/status/1544733964186882051</t>
  </si>
  <si>
    <t>o cara do meu lado no ônibus vendo vídeo os 19 sintomas do TDAH adulto</t>
  </si>
  <si>
    <t>namjoonloiro_</t>
  </si>
  <si>
    <t>小さい蜂</t>
  </si>
  <si>
    <t>859878533769949187</t>
  </si>
  <si>
    <t>https://pbs.twimg.com/profile_images/1614161484937940993/0Vgzfaik_normal.jpg</t>
  </si>
  <si>
    <t>https://pbs.twimg.com/profile_banners/1857542953/1744282818</t>
  </si>
  <si>
    <t>Si quieres que tu crecimiento personal florezca, primero as de prepararte, no todas las personas quieren o pueden  revolver en su interior.
Yo te acompaño en todo el proceso y juntos descubramos el punto para creer en ti
#coachingtranspersonal #tdahadulto #tdah #LGTBIQ https://t.co/B3kCFuYfai</t>
  </si>
  <si>
    <t>https://pbs.twimg.com/profile_banners/859878533769949187/1653677823</t>
  </si>
  <si>
    <t>coachingtranspersonal,tdahadulto,tdah,LGTBIQ</t>
  </si>
  <si>
    <t>https://pbs.twimg.com/media/FW__WTPXEAEB8iA.jpg</t>
  </si>
  <si>
    <t>-6.39939,42.580923</t>
  </si>
  <si>
    <t>Torre del Bierzo, España</t>
  </si>
  <si>
    <t>1544733893936414727</t>
  </si>
  <si>
    <t>1986523497300967460</t>
  </si>
  <si>
    <t>1986522355233890479</t>
  </si>
  <si>
    <t>https://x.com/2023_neto/status/1986523497300967460</t>
  </si>
  <si>
    <t>https://x.com/dara_coch/status/1544733893936414727</t>
  </si>
  <si>
    <t>1957084810486202545</t>
  </si>
  <si>
    <t>https://x.com/FA1RYSI3/status/1957084810486202545</t>
  </si>
  <si>
    <t>@Cardoso Se for do jeito do cara aí. Tdah deveria ser proibido de ter essas profissões. 
Eu tenho TDAh, mas não me vitimizo, tem hora é horrível sim, mas não é nada que incapacite.  
Acho que quem fica se vitimizando é que tem laudo errado e quer desculpa pra ser vagabundo.</t>
  </si>
  <si>
    <t>2023_neto</t>
  </si>
  <si>
    <t>Picolé de Chuchu 🇺🇦</t>
  </si>
  <si>
    <t>1431054986948059139</t>
  </si>
  <si>
    <t>https://pbs.twimg.com/profile_images/1954990443780788225/_qX3NSvY_normal.jpg</t>
  </si>
  <si>
    <t>Si quieres que tu crecimiento personal florezca, primero as de prepararte, no todas las personas quieren o pueden  revolver en su interior.
Yo te acompaño en todo el proceso y juntos descubramos el punto para creer en ti
#coachingtranspersonal #tdahadulto #tdah #LGTBIQ https://t.co/54R9zHU9gY</t>
  </si>
  <si>
    <t>falaram q música q tinha q cantar tem q ter relação com o tema do dia, o meu é a relação terapêutica e seus desafios
tdah no adulto, só me sobra essa música pra escolher 😍 https://t.co/YvwDY47htd</t>
  </si>
  <si>
    <t>FA1RYSI3</t>
  </si>
  <si>
    <t>no mundo da luna ♡</t>
  </si>
  <si>
    <t>1565119538877923329</t>
  </si>
  <si>
    <t>https://pbs.twimg.com/profile_banners/1431054986948059139/1737121755</t>
  </si>
  <si>
    <t>https://pbs.twimg.com/profile_images/1951117435303579648/q3AG5A-W_normal.jpg</t>
  </si>
  <si>
    <t>https://pbs.twimg.com/media/FW__SL1WYAEjTuN.jpg</t>
  </si>
  <si>
    <t>https://pbs.twimg.com/profile_banners/1565119538877923329/1761694320</t>
  </si>
  <si>
    <t>1544730962898178048</t>
  </si>
  <si>
    <t>1595097255379599360</t>
  </si>
  <si>
    <t>https://x.com/DrSylveonPsyq/status/1595097255379599360</t>
  </si>
  <si>
    <t>https://x.com/dara_coch/status/1544730962898178048</t>
  </si>
  <si>
    <t>En resumen los síntomas que afectan a las relaciones de pareja del adulto con TDAH son:
- Falta de comunicación 
- Sensibilidad emocional y sobre reacción. 
- Impulsividad 
- Problemas en las funciones ejecutivas</t>
  </si>
  <si>
    <t>Si quieres que tu crecimiento personal florezca, primero as de prepararte, no todas las personas quieren o pueden  revolver en su interior.
Yo te acompaño en todo el proceso y juntos descubramos el punto para creer en ti
#coachingtranspersonal #tdahadulto #tdah #LGTBIQ #mamatdah https://t.co/n8vFyenh2O</t>
  </si>
  <si>
    <t>https://pbs.twimg.com/media/Gyj2QptWkAAWX_R.jpg</t>
  </si>
  <si>
    <t>1437448506592071681</t>
  </si>
  <si>
    <t>https://x.com/TriboTDAH/status/1437448506592071681</t>
  </si>
  <si>
    <t>coachingtranspersonal,tdahadulto,tdah,LGTBIQ,mamatdah</t>
  </si>
  <si>
    <t>https://pbs.twimg.com/media/FW_8nm9XoAAgi3H.jpg</t>
  </si>
  <si>
    <t>VOCÊ SABE O QUE É TDAH?
TDAH é a sigla de Transtorno de Déficit de Atenção e Hiperatividade, um transtorno mental que está classificado pela OMS (no CID-11) no mesmo grupo do autismo.
Isso significa que nosso cérebro funciona diferente por causa de processos bioquímicos</t>
  </si>
  <si>
    <t>1956314909467148483</t>
  </si>
  <si>
    <t>1956165636133998952</t>
  </si>
  <si>
    <t>https://x.com/TylerD65485326/status/1956314909467148483</t>
  </si>
  <si>
    <t>1542563773302689795</t>
  </si>
  <si>
    <t>https://x.com/adahigi/status/1542563773302689795</t>
  </si>
  <si>
    <t>1517265224402980864</t>
  </si>
  <si>
    <t>https://x.com/exoamour/status/1517265224402980864</t>
  </si>
  <si>
    <t>@__hnxnn @lazarorosa25 Pois é agora pra tudo tem um monte de desculpa, eu vejo veio, adulto, muleque e muié acelerando por aí como se fossem os únicos com pressa no mundo, aí qdo da merda é mal súbito, TDAH, hiperfoco, tudo tem desculpa vsf</t>
  </si>
  <si>
    <t>TylerD65485326</t>
  </si>
  <si>
    <t>Satchel</t>
  </si>
  <si>
    <t>1353487286772576258</t>
  </si>
  <si>
    <t>https://pbs.twimg.com/profile_images/1986195008743964672/Rkwj_8Ym_normal.jpg</t>
  </si>
  <si>
    <t>#TDAH
#TDAHADULTO</t>
  </si>
  <si>
    <t>coisas que são muito tdah: esquecer o nome de palavras fáceis e simples, ser muito desajeitada(o), esgotamento mental</t>
  </si>
  <si>
    <t>exoamour</t>
  </si>
  <si>
    <t>mundinho baekhyun br</t>
  </si>
  <si>
    <t>1037140201917898754</t>
  </si>
  <si>
    <t>https://pbs.twimg.com/profile_images/1935750481831145472/OWFIFMF__normal.jpg</t>
  </si>
  <si>
    <t>1542439620469788672</t>
  </si>
  <si>
    <t>Ayer tuvo lugar la presentación de la guía ‘El adulto con TDAH, el gran olvidado’ en Santa Cruz de Tenerife. 📙
(Sigue) https://t.co/mrLbUHLuE5</t>
  </si>
  <si>
    <t>https://pbs.twimg.com/media/FWfYPSpX0AAnirw.jpg</t>
  </si>
  <si>
    <t>https://pbs.twimg.com/profile_banners/1353487286772576258/1762380816</t>
  </si>
  <si>
    <t>https://pbs.twimg.com/profile_banners/1037140201917898754/1750353855</t>
  </si>
  <si>
    <t>-2.086689,43.277871</t>
  </si>
  <si>
    <t>Donostia-San Sebastián, Spain</t>
  </si>
  <si>
    <t>1542386186693509121</t>
  </si>
  <si>
    <t>__hnxnn</t>
  </si>
  <si>
    <t>https://x.com/dara_coch/status/1542386186693509121</t>
  </si>
  <si>
    <t>1930326354152522125</t>
  </si>
  <si>
    <t>lazarorosa25</t>
  </si>
  <si>
    <t>https://x.com/noadiateixeira/status/1930326354152522125</t>
  </si>
  <si>
    <t>1954815049760903374</t>
  </si>
  <si>
    <t>https://x.com/OrdesaPediatric/status/1954815049760903374</t>
  </si>
  <si>
    <t>O TDAH é mais comum na infância ou adolescência, no entanto, os sintomas podem persistir na vida adulta de forma mais branda ou surgir em adultos que não tiveram TDAH na infância. 
FONTE: Tua Saúde 
#tdah 
#adulto
#crianca 
#saude https://t.co/vF56dENs91</t>
  </si>
  <si>
    <t>noadiateixeira</t>
  </si>
  <si>
    <t>Noadia Teixeira</t>
  </si>
  <si>
    <t>#TDAH y el código de circulación 👇🏼 https://t.co/Bbo6UEi9WK
#tdahadulto #procrastination #Motivacion #ganas #conducir #Coche #coachingtdah #coach #dara_coach #Ayuda #tipstdah #tupuedes #logros</t>
  </si>
  <si>
    <t>https://pbs.twimg.com/profile_images/1964005246570528768/v00RfbRW_normal.jpg</t>
  </si>
  <si>
    <t>El 50–70% de los trastornos psiquiátricos del adulto debutan en edad pediátrica. Ansiedad, TDAH, TCA, depresión y TEA forman parte del espectro clínico del pediatra.
➡️Su diagnóstico es complejo, pero clave para modificar el pronóstico.
Formación en salud mental + trabajo</t>
  </si>
  <si>
    <t>OrdesaPediatric</t>
  </si>
  <si>
    <t>Ordesa Academy of Pediatrics</t>
  </si>
  <si>
    <t>1589602990373179392</t>
  </si>
  <si>
    <t>https://pbs.twimg.com/profile_images/1612432585723879424/LiAKzHMq_normal.jpg</t>
  </si>
  <si>
    <t>TDAH,tdahadulto,procrastination,Motivacion,ganas,conducir,Coche,coachingtdah,coach,dara_coach,Ayuda,tipstdah,tupuedes,logros</t>
  </si>
  <si>
    <t>https://pbs.twimg.com/profile_banners/220106733/1757090234</t>
  </si>
  <si>
    <t>https://www.instagram.com/tv/CfZkp_iActj/?igshid=YmMyMTA2M2Y=</t>
  </si>
  <si>
    <t>https://pbs.twimg.com/profile_banners/1589602990373179392/1667826889</t>
  </si>
  <si>
    <t>tdah,adulto,crianca,saude</t>
  </si>
  <si>
    <t>1542268399161679872</t>
  </si>
  <si>
    <t>https://pbs.twimg.com/ext_tw_video_thumb/1930326150703652864/pu/img/ChZUAeCACgWVUwlE.jpg</t>
  </si>
  <si>
    <t>https://x.com/holatdah/status/1542268399161679872</t>
  </si>
  <si>
    <t>El TDAH se ve diferente en niños y en adultos. La Hiperactividad deja de ser tan obvia y se presenta de otras maneras. Pero sigue presente.
#tdah #adhd #tdahadulto #holatdah</t>
  </si>
  <si>
    <t>holatdah</t>
  </si>
  <si>
    <t>calitelara</t>
  </si>
  <si>
    <t>https://video.twimg.com/ext_tw_video/1930326150703652864/pu/vid/avc1/720x1280/YBQQS4OveeZV4wJ1.mp4?tag=12</t>
  </si>
  <si>
    <t>1201999683062767616</t>
  </si>
  <si>
    <t>https://pbs.twimg.com/profile_images/1542267070200569857/vBWlbLhF_normal.jpg</t>
  </si>
  <si>
    <t>1954742175432093865</t>
  </si>
  <si>
    <t>https://x.com/dryrton/status/1954742175432093865</t>
  </si>
  <si>
    <t>meio obvia mas vejo um monte de adolescente/jovem adulto recebendo diagnóstico de tdah e quando vc descobre o cérebro dele so ta podre de tanta maconha q ele fuma desde sla os 14 anos 
vc n tem tdah arrombado vc tem q parar de usar droga</t>
  </si>
  <si>
    <t>dryrton</t>
  </si>
  <si>
    <t>https://pbs.twimg.com/profile_banners/1201999683062767616/1575414932</t>
  </si>
  <si>
    <t>deco</t>
  </si>
  <si>
    <t>1371603145995005955</t>
  </si>
  <si>
    <t>https://pbs.twimg.com/profile_images/1884009474542714880/O1OFF0cC_normal.jpg</t>
  </si>
  <si>
    <t>1986753447107207195</t>
  </si>
  <si>
    <t>https://x.com/Damiana37434384/status/1986753447107207195</t>
  </si>
  <si>
    <t>Damiana37434384</t>
  </si>
  <si>
    <t>Dadazinha Oficial</t>
  </si>
  <si>
    <t>1071603754565296128</t>
  </si>
  <si>
    <t>https://pbs.twimg.com/profile_images/1877226861266083840/o5T4sz40_normal.jpg</t>
  </si>
  <si>
    <t>tdah,adhd,tdahadulto,holatdah</t>
  </si>
  <si>
    <t>1542267436132597761</t>
  </si>
  <si>
    <t>https://x.com/holatdah/status/1542267436132597761</t>
  </si>
  <si>
    <t>https://pbs.twimg.com/profile_banners/1071603754565296128/1719633168</t>
  </si>
  <si>
    <t>Cómo se ve el TDAH Hiperactivo en adultos #TDAH #adhd #tdahadulto #adhdmemes https://t.co/YQ4vSwitsT</t>
  </si>
  <si>
    <t>https://pbs.twimg.com/profile_banners/1371603145995005955/1753137310</t>
  </si>
  <si>
    <t>TDAH,adhd,tdahadulto,adhdmemes</t>
  </si>
  <si>
    <t>https://pbs.twimg.com/ext_tw_video_thumb/1542267398111330306/pu/img/GdCOF7O39P-BEi-D.jpg</t>
  </si>
  <si>
    <t>1950337425860857869</t>
  </si>
  <si>
    <t>isisw1ft</t>
  </si>
  <si>
    <t>Cite uma opinião POLÊMICA no GERAL  que te deixaria assim: https://t.co/TrPfFUqEnM</t>
  </si>
  <si>
    <t>https://video.twimg.com/ext_tw_video/1542267398111330306/pu/vid/576x1024/unbTdAuzRokMEtCQ.mp4?tag=12</t>
  </si>
  <si>
    <t>https://pbs.twimg.com/media/GxD9jNmXIAASMs6.jpg</t>
  </si>
  <si>
    <t>1541590354364977152</t>
  </si>
  <si>
    <t>https://x.com/tdahdislex/status/1541590354364977152</t>
  </si>
  <si>
    <t>1954560968031101414</t>
  </si>
  <si>
    <t>1954206052599071207</t>
  </si>
  <si>
    <t>https://x.com/AndreLSS91/status/1954560968031101414</t>
  </si>
  <si>
    <t>1987095803459215635</t>
  </si>
  <si>
    <t>https://x.com/acetatodeetina/status/1987095803459215635</t>
  </si>
  <si>
    <t>O erro de toda pessoa que tem TDAH é achar que pode deixar pra responder a conversa no whatts app depois, meu amigo VOCÊ NÃO! PODE SE VOCÊ FIZER ISSOS VOCÊ VAI RESPONDER A PESSOA SÓ NO ANO QUE VEM E ELA VAI ACHAR QUE VOCÊ TA COM RAIVA!
#tdah #tdahproblens #tdahadulto</t>
  </si>
  <si>
    <t>Atendimento prioritário e é um adulto normal de 40 anos vsf viu</t>
  </si>
  <si>
    <t>acetatodeetina</t>
  </si>
  <si>
    <t>Latina🐉</t>
  </si>
  <si>
    <t>1870236613688848384</t>
  </si>
  <si>
    <t>https://pbs.twimg.com/profile_images/1975743391523577856/gT-nF7-z_normal.jpg</t>
  </si>
  <si>
    <t>@madeinbajor Mano eu tenho um ódio disso, lá no meu trampo quando alguém faz uma merda já metem logo um TDAH.
Eu fico loko com isso, bando de adulto que não assume suas responsabilidades.</t>
  </si>
  <si>
    <t>AndreLSS91</t>
  </si>
  <si>
    <t>Andre</t>
  </si>
  <si>
    <t>1485216873432162309</t>
  </si>
  <si>
    <t>tdah,tdahproblens,tdahadulto</t>
  </si>
  <si>
    <t>https://pbs.twimg.com/profile_images/1984939248689025024/Zu7-dsnG_normal.jpg</t>
  </si>
  <si>
    <t>1537599120302653440</t>
  </si>
  <si>
    <t>https://x.com/MicheleLuckwu/status/1537599120302653440</t>
  </si>
  <si>
    <t>https://pbs.twimg.com/profile_banners/1870236613688848384/1751390541</t>
  </si>
  <si>
    <t>Algumas características de tdah. 
#Repost @miraneidesilvadantas with @make_repost
・・・
#tdah #tdahadulto em João Pessoa, Brazil https://t.co/ITllsehylN</t>
  </si>
  <si>
    <t>https://pbs.twimg.com/profile_banners/1485216873432162309/1755887651</t>
  </si>
  <si>
    <t>1988365754459451738</t>
  </si>
  <si>
    <t>https://x.com/estrela_da_mia/status/1988365754459451738</t>
  </si>
  <si>
    <t>Repost,tdah,tdahadulto</t>
  </si>
  <si>
    <t>https://www.instagram.com/p/Ce4w_GJN8xhLQn-5Sz-jo4wNlr20_ZUYlgqapk0/?igshid=YTgzYjQ4ZTY=</t>
  </si>
  <si>
    <t>Ter passado minha adolescência inteira com t.a. me faz enlouquecer sabendo que estou próximo dos 30 e que mesmo que eu não queira, gradativamente eu vou engordar</t>
  </si>
  <si>
    <t>estrela_da_mia</t>
  </si>
  <si>
    <t>murta que geme</t>
  </si>
  <si>
    <t>https://pbs.twimg.com/profile_images/1976960926499610624/zm3jSC5I_normal.jpg</t>
  </si>
  <si>
    <t>make_repost</t>
  </si>
  <si>
    <t>1537135217642700801</t>
  </si>
  <si>
    <t>https://x.com/ffdalles/status/1537135217642700801</t>
  </si>
  <si>
    <t>https://pbs.twimg.com/profile_banners/1373613384/1749049834</t>
  </si>
  <si>
    <t>Ritalina dia 3: curva ascendente de humor e ânimo, que chega num pico e despenca desesperadoramente 4 horas depois.
#TDAH #TDAHadulto</t>
  </si>
  <si>
    <t>1938451902527611187</t>
  </si>
  <si>
    <t>https://x.com/MauricioLeija/status/1938451902527611187</t>
  </si>
  <si>
    <t>1536558656015278083</t>
  </si>
  <si>
    <t>https://x.com/ffdalles/status/1536558656015278083</t>
  </si>
  <si>
    <t>TDAH del adulto: ¿Por qué cada caso es único? 2da parte. Este será el tema que discutiremos este viernes en la transmisión en vivo de #MiDiarioDeTDAH Los esperamos a la 1 p.m. tiempo del Centro de México.
#TDAHdelAdulto #TDAH #HablemosDelTDAH #HablemosDeSaludMental https://t.co/fITl8tupdP</t>
  </si>
  <si>
    <t>À 00:55 da madrugada, resolvo ler a bula do remédio que já tomei. Dentre as reações adversas: dor no peito, cansaço, MORTE SÚBITA. Como dorme agora? 🫠 #TDAH #TDAHadulto</t>
  </si>
  <si>
    <t>https://pbs.twimg.com/media/GubDuqUWIAAebvg.jpg</t>
  </si>
  <si>
    <t>1536453384651276288</t>
  </si>
  <si>
    <t>https://x.com/ffdalles/status/1536453384651276288</t>
  </si>
  <si>
    <t>1290834351895318528</t>
  </si>
  <si>
    <t>https://x.com/_thiagooc/status/1290834351895318528</t>
  </si>
  <si>
    <t>1o dia de Ritalina já fiz merda: era pra tomar 1 pela manhã por 7 dias. Tomei 1 de manhã e outro a tarde e, pasme estou com sono 🤡 #TDAH #tdahadulto</t>
  </si>
  <si>
    <t>31 anos, formado, tenho um apartamento, um carro, uma família linda e um emprego na minha área de formação. 
mas com 19 anos eu não tinha nem onde cair morto.. não se espelhem na vida de outras pessoas, cada um tem sua hora de vencer!</t>
  </si>
  <si>
    <t>_thiagooc</t>
  </si>
  <si>
    <t>TH 🥓</t>
  </si>
  <si>
    <t>1277761750159540224</t>
  </si>
  <si>
    <t>https://pbs.twimg.com/profile_images/1934358117594050560/2QQW-Lsn_normal.jpg</t>
  </si>
  <si>
    <t>1528361587404423170</t>
  </si>
  <si>
    <t>https://pbs.twimg.com/profile_banners/1277761750159540224/1728503063</t>
  </si>
  <si>
    <t>https://x.com/diversifixe/status/1528361587404423170</t>
  </si>
  <si>
    <t>Confira os sinais que podem indicar que você tem TDAH
https://t.co/bzI3X4RORO
#tdah #tdahadulto</t>
  </si>
  <si>
    <t>diversifixe</t>
  </si>
  <si>
    <t>Diversifixe</t>
  </si>
  <si>
    <t>1243998025464365056</t>
  </si>
  <si>
    <t>https://pbs.twimg.com/profile_images/1640421922939781122/0urA2H5q_normal.jpg</t>
  </si>
  <si>
    <t>1290093522129793025</t>
  </si>
  <si>
    <t>phbisdead</t>
  </si>
  <si>
    <t>Larissa Manoela tem 19 anos e três casas na Disney.
E você, qual sua idade e o que você tem? https://t.co/hW75XsFmKN</t>
  </si>
  <si>
    <t>https://pbs.twimg.com/media/EedVN93WkAAFba4.jpg</t>
  </si>
  <si>
    <t>https://pbs.twimg.com/profile_banners/1243998025464365056/1679942037</t>
  </si>
  <si>
    <t>1986832104307531946</t>
  </si>
  <si>
    <t>https://x.com/itstocktock/status/1986832104307531946</t>
  </si>
  <si>
    <t>quem deixou a vitoria ir sozinha no mercado sendo que todo mundo sabe que quem tem tdah precisa ser supervisionado 24h</t>
  </si>
  <si>
    <t>itstocktock</t>
  </si>
  <si>
    <t>tata 📖: from blood and ash</t>
  </si>
  <si>
    <t>1277992635945422848</t>
  </si>
  <si>
    <t>https://diversifixeol.wordpress.com/2022/05/22/os-10-sinais-que-podem-indicar-que-voce-tem-deficit-de-atencao/</t>
  </si>
  <si>
    <t>https://pbs.twimg.com/profile_images/1985497403265290240/AoTHufq5_normal.jpg</t>
  </si>
  <si>
    <t>https://pbs.twimg.com/profile_banners/1277992635945422848/1762214535</t>
  </si>
  <si>
    <t>1526509747905634304</t>
  </si>
  <si>
    <t>1988425088333738391</t>
  </si>
  <si>
    <t>https://x.com/adahigi/status/1526509747905634304</t>
  </si>
  <si>
    <t>https://x.com/soso_pinhaa/status/1988425088333738391</t>
  </si>
  <si>
    <t>#TDAHFORMACION #TDAHADULTO</t>
  </si>
  <si>
    <t>vou olhar meus contatos antigos e tive que abrir duas vezes a foto de Tiago p identificar ele... oficialmente somos adultos xhoreu</t>
  </si>
  <si>
    <t>soso_pinhaa</t>
  </si>
  <si>
    <t>soso está assistindo H2H🚘 • thatsummer🌊</t>
  </si>
  <si>
    <t>1372941112177012742</t>
  </si>
  <si>
    <t>https://pbs.twimg.com/profile_images/1985073243145809920/BI9HXe4u_normal.jpg</t>
  </si>
  <si>
    <t>1525125031117959168</t>
  </si>
  <si>
    <t>FEEADAH ha firmado un acuerdo de colaboración con el Centro Oficial de Educación Online INAV para que todos sus asociados puedan estudiar la ESO y Formación Profesional para adultos. 📚🧡
(Sigue) https://t.co/jzzRqLeMfY</t>
  </si>
  <si>
    <t>https://pbs.twimg.com/media/FSpU69NWYAg4EBs.png</t>
  </si>
  <si>
    <t>https://pbs.twimg.com/profile_banners/1372941112177012742/1761321919</t>
  </si>
  <si>
    <t>TDAHFORMACION,TDAHADULTO</t>
  </si>
  <si>
    <t>1525716555929161729</t>
  </si>
  <si>
    <t>1525715965660495873</t>
  </si>
  <si>
    <t>1046444985439129600</t>
  </si>
  <si>
    <t>https://x.com/LevementeND/status/1525716555929161729</t>
  </si>
  <si>
    <t>https://x.com/tdmascrc/status/1046444985439129600</t>
  </si>
  <si>
    <t>"Mañana se celebra el día del adulto mayor y acá viene Christian Bolaños"
Que @Gustavolopezca más montado 😮😂 https://t.co/x2C4eKuaWT</t>
  </si>
  <si>
    <t>tdmascrc</t>
  </si>
  <si>
    <t>Lembre-se ainda que pessoas TDAH são criativas e costumam envolverem-se em vários projetos, o que pode ser um impulso produtivo nas altas habilidades.
[Ignorar tags] #TDAH #tdahadulto #mulheresTDAH #TDAHemMulheres #duplaexcepcionalidade #superdotação #altashabilidades #2e</t>
  </si>
  <si>
    <t>TD Más</t>
  </si>
  <si>
    <t>https://pbs.twimg.com/profile_images/1536938051791998976/BDhnje5e_normal.jpg</t>
  </si>
  <si>
    <t>TDAH,tdahadulto,mulheresTDAH,TDAHemMulheres,duplaexcepcionalidade,superdotação,altashabilidades,2e</t>
  </si>
  <si>
    <t>https://pbs.twimg.com/profile_banners/1349849582/1753203745</t>
  </si>
  <si>
    <t>1523997261742620674</t>
  </si>
  <si>
    <t>https://x.com/SalomeTaboada/status/1523997261742620674</t>
  </si>
  <si>
    <t>Hoy nace nuestra web, consúltala y síguenos en redes sociales. Ponte en contacto con nosotras si tú o algún familiar puede presentar un Trastorno de déficit de atención con o sin hiperactividad #tdah #tdahadulto #tdahinfantil #psicologia #psicoterapia #diagnostico #ayudatdah https://t.co/iJXF9R3oFf</t>
  </si>
  <si>
    <t>SalomeTaboada</t>
  </si>
  <si>
    <t>Salome Taboada</t>
  </si>
  <si>
    <t>1145647150107418626</t>
  </si>
  <si>
    <t>https://pbs.twimg.com/profile_images/1145647325081219073/oqyXCOYO_normal.jpg</t>
  </si>
  <si>
    <t>https://pbs.twimg.com/ext_tw_video_thumb/1046444903008530432/pu/img/LQQ-jeXURPq9Zfkj.jpg</t>
  </si>
  <si>
    <t>https://pbs.twimg.com/profile_banners/1145647150107418626/1645892068</t>
  </si>
  <si>
    <t>https://video.twimg.com/ext_tw_video/1046444903008530432/pu/vid/1114x614/RP2uhzFB_cdOfXzD.mp4?tag=5</t>
  </si>
  <si>
    <t>Gustavolopezca</t>
  </si>
  <si>
    <t>1931627536573677689</t>
  </si>
  <si>
    <t>https://x.com/SEMERGENap/status/1931627536573677689</t>
  </si>
  <si>
    <t>tdah,tdahadulto,tdahinfantil,psicologia,psicoterapia,diagnostico,ayudatdah</t>
  </si>
  <si>
    <t>https://pbs.twimg.com/media/FSZTbevXEAEh4ix.jpg</t>
  </si>
  <si>
    <t>🧠 ¿Cómo abordar el TDAH en adultos desde Atención Primaria? Hablamos sobre el diagnóstico y el tratamiento del trastorno por déficit de atención e hiperactividad (TDAH) en el adulto.
📺 Nuevo VIDEO UPDATE de SEMERGEN con la Dra. Ana Tchang y el Dr. Sergio Benavente.
¡Disponible https://t.co/PVgcm4sFZT</t>
  </si>
  <si>
    <t>SEMERGENap</t>
  </si>
  <si>
    <t>SEMERGEN | Médicos de AP</t>
  </si>
  <si>
    <t>https://pbs.twimg.com/profile_images/1975688429212954624/Iv_i81XJ_normal.jpg</t>
  </si>
  <si>
    <t>1521848539227340801</t>
  </si>
  <si>
    <t>https://x.com/tdahfocoevida/status/1521848539227340801</t>
  </si>
  <si>
    <t>https://pbs.twimg.com/profile_banners/601113942/1761843178</t>
  </si>
  <si>
    <t>#tdahadulto #tdahnaoebrincadeira https://t.co/FRB7HFkuTq</t>
  </si>
  <si>
    <t>tdahfocoevida</t>
  </si>
  <si>
    <t>Tdah Foco e Vida Mentoria e Coach</t>
  </si>
  <si>
    <t>1385606962260414465</t>
  </si>
  <si>
    <t>https://pbs.twimg.com/profile_images/1494313173964492807/y3fGe0aj_normal.jpg</t>
  </si>
  <si>
    <t>1953785595278332364</t>
  </si>
  <si>
    <t>1953331870881427579</t>
  </si>
  <si>
    <t>https://x.com/guii_alvessc/status/1953785595278332364</t>
  </si>
  <si>
    <t>https://pbs.twimg.com/media/Gs6E4D3WAAE3fPG.jpg</t>
  </si>
  <si>
    <t>https://pbs.twimg.com/profile_banners/1385606962260414465/1645107009</t>
  </si>
  <si>
    <t>@beatriztee Mas quem descobre autismo ou TDAH (principalmente depois de adulto) começa a achar que todo mundo em volta também tem alguma coisa</t>
  </si>
  <si>
    <t>guii_alvessc</t>
  </si>
  <si>
    <t>Guilherme Alves</t>
  </si>
  <si>
    <t>821365201576542208</t>
  </si>
  <si>
    <t>https://pbs.twimg.com/profile_images/1267231391454048256/KfLhvobt_normal.jpg</t>
  </si>
  <si>
    <t>tdahadulto,tdahnaoebrincadeira</t>
  </si>
  <si>
    <t>https://www.instagram.com/p/CdI2czwLgge/?igshid=YTgzYjQ4ZTY=</t>
  </si>
  <si>
    <t>https://pbs.twimg.com/profile_images/1983167910626353152/TKit1fes_normal.jpg</t>
  </si>
  <si>
    <t>https://pbs.twimg.com/profile_banners/821365201576542208/1548420408</t>
  </si>
  <si>
    <t>1519589964312465408</t>
  </si>
  <si>
    <t>https://x.com/AnhidaCoruna/status/1519589964312465408</t>
  </si>
  <si>
    <t>1876964568812929141</t>
  </si>
  <si>
    <t>https://x.com/pildoracida/status/1876964568812929141</t>
  </si>
  <si>
    <t>beatriztee</t>
  </si>
  <si>
    <t>En ANHIDACORUÑA tenéis la posiblidad de conseguir esta guía de adultos, todo un referente en el mundo del TDAH adultos.
https://t.co/KckMSmSH7M
#tdahadulto #tdah #hiperactividad @feaadah</t>
  </si>
  <si>
    <t>1953217619328180548</t>
  </si>
  <si>
    <t>1953213123168473419</t>
  </si>
  <si>
    <t>https://x.com/pamdastik/status/1953217619328180548</t>
  </si>
  <si>
    <t>Es verdad que no se puede criticar...pues me la suda, voy a hacerlo aunque es cierto que a veces me invade no saber como es una persona con TDAH en adulto porque los niños sí que son muy "cabezotas" con sus ideas.</t>
  </si>
  <si>
    <t>pildoracida</t>
  </si>
  <si>
    <t>Pildo</t>
  </si>
  <si>
    <t>1823392423130607616</t>
  </si>
  <si>
    <t>https://pbs.twimg.com/profile_images/1887466110884171776/7So3X-Jx_normal.jpg</t>
  </si>
  <si>
    <t>tdahadulto,tdah,hiperactividad</t>
  </si>
  <si>
    <t>https://www.magisnet.com/2022/04/maite-urkizu-vivimos-en-una-sociedad-donde-acudir-a-salud-mental-esta-mal-visto/</t>
  </si>
  <si>
    <t>@tortapinacolada me atrevo a decir que los tdah son huff porque no hay nada mas ravenclaw que un adulto con tea ajjaja</t>
  </si>
  <si>
    <t>pamdastik</t>
  </si>
  <si>
    <t>𝒑𝒂𝒎𝒆 ☠️</t>
  </si>
  <si>
    <t>https://pbs.twimg.com/profile_images/1973039443926827008/CnDHVmSA_normal.jpg</t>
  </si>
  <si>
    <t>https://pbs.twimg.com/profile_banners/1823392423130607616/1738841761</t>
  </si>
  <si>
    <t>1580613733709029377</t>
  </si>
  <si>
    <t>https://x.com/smartinezho1/status/1580613733709029377</t>
  </si>
  <si>
    <t>https://pbs.twimg.com/profile_banners/67431398/1748465328</t>
  </si>
  <si>
    <t>1517600249954684929</t>
  </si>
  <si>
    <t>https://x.com/kellemcristina/status/1517600249954684929</t>
  </si>
  <si>
    <t>Evidentemente, el perfil del TDAH en el adulto es distinto al del niño y muy posiblemente en los mayores también. Pero en ellos sigue existiendo el TDAH y algunos de los síntomas centrales que le acompañan.</t>
  </si>
  <si>
    <t>Saul Martinez-Horta</t>
  </si>
  <si>
    <t>1102482523664384000</t>
  </si>
  <si>
    <t>https://pbs.twimg.com/profile_images/1446559792043020289/yps_iJdD_normal.jpg</t>
  </si>
  <si>
    <t>Tipos de TDAH #tdah #tdahadulto #tdahinfantil #nãoépreguiça #conhecer https://t.co/0P7RbLGi0P</t>
  </si>
  <si>
    <t>kellemcristina</t>
  </si>
  <si>
    <t>Kellem C. Domingues</t>
  </si>
  <si>
    <t>https://pbs.twimg.com/profile_images/1686526371089018880/edfk0Y-e_normal.jpg</t>
  </si>
  <si>
    <t>tortapinacolada</t>
  </si>
  <si>
    <t>https://pbs.twimg.com/profile_banners/1102482523664384000/1557727788</t>
  </si>
  <si>
    <t>1952737784994627717</t>
  </si>
  <si>
    <t>1952420600992969174</t>
  </si>
  <si>
    <t>https://x.com/itzlunars/status/1952737784994627717</t>
  </si>
  <si>
    <t>https://pbs.twimg.com/profile_banners/66186992/1658785677</t>
  </si>
  <si>
    <t>1373211503051018240</t>
  </si>
  <si>
    <t>https://x.com/BuyoyaJonah/status/1373211503051018240</t>
  </si>
  <si>
    <t>@lynxviadona Ia, mas eu ia querer bater nele pelo tdah não tratado do mesmo jeito. Até gosto dele, mas não aguentava 5 minutos perto dele de jeito neeeeeeenhum, só ele adulto e tranquilo mesmo. De resto? Deus me livre</t>
  </si>
  <si>
    <t>itzlunars</t>
  </si>
  <si>
    <t>luna⁷ 📖👾</t>
  </si>
  <si>
    <t>1105221060973215744</t>
  </si>
  <si>
    <t>https://pbs.twimg.com/profile_images/1952815691381219328/_pTTNKxB_normal.jpg</t>
  </si>
  <si>
    <t>The T in Adult stands for TAULATI!🤦🏿‍♂️</t>
  </si>
  <si>
    <t>BuyoyaJonah</t>
  </si>
  <si>
    <t>Dingindaba Jonah Buyoya</t>
  </si>
  <si>
    <t>https://pbs.twimg.com/profile_images/1928878799153774592/hW_ceaF5_normal.jpg</t>
  </si>
  <si>
    <t>tdah,tdahadulto,tdahinfantil,nãoépreguiça,conhecer</t>
  </si>
  <si>
    <t>https://www.instagram.com/p/CcqqjTIJ3NK/?igshid=YTgzYjQ4ZTY=</t>
  </si>
  <si>
    <t>https://pbs.twimg.com/profile_banners/1105221060973215744/1728502898</t>
  </si>
  <si>
    <t>https://pbs.twimg.com/profile_banners/562770913/1682330610</t>
  </si>
  <si>
    <t>1516449930138857487</t>
  </si>
  <si>
    <t>https://x.com/CarlosAlmada/status/1516449930138857487</t>
  </si>
  <si>
    <t>en</t>
  </si>
  <si>
    <t>27.769106,-15.306759</t>
  </si>
  <si>
    <t>Lusaka, Zambia</t>
  </si>
  <si>
    <t>1503819024580370441</t>
  </si>
  <si>
    <t>lynxviadona</t>
  </si>
  <si>
    <t>https://x.com/maarycastroo_/status/1503819024580370441</t>
  </si>
  <si>
    <t>Toda grande jornada tem os seus primeiros passos. Comemore as pequenas conquistas, sempre!
#tdah #tdahadulto #psi #psicologia https://t.co/QwnDpAqx1D</t>
  </si>
  <si>
    <t>CarlosAlmada</t>
  </si>
  <si>
    <t>Carlos Almada Psi Ψ</t>
  </si>
  <si>
    <t>1952489015267188753</t>
  </si>
  <si>
    <t>https://pbs.twimg.com/profile_images/1845914071033315328/h5nNVZ_-_normal.jpg</t>
  </si>
  <si>
    <t>https://x.com/oinconquistado/status/1952489015267188753</t>
  </si>
  <si>
    <t>ter tdah é uma PORRA, vc tem 74929273 coisas pra fazer, senta na cama pra descansar 2s e n consegue sair mais, mas mesmo assim fica se cobrando pra fazer MAS N CONSEGUE AAAAAH</t>
  </si>
  <si>
    <t>maarycastroo_</t>
  </si>
  <si>
    <t>𝕮𝖆𝖘𝖙𝖗𝖔🦋</t>
  </si>
  <si>
    <t>1122629315559141376</t>
  </si>
  <si>
    <t>https://pbs.twimg.com/profile_images/1526654316332949504/QsqeIKhX_normal.jpg</t>
  </si>
  <si>
    <t>Eu tive meu diagnóstico de TDAH depois de adulto, e cada dia mais aumenta minha desconfiança de que sou autista também.
Tem umas coisas muito específicas que me indicam isso.</t>
  </si>
  <si>
    <t>oinconquistado</t>
  </si>
  <si>
    <t>magnetø</t>
  </si>
  <si>
    <t>https://pbs.twimg.com/profile_banners/29438265/1764250272</t>
  </si>
  <si>
    <t>1897873265508728834</t>
  </si>
  <si>
    <t>https://pbs.twimg.com/profile_images/1910335107866480640/tGXcwu7a_normal.jpg</t>
  </si>
  <si>
    <t>https://pbs.twimg.com/profile_banners/1122629315559141376/1644543725</t>
  </si>
  <si>
    <t>tdah,tdahadulto,psi,psicologia</t>
  </si>
  <si>
    <t>https://www.instagram.com/p/CcifcyllELW/?igshid=YTgzYjQ4ZTY=</t>
  </si>
  <si>
    <t>1574364228093452290</t>
  </si>
  <si>
    <t>1952205191538974802</t>
  </si>
  <si>
    <t>1952163812263571766</t>
  </si>
  <si>
    <t>https://x.com/sylvaqueer/status/1574364228093452290</t>
  </si>
  <si>
    <t>https://x.com/haleperidoli/status/1952205191538974802</t>
  </si>
  <si>
    <t>1516047384689745931</t>
  </si>
  <si>
    <t>@tetoarquiteto @andregabeh Mas isso é só reflexo da sociedade que a gente tá. O adulto hoje nunca é culpado de nada, sempre tem uma doença, a criação, o crl a quatro mas responsabilidade 0. Só vc ver o tanto de gente que agora está se dizendo ter AH, assim como TDAH</t>
  </si>
  <si>
    <t>sabe o que também é tdah? surtar depois de receber vários estímulos visuais e sonoros pq seu cérebro já não cala a boca sozinho e juntando com estímulos externos ele simplesmente explode e você fica irritado e emocionalmente instável e precisa de horas sozinho pra se recuperar</t>
  </si>
  <si>
    <t>haleperidoli</t>
  </si>
  <si>
    <t>sylvaqueer</t>
  </si>
  <si>
    <t>https://x.com/CarlosAlmada/status/1516047384689745931</t>
  </si>
  <si>
    <t>Ale</t>
  </si>
  <si>
    <t>nana.</t>
  </si>
  <si>
    <t>1540793478933889024</t>
  </si>
  <si>
    <t>1194419625288773632</t>
  </si>
  <si>
    <t>https://pbs.twimg.com/profile_images/1973585794716553216/8Zhr0VZ2_normal.jpg</t>
  </si>
  <si>
    <t>https://pbs.twimg.com/profile_images/1987907784101232640/S_2xyHVk_normal.jpg</t>
  </si>
  <si>
    <t>Tem novidade chegando.
#tdah #tdahadulto #tdahdescomplicado https://t.co/4Q3qCfU1RH</t>
  </si>
  <si>
    <t>https://pbs.twimg.com/profile_banners/1194419625288773632/1695594882</t>
  </si>
  <si>
    <t>https://pbs.twimg.com/profile_banners/1540793478933889024/1759789075</t>
  </si>
  <si>
    <t>tdah,tdahadulto,tdahdescomplicado</t>
  </si>
  <si>
    <t>https://www.instagram.com/p/CcfoY_3LF73/?igshid=YTgzYjQ4ZTY=</t>
  </si>
  <si>
    <t>1574238714531831808</t>
  </si>
  <si>
    <t>brgenovez</t>
  </si>
  <si>
    <t>nao sobrou um comportamento humano que nao seja TDAH pro tiktok https://t.co/xkdvWAS0X0</t>
  </si>
  <si>
    <t>https://pbs.twimg.com/media/FdjRw-4XkAA-S00.jpg,https://pbs.twimg.com/media/FdjRxKkXoAEK7oq.jpg</t>
  </si>
  <si>
    <t>TetoMattos</t>
  </si>
  <si>
    <t>andregabeh</t>
  </si>
  <si>
    <t>1951572482818785614</t>
  </si>
  <si>
    <t>1951263760489832727</t>
  </si>
  <si>
    <t>1516000502441553925</t>
  </si>
  <si>
    <t>https://x.com/difundimosideas/status/1951572482818785614</t>
  </si>
  <si>
    <t>https://x.com/ahidabizkaia/status/1516000502441553925</t>
  </si>
  <si>
    <t>1846647362900590833</t>
  </si>
  <si>
    <t>https://x.com/PauloVitorDeO18/status/1846647362900590833</t>
  </si>
  <si>
    <t>#tdahADULTO</t>
  </si>
  <si>
    <t>ahidabizkaia</t>
  </si>
  <si>
    <t>@Jefersonnasa_ Si y no. Todo depende del grado. 
He conocido a una persona con TDAH que no es capaz de hacer cálculos básicos o que, si le preguntas la edad de un adulto de 30, te puede decir 90.
Pasa lo mismo con cualquier otro problema. 
Las enfermedades mentales no son un todo o nada.</t>
  </si>
  <si>
    <t>AHIDA TDAH BIZKAIA</t>
  </si>
  <si>
    <t>difundimosideas</t>
  </si>
  <si>
    <t>1048863479506067456</t>
  </si>
  <si>
    <t>El inconformista</t>
  </si>
  <si>
    <t>https://pbs.twimg.com/profile_images/1744240102245568514/8KDBqomS_normal.jpg</t>
  </si>
  <si>
    <t>760820819975139328</t>
  </si>
  <si>
    <t>https://pbs.twimg.com/profile_images/1862978595053789184/_E3Ywr8e_normal.jpg</t>
  </si>
  <si>
    <t>Não vai ter outro jeito … vamos ter que ler mto sobre tdah e autismo adulto … um tema que queria precisar não ler … But … aparece mto nos consultórios particulares</t>
  </si>
  <si>
    <t>PauloVitorDeO18</t>
  </si>
  <si>
    <t>Vitor Cardoso</t>
  </si>
  <si>
    <t>1119397317747122176</t>
  </si>
  <si>
    <t>https://pbs.twimg.com/profile_images/1821280597609705473/zLCLzX2P_normal.jpg</t>
  </si>
  <si>
    <t>https://pbs.twimg.com/profile_banners/1048863479506067456/1704694222</t>
  </si>
  <si>
    <t>https://pbs.twimg.com/profile_banners/760820819975139328/1737148233</t>
  </si>
  <si>
    <t>https://pbs.twimg.com/profile_banners/1119397317747122176/1599002101</t>
  </si>
  <si>
    <t>1504057831531724804</t>
  </si>
  <si>
    <t>FEAADAH presenta la primera guía en España sobre el TDAH en adulto. 🧡
🗓 Jueves 31 de marzo
⏰ 18:00 horas
(Más) https://t.co/D6dBImHWuL</t>
  </si>
  <si>
    <t>1713664795365331284</t>
  </si>
  <si>
    <t>https://pbs.twimg.com/media/FN98ee7XwAMtlHs.jpg</t>
  </si>
  <si>
    <t>https://x.com/AgenciaTelam/status/1713664795365331284</t>
  </si>
  <si>
    <t>Jefersonnasa_</t>
  </si>
  <si>
    <t>1951120398537597321</t>
  </si>
  <si>
    <t>Terminaron la secundaria en la adultez y destacan: "Sin educación pública habría sido imposible terminar el secundario"
✍Ornella Rapallini
https://t.co/f6Pijp2SoJ</t>
  </si>
  <si>
    <t>AgenciaTelam</t>
  </si>
  <si>
    <t>https://x.com/eypurrr/status/1951120398537597321</t>
  </si>
  <si>
    <t>Agencia Télam</t>
  </si>
  <si>
    <t>https://pbs.twimg.com/profile_images/1455215266665795587/dQfNLH3W_normal.png</t>
  </si>
  <si>
    <t>tdahADULTO</t>
  </si>
  <si>
    <t>1510723073502236673</t>
  </si>
  <si>
    <t>https://x.com/dara_coch/status/1510723073502236673</t>
  </si>
  <si>
    <t>https://pbs.twimg.com/profile_banners/208413101/1737403936</t>
  </si>
  <si>
    <t>Hoy me dijeron que me llevo bien con las infancias con  tdah, y que me van a pasar más por que se acomodan conmigo, obvio mamón, entre neurodivirgentes nos entendemos, solo soy el adulto que me hubiera gustado tener cuando era niña.</t>
  </si>
  <si>
    <t>eypurrr</t>
  </si>
  <si>
    <t>A B R I L 🇵🇸</t>
  </si>
  <si>
    <t>https://pbs.twimg.com/profile_images/1920911740587413504/P7YCIMV0_normal.jpg</t>
  </si>
  <si>
    <t>Todos los videos de las ponencias sobre #tdah 👇🏼
Gracias por dar visibilidad al tdah
#tdahadulto #coaching #coachingtdah #dara_coach #ansiedad #Depresion #comorbilidades #SaludMental</t>
  </si>
  <si>
    <t>TweetDeck Web App</t>
  </si>
  <si>
    <t>1510703775417257993</t>
  </si>
  <si>
    <t>adahbi_tdah</t>
  </si>
  <si>
    <t>Este fin de semana han tenido lugar las jornadas de TDAH organizadas por el Ayuntamiento de Benavente. Aquí están todos los vídeos de las ponencias:
https://t.co/iRcFzKYGLv</t>
  </si>
  <si>
    <t>tdah,tdahadulto,coaching,coachingtdah,dara_coach,ansiedad,Depresion,comorbilidades,SaludMental</t>
  </si>
  <si>
    <t>https://www.telam.com.ar/notas/202310/643435-secundaria-adultos-escuela-publica.html</t>
  </si>
  <si>
    <t>https://pbs.twimg.com/profile_banners/232038569/1641626744</t>
  </si>
  <si>
    <t>1510660656030171138</t>
  </si>
  <si>
    <t>https://x.com/dara_coch/status/1510660656030171138</t>
  </si>
  <si>
    <t>El #tdahadulto hoy en la @
BrujulaNaranja en Instagram a las 21 horas.
Te espero 😉
#TDAH #coachingtdah #emociones #tdahyparja #Pareja #convivencia
#Directo https://t.co/6r1hNt57dZ</t>
  </si>
  <si>
    <t>1938767741311164641</t>
  </si>
  <si>
    <t>https://x.com/gonchrv/status/1938767741311164641</t>
  </si>
  <si>
    <t>1950582663431254418</t>
  </si>
  <si>
    <t>1950558377223897147</t>
  </si>
  <si>
    <t>https://x.com/Renee2531993941/status/1950582663431254418</t>
  </si>
  <si>
    <t>tdahadulto,TDAH,coachingtdah,emociones,tdahyparja,Pareja,convivencia,Directo</t>
  </si>
  <si>
    <t>https://pbs.twimg.com/media/FPbx3FVX0AQnou_.jpg</t>
  </si>
  <si>
    <t>tá explicado essa explosão de TDAH em adulto 
medico não conhece o paciente
não faz acompanhamento 
15 min de conversa</t>
  </si>
  <si>
    <t>gonchrv</t>
  </si>
  <si>
    <t>BEAttorney for luigi mangione</t>
  </si>
  <si>
    <t>1109138263841878017</t>
  </si>
  <si>
    <t>https://pbs.twimg.com/profile_images/1978857104233377792/TEadPn73_normal.jpg</t>
  </si>
  <si>
    <t>@PhiloDigital Me he roto demasiadas veces, fui niño y después adolescente y adulto accidentado con frecuencia hasta que 40 años después un Psiquiatra cambió el terminó por TDAH +TB tipo 2… Diablos y las que me faltan😢 antes de partir al Hades….</t>
  </si>
  <si>
    <t>1510190180967370754</t>
  </si>
  <si>
    <t>Renee2531993941</t>
  </si>
  <si>
    <t>https://pbs.twimg.com/profile_banners/1109138263841878017/1749935715</t>
  </si>
  <si>
    <t>Renee</t>
  </si>
  <si>
    <t>1913966889065132032</t>
  </si>
  <si>
    <t>https://x.com/ahidabizkaia/status/1510190180967370754</t>
  </si>
  <si>
    <t>https://pbs.twimg.com/profile_images/1913967312979341312/VZkTEDCI_normal.jpg</t>
  </si>
  <si>
    <t>#TDAH #tdahADULTO</t>
  </si>
  <si>
    <t>1938711916022768067</t>
  </si>
  <si>
    <t>lunaperegrinaa</t>
  </si>
  <si>
    <t>@Teu_Reiz nem fui la e foi online</t>
  </si>
  <si>
    <t>1373427318337732615</t>
  </si>
  <si>
    <t>1509800324323852296</t>
  </si>
  <si>
    <t>En la tarde de ayer celebramos la presentación de la primera guía en España sobre el TDAH en adulto. 👏🧡
(Sigue) https://t.co/HFKQooMQiG</t>
  </si>
  <si>
    <t>https://x.com/edorobi73/status/1373427318337732615</t>
  </si>
  <si>
    <t>https://pbs.twimg.com/media/FPPi_uaWUBA9SgB.jpg,https://pbs.twimg.com/media/FPPi_ubWUAcdrs1.jpg</t>
  </si>
  <si>
    <t>Por qué ahora dicen Adultos y Adultas ? 
Cortenla con esa estupidez 
Un adulto es alguien que vive su etapa de adultez y su plural es adultos 
Estudian cinco años de periodismo en la universidad para terminar hablando como idiota ?
Lenguaje inclusivo es una real porquería</t>
  </si>
  <si>
    <t>edorobi73</t>
  </si>
  <si>
    <t>Eduardo Cerda</t>
  </si>
  <si>
    <t>https://pbs.twimg.com/profile_images/1907075472531345408/5dd0j0Yy_normal.jpg</t>
  </si>
  <si>
    <t>PhiloDigital</t>
  </si>
  <si>
    <t>TDAH,tdahADULTO</t>
  </si>
  <si>
    <t>1950329066424586389</t>
  </si>
  <si>
    <t>1510006692112744459</t>
  </si>
  <si>
    <t>https://x.com/jpocomedia/status/1950329066424586389</t>
  </si>
  <si>
    <t>https://x.com/tdahburgos/status/1510006692112744459</t>
  </si>
  <si>
    <t>https://pbs.twimg.com/profile_banners/193914536/1665532500</t>
  </si>
  <si>
    <t>Nos encanta recordar al gran embajador del #TDAH
@LuisRojasMarcos 
https://t.co/lWCBwuXhT1
#tdahalolargodelavida #TdahAdulto  #juntosporeltdah</t>
  </si>
  <si>
    <t>tdahburgos</t>
  </si>
  <si>
    <t>queria ter uma conversa daora com algum adulto que ja aprendeu a viver com tdah</t>
  </si>
  <si>
    <t>Asociación ABUDAH 🤸‍♀️🤸‍♂️nos mueve el #TDAH</t>
  </si>
  <si>
    <t>jpocomedia</t>
  </si>
  <si>
    <t>849149214915428352</t>
  </si>
  <si>
    <t>ocomedia da silva</t>
  </si>
  <si>
    <t>https://pbs.twimg.com/profile_images/1579278801250525184/554eDvFj_normal.jpg</t>
  </si>
  <si>
    <t>1540494160993689600</t>
  </si>
  <si>
    <t>https://pbs.twimg.com/profile_images/1988603748898267136/U2XFVKEf_normal.jpg</t>
  </si>
  <si>
    <t>1389550053690421249</t>
  </si>
  <si>
    <t>https://x.com/TriboTDAH/status/1389550053690421249</t>
  </si>
  <si>
    <t>Ciclo de vida TDAH
Em qual ponto você está hoje?
Tradução:
Quer estabilidade
Fica entediado
Busca motivação / desafios animadores
Fica sobrecarregado https://t.co/Bx6j2TjBPf</t>
  </si>
  <si>
    <t>https://pbs.twimg.com/profile_banners/1540494160993689600/1762571659</t>
  </si>
  <si>
    <t>https://pbs.twimg.com/profile_banners/849149214915428352/1648072578</t>
  </si>
  <si>
    <t>https://pbs.twimg.com/media/E0isaEoWQAMYE9K.jpg</t>
  </si>
  <si>
    <t>1930270871844765940</t>
  </si>
  <si>
    <t>https://x.com/3lenit/status/1930270871844765940</t>
  </si>
  <si>
    <t>TDAH,tdahalolargodelavida,TdahAdulto,juntosporeltdah</t>
  </si>
  <si>
    <t>https://youtu.be/d_1JduRnX4w</t>
  </si>
  <si>
    <t>1950077698665042406</t>
  </si>
  <si>
    <t>https://x.com/exjeny/status/1950077698665042406</t>
  </si>
  <si>
    <t>Primeira informação que eu li sobre o venvanse foi que era um tipo de anfetamina e que se você tem ou já teve problemas com bebida ou droga, não era indicado por ser um psicoestimulante. Mas a pessoas estava falando sobre TDAH adulto, criança deveria ser outra abordagem.</t>
  </si>
  <si>
    <t>3lenit</t>
  </si>
  <si>
    <t>ele+nita</t>
  </si>
  <si>
    <t>https://pbs.twimg.com/profile_images/1985876936690671616/WiSs9vZD_normal.jpg</t>
  </si>
  <si>
    <t>LuisRojasMarcos</t>
  </si>
  <si>
    <t>1509839052928864258</t>
  </si>
  <si>
    <t>https://x.com/UrkizuMaite/status/1509839052928864258</t>
  </si>
  <si>
    <t>gente, se &amp;gt;&amp;gt;vc&amp;lt;&amp;lt;&amp;lt; é adulto e deixa um gato fugir, vc é irresponsável sim. 
Principalmente se não telou alguma janela(tipo do banheiro er) ou se NÃO TRANCOU A PORTA(??) 
Jurem???
se vcs tem tdah no lvl de NÃO TRANCAR A PORTA 
Vcs tem que rever as rotinas de apoio de vcs.</t>
  </si>
  <si>
    <t>exjeny</t>
  </si>
  <si>
    <t>シカバネ</t>
  </si>
  <si>
    <t>1253233430428606465</t>
  </si>
  <si>
    <t>https://pbs.twimg.com/profile_images/1683114239492333570/zeg6wGCm_normal.jpg</t>
  </si>
  <si>
    <t>https://pbs.twimg.com/profile_banners/164058065/1738305227</t>
  </si>
  <si>
    <t>#TDAH #TDAHADULTO</t>
  </si>
  <si>
    <t>1929904375054365144</t>
  </si>
  <si>
    <t>Psiquiatripa</t>
  </si>
  <si>
    <t>1509800329667399680</t>
  </si>
  <si>
    <t>O diabo dessa psiquiatra foi inventar de falar nas redes que “o Venvanse é que nem cocaína” e agora to tendo que aguentar pai e mãe perturbando achando que eu passei cocaína pros filhos deles.
Vai se lascar desgraçada.</t>
  </si>
  <si>
    <t>1399789710202003462</t>
  </si>
  <si>
    <t>🔸 La pretensión de esta guía es la dar voz al adulto con TDAH y acercar su realidad a la ciudadanía, a las instituciones y a todos los profesionales de la salud. Su objetivo final es orientar y formar para la buena praxis del TDAH en adultos.
(Sigue) https://t.co/lXjtknAwrQ</t>
  </si>
  <si>
    <t>https://pbs.twimg.com/profile_banners/1253233430428606465/1679373754</t>
  </si>
  <si>
    <t>https://pbs.twimg.com/media/FPPjN4LXwAMpwjj.jpg</t>
  </si>
  <si>
    <t>https://x.com/AlessandroLoio2/status/1399789710202003462</t>
  </si>
  <si>
    <t>APENAS PARA LEMBRAR: 
Se você é um adulto, ter outro adulto lhe dizendo que não pode sair, trabalhar, se divertir ou respirar livremente torna você um não-adulto. 😉</t>
  </si>
  <si>
    <t>AlessandroLoio2</t>
  </si>
  <si>
    <t>Alessandro Loiola MD</t>
  </si>
  <si>
    <t>1003301201285435392</t>
  </si>
  <si>
    <t>https://pbs.twimg.com/profile_images/1885069553509535744/w1Lr3Ksk_normal.jpg</t>
  </si>
  <si>
    <t>1509804916419747841</t>
  </si>
  <si>
    <t>https://pbs.twimg.com/profile_banners/1003301201285435392/1638454467</t>
  </si>
  <si>
    <t>https://x.com/adahigi/status/1509804916419747841</t>
  </si>
  <si>
    <t>1949973052319535339</t>
  </si>
  <si>
    <t>https://x.com/SaraSaraiv66879/status/1949973052319535339</t>
  </si>
  <si>
    <t>#TDAHADULTO</t>
  </si>
  <si>
    <t>-46.108612,-23.061418</t>
  </si>
  <si>
    <t>São José dos Campos, Brasil</t>
  </si>
  <si>
    <t>1988235516198752688</t>
  </si>
  <si>
    <t>https://x.com/btskidsgirl/status/1988235516198752688</t>
  </si>
  <si>
    <t>eu sou um baby adulto com tdah em um ambiente desfavorável como ser FUNCIONAL</t>
  </si>
  <si>
    <t>SaraSaraiv66879</t>
  </si>
  <si>
    <t>_sarah</t>
  </si>
  <si>
    <t>quem diria que um adulto de 28 anos beija, transa e namora, hein?</t>
  </si>
  <si>
    <t>btskidsgirl</t>
  </si>
  <si>
    <t>1913423206423142400</t>
  </si>
  <si>
    <t>thay's (타이) room ♡</t>
  </si>
  <si>
    <t>1536496136944508931</t>
  </si>
  <si>
    <t>https://pbs.twimg.com/profile_images/1919053379612868609/8VCEWKYV_normal.jpg</t>
  </si>
  <si>
    <t>https://pbs.twimg.com/profile_images/1988221995847204864/YNabSzLd_normal.jpg</t>
  </si>
  <si>
    <t>TDAHADULTO</t>
  </si>
  <si>
    <t>-3.863271,40.429126</t>
  </si>
  <si>
    <t>Pozuelo de Alarcón, Spain</t>
  </si>
  <si>
    <t>1509230216509591559</t>
  </si>
  <si>
    <t>https://x.com/LarahBezerra_/status/1509230216509591559</t>
  </si>
  <si>
    <t>https://pbs.twimg.com/profile_banners/1536496136944508931/1762387199</t>
  </si>
  <si>
    <t>Ultimamente eu tô aguentando tanta coisa que tô até com orgulho de mim, mas tem coisa que eu tenho que admitir que cansa demais! Cansa mesmo, sem exagero, cansa a ponto de faltar o ar! 🥺😣 #tdah #tdahadulto https://t.co/GlX3VfWRJA</t>
  </si>
  <si>
    <t>https://pbs.twimg.com/profile_banners/1913423206423142400/1746373021</t>
  </si>
  <si>
    <t>LarahBezerra_</t>
  </si>
  <si>
    <t>Larah Bezerra</t>
  </si>
  <si>
    <t>https://pbs.twimg.com/profile_images/1159646366982909953/NmzidvP4_normal.jpg</t>
  </si>
  <si>
    <t>1469708387525013511</t>
  </si>
  <si>
    <t>https://x.com/TatagoOspina/status/1469708387525013511</t>
  </si>
  <si>
    <t>https://pbs.twimg.com/profile_banners/2774265712/1554963594</t>
  </si>
  <si>
    <t>1949844628850504064</t>
  </si>
  <si>
    <t>https://x.com/JustLils/status/1949844628850504064</t>
  </si>
  <si>
    <t>Convertirse en adulto es aceptar que ya no vas a tener ropa para el estrén sino que solamente vas a comprar tenis.</t>
  </si>
  <si>
    <t>TatagoOspina</t>
  </si>
  <si>
    <t>Thiago Ospina</t>
  </si>
  <si>
    <t>https://pbs.twimg.com/profile_images/1967732018369708032/4RupxfXM_normal.jpg</t>
  </si>
  <si>
    <t>1507386634102349824</t>
  </si>
  <si>
    <t>https://pbs.twimg.com/profile_banners/191732121/1755584084</t>
  </si>
  <si>
    <t>https://x.com/NeuroMty/status/1507386634102349824</t>
  </si>
  <si>
    <t>Excelente post. Fui diagnosticada con TDAH el año pasado, mientras tanto sufrí las consecuencias de dos o tres diagnósticos equivocados, porque los psiquiatras y médicos no consideran que un adulto pueda ser TDAH. GRACIAS por difundir y acompañar.</t>
  </si>
  <si>
    <t>Algunas características relacionadas la vida laboral y adultos con TDAH. Esta información es obtenida con base a los resultados de los estudios de investigación realizados por Barkley #tdah #tdahadulto https://t.co/TdvYVNFpnj</t>
  </si>
  <si>
    <t>https://www.instagram.com/p/CbiF3bpLYr0/?utm_medium=twitter</t>
  </si>
  <si>
    <t>1949818987014918482</t>
  </si>
  <si>
    <t>AndiCanepa</t>
  </si>
  <si>
    <t>🧡Hoy es el Día de Concientización sobre el TDAH. El Trastorno de Déficit de Atención e Hiperactividad es uno de los más habituales en niños y también en adultos, aunque muchas veces tenemos que escuchar prejuicios o desprestigios.
La falta de formación en nuestros médicos y</t>
  </si>
  <si>
    <t>1504848377749594121</t>
  </si>
  <si>
    <t>https://x.com/NeuroMty/status/1504848377749594121</t>
  </si>
  <si>
    <t>Sexo y TDAH. Esta información es obtenida con base a los resultados de los estudios de investigación realizados por Barkley #tdah #tdahadulto en Neuropsicología Monterrey. Cristina García https://t.co/PH8yFbpbUS</t>
  </si>
  <si>
    <t>Rufisley</t>
  </si>
  <si>
    <t>https://pbs.twimg.com/profile_images/1994450315731505152/4iFAEAT4_normal.png</t>
  </si>
  <si>
    <t>https://www.instagram.com/p/CbQDpgVLOgF/?utm_medium=twitter</t>
  </si>
  <si>
    <t>https://pbs.twimg.com/profile_banners/923007562873802752/1763593172</t>
  </si>
  <si>
    <t>1504498381493841922</t>
  </si>
  <si>
    <t>https://x.com/apnadah/status/1504498381493841922</t>
  </si>
  <si>
    <t>El día 31 de marzo, la Feaasah presenta la primera guía sobre #TDAHadulto
El 2,5% de la población adulta sufre este trastorno, sin duda infradiagnosticado y ninguneado sistemáticamente por nuestro sistema de salud.
@CarolinaDarias
@sanidadgob 
@GVAsanitat 
@anabarcelochico</t>
  </si>
  <si>
    <t>apnadah</t>
  </si>
  <si>
    <t>https://pbs.twimg.com/profile_images/1864701137938419713/rSYj-mMB_normal.jpg</t>
  </si>
  <si>
    <t>https://pbs.twimg.com/profile_banners/3329875162/1743190833</t>
  </si>
  <si>
    <t>1497075217209909248</t>
  </si>
  <si>
    <t>https://x.com/tdtvhn/status/1497075217209909248</t>
  </si>
  <si>
    <t>1948851550874402879</t>
  </si>
  <si>
    <t>https://x.com/rodsalia/status/1948851550874402879</t>
  </si>
  <si>
    <t>Vale más que estamos en horario para adultos.</t>
  </si>
  <si>
    <t>tdtvhn</t>
  </si>
  <si>
    <t>TDTV</t>
  </si>
  <si>
    <t>https://pbs.twimg.com/profile_images/1576700163732787200/czJbg8zD_normal.jpg</t>
  </si>
  <si>
    <t>Já pensei até em 🎗️ justamente pra não ter que lidar com o inferno que é ter isso, mas o pessoal jura que TDAH é só sobre falta de atenção, isso pode prejudicar a tua vida por completo, ainda mais quando você é um adulto.</t>
  </si>
  <si>
    <t>rodsalia</t>
  </si>
  <si>
    <t>Rodrigo</t>
  </si>
  <si>
    <t>https://pbs.twimg.com/profile_images/1948875427054784512/NINrF-Kh_normal.jpg</t>
  </si>
  <si>
    <t>https://pbs.twimg.com/profile_banners/3024435883/1671661565</t>
  </si>
  <si>
    <t>CarolinaDarias,sanidadgob,GVAsanitat,anabarcelochico</t>
  </si>
  <si>
    <t>1501610364638621696</t>
  </si>
  <si>
    <t>https://x.com/HikaruFreeman/status/1501610364638621696</t>
  </si>
  <si>
    <t>https://pbs.twimg.com/profile_banners/827809092/1721683309</t>
  </si>
  <si>
    <t>1778049745916744094</t>
  </si>
  <si>
    <t>https://x.com/bernardogaels/status/1778049745916744094</t>
  </si>
  <si>
    <t>A felicidade é um treino antes do amanhecer em um dia frio de outono! (Com a música de @edmotta naturalmente!!) #maromba #autista #tdahadulto @ City Gym Sydney https://t.co/sqF0Toz11X</t>
  </si>
  <si>
    <t>HikaruFreeman</t>
  </si>
  <si>
    <t>Hikaru Freeman🇺🇦</t>
  </si>
  <si>
    <t>1948744115409031548</t>
  </si>
  <si>
    <t>nahbrisaaaa</t>
  </si>
  <si>
    <t>https://pbs.twimg.com/profile_images/1486440684915929088/Vdd98n-6_normal.jpg</t>
  </si>
  <si>
    <t>vcs ficam achando que tdah é trendzinha de instagram com coisinha engraçada, tdah não é fofo, essa porra atrapalha a vida em vários níveis e gera muito sofrimento pra quem tem
mania de transformar coisa séria em “hype” de rede social 🖕🏽</t>
  </si>
  <si>
    <t>vcs romantizam TDAH até conhecerem alguém que REALMENTE tem tdah, dificuldade de manter contato, socializar, demonstrar emoções, que se isola, se sabota, tem depressão e dificuldade de concluir projetos. aí vocês viram as costas e pegam ranço.</t>
  </si>
  <si>
    <t>bernardogaels</t>
  </si>
  <si>
    <t>gaelzin 🦍</t>
  </si>
  <si>
    <t>https://pbs.twimg.com/profile_images/1919436743993925632/b1LhpjB7_normal.jpg</t>
  </si>
  <si>
    <t>1948817759602876846</t>
  </si>
  <si>
    <t>https://x.com/rusherizando/status/1948817759602876846</t>
  </si>
  <si>
    <t>pra quem adulto que já fez os testes de tea/tdah
a neuro também conversa com vc como se tu tivesse a inteligência de uma criança de 5 anos?</t>
  </si>
  <si>
    <t>https://pbs.twimg.com/profile_banners/52572754/1717277141</t>
  </si>
  <si>
    <t>rusherizando</t>
  </si>
  <si>
    <t>kaah 🍉 binghe's love bot</t>
  </si>
  <si>
    <t>https://pbs.twimg.com/profile_images/1790391141214433281/_x5t7ZCp_normal.jpg</t>
  </si>
  <si>
    <t>https://pbs.twimg.com/profile_banners/36596327/1453622359</t>
  </si>
  <si>
    <t>https://pbs.twimg.com/profile_banners/2869315798/1681357464</t>
  </si>
  <si>
    <t>1484083288859889666</t>
  </si>
  <si>
    <t>https://x.com/mafaldaOpinando/status/1484083288859889666</t>
  </si>
  <si>
    <t>Ser adulto es dormir poco, comer a deshora y tener indigestión o dolor de cabeza una vez al día.</t>
  </si>
  <si>
    <t>mafaldaOpinando</t>
  </si>
  <si>
    <t>a good person</t>
  </si>
  <si>
    <t>https://pbs.twimg.com/profile_images/1756044350876688384/MoMNTGY0_normal.jpg</t>
  </si>
  <si>
    <t>maromba,autista,tdahadulto</t>
  </si>
  <si>
    <t>1947714355455529225</t>
  </si>
  <si>
    <t>https://www.instagram.com/p/Ca5DMX9vIxZ/?utm_medium=twitter</t>
  </si>
  <si>
    <t>https://x.com/yurigiurizatt/status/1947714355455529225</t>
  </si>
  <si>
    <t>https://pbs.twimg.com/profile_banners/67399285/1719522326</t>
  </si>
  <si>
    <t>Opinião impopular: dar tela pra criança e bebês sem supervisão com coisas super estimulantes é coisa de adulto irresponsável, seu filho não é autista ou tem tdah, ele só fica nesse loop de hiper estimulação 8 horas por dia</t>
  </si>
  <si>
    <t>yurigiurizatt</t>
  </si>
  <si>
    <t>yurizin gameplay</t>
  </si>
  <si>
    <t>1567096776238186497</t>
  </si>
  <si>
    <t>https://pbs.twimg.com/profile_images/1782101233672536064/Z9oxtRGC_normal.jpg</t>
  </si>
  <si>
    <t>1916092728598839404</t>
  </si>
  <si>
    <t>https://x.com/pspsicologa/status/1916092728598839404</t>
  </si>
  <si>
    <t>edmotta</t>
  </si>
  <si>
    <t>150.520929,-33.848244</t>
  </si>
  <si>
    <t>Sydney, New South Wales</t>
  </si>
  <si>
    <t>1499397226442870795</t>
  </si>
  <si>
    <t>https://pbs.twimg.com/profile_banners/1567096776238186497/1738554975</t>
  </si>
  <si>
    <t>https://x.com/tdahdescomplica/status/1499397226442870795</t>
  </si>
  <si>
    <t>cpf decorado pra mim é sinônimo de q vc está começando a viver a vida de adulto</t>
  </si>
  <si>
    <t>pspsicologa</t>
  </si>
  <si>
    <t>laura</t>
  </si>
  <si>
    <t>718581671315050496</t>
  </si>
  <si>
    <t>https://pbs.twimg.com/profile_images/1965571493452042240/UEWIYFLW_normal.jpg</t>
  </si>
  <si>
    <t>Volta às aulas de um TDAH!
📚🎒🥪🤣
#tdah #tdahadulto #tdahdescomplicado em CEUB https://t.co/HASqxk0bMl</t>
  </si>
  <si>
    <t>tdahdescomplica</t>
  </si>
  <si>
    <t>Yuri Maia TDAH Descomplicado</t>
  </si>
  <si>
    <t>1355192027483430913</t>
  </si>
  <si>
    <t>https://pbs.twimg.com/profile_images/1598027079156629507/Wod-4pcv_normal.jpg</t>
  </si>
  <si>
    <t>https://pbs.twimg.com/profile_banners/718581671315050496/1595278664</t>
  </si>
  <si>
    <t>1947712066275709131</t>
  </si>
  <si>
    <t>https://x.com/MNutria_/status/1947712066275709131</t>
  </si>
  <si>
    <t>https://pbs.twimg.com/profile_banners/1355192027483430913/1611939762</t>
  </si>
  <si>
    <t>1915850171176636431</t>
  </si>
  <si>
    <t>heecitou</t>
  </si>
  <si>
    <t>entre cpf, rg e cep, qual vc sabe decorado?</t>
  </si>
  <si>
    <t>1941487874853269649</t>
  </si>
  <si>
    <t>El problema de ser un adulto con TDAH, es que ahora tengo dinero para comprarme todo para realizar mis hobbies temporales o cosas de mis hiperfocos.</t>
  </si>
  <si>
    <t>MNutria_</t>
  </si>
  <si>
    <t>https://x.com/lacapital/status/1941487874853269649</t>
  </si>
  <si>
    <t>Iwérama☽</t>
  </si>
  <si>
    <t>https://pbs.twimg.com/profile_images/1962367244236693504/_qga8j9I_normal.jpg</t>
  </si>
  <si>
    <t>https://www.instagram.com/p/CapUxozry6S/?utm_medium=twitter</t>
  </si>
  <si>
    <t>https://pbs.twimg.com/profile_banners/100304774/1503699761</t>
  </si>
  <si>
    <t>Cómo saber si un adulto tiene TDAH: los síntomas que no hay que pasar por alto https://t.co/qfRPsVWBUB</t>
  </si>
  <si>
    <t>lacapital</t>
  </si>
  <si>
    <t>Diario La Capital</t>
  </si>
  <si>
    <t>https://pbs.twimg.com/profile_images/1694155721724538880/B6lUZpHj_normal.jpg</t>
  </si>
  <si>
    <t>1499112927218974721</t>
  </si>
  <si>
    <t>https://pbs.twimg.com/profile_banners/179990537/1718105118</t>
  </si>
  <si>
    <t>https://x.com/HikaruFreeman/status/1499112927218974721</t>
  </si>
  <si>
    <t>1947085820663328776</t>
  </si>
  <si>
    <t>https://x.com/joxortega/status/1947085820663328776</t>
  </si>
  <si>
    <t>Mesmos olhos. Mesmo cérebro. Nova mente. #tdahadulto #autista #maromba @ Virgin Active Australia https://t.co/crmT7AE2G0</t>
  </si>
  <si>
    <t>tdahadulto,autista,maromba</t>
  </si>
  <si>
    <t>https://www.instagram.com/p/CanTfaOheIN/?utm_medium=twitter</t>
  </si>
  <si>
    <t>Lo más nocivo del mundo: Azúcar 
Azúcar ➕ infancia = tdah 
Azúcar ➕ adulto mayor = demencia
Azúcar ➕ dentadura = caries, halitosis 
Azúcar ➕ sueño = insomnio 
Nos merecemos todo lo que nos provocamos. 
Buena suerte…</t>
  </si>
  <si>
    <t>joxortega</t>
  </si>
  <si>
    <t>J⭕️❌</t>
  </si>
  <si>
    <t>https://pbs.twimg.com/profile_images/1920489343354916864/dtkGO758_normal.jpg</t>
  </si>
  <si>
    <t>http://dlvr.it/TLlVL0</t>
  </si>
  <si>
    <t>1986828715053949244</t>
  </si>
  <si>
    <t>https://x.com/tdtbaa2/status/1986828715053949244</t>
  </si>
  <si>
    <t>1498073054685147138</t>
  </si>
  <si>
    <t>https://x.com/dara_coch/status/1498073054685147138</t>
  </si>
  <si>
    <t>https://pbs.twimg.com/profile_banners/130729417/1609994296</t>
  </si>
  <si>
    <t>ahahaha grown adult grown adult grown adult grown adult fat kid</t>
  </si>
  <si>
    <t>tdtbaa2</t>
  </si>
  <si>
    <t>tdtbaa 2</t>
  </si>
  <si>
    <t>966369246799384584</t>
  </si>
  <si>
    <t>https://pbs.twimg.com/profile_images/1358175114223898631/ZNh5Axop_normal.jpg</t>
  </si>
  <si>
    <t>Gracias, somos un equipo que vamos a dar mucha guerra como nuestro nombre indica. Las guerreras de corazón naranja. Nos puedes encontrar  en redes como @labrujulanaranja 
#TDAH #tdahadulto #apoyotdah #acompañamiento #coachingtdah #coachingonline https://t.co/wGJ81MPVG7</t>
  </si>
  <si>
    <t>https://pbs.twimg.com/profile_banners/966369246799384584/1739906796</t>
  </si>
  <si>
    <t>TDAH,tdahadulto,apoyotdah,acompañamiento,coachingtdah,coachingonline</t>
  </si>
  <si>
    <t>https://pbs.twimg.com/ext_tw_video_thumb/1498072995675480070/pu/img/dVIsQYCDCEzMEA25.jpg</t>
  </si>
  <si>
    <t>1946729200204783617</t>
  </si>
  <si>
    <t>https://x.com/Haney447/status/1946729200204783617</t>
  </si>
  <si>
    <t>1986210830573048165</t>
  </si>
  <si>
    <t>hawkinshappen</t>
  </si>
  <si>
    <t>https://t.co/k2RLrvJ1Kc</t>
  </si>
  <si>
    <t>https://video.twimg.com/ext_tw_video/1498072995675480070/pu/vid/640x1136/Fd_q6QXN1NyVd7fX.mp4?tag=12</t>
  </si>
  <si>
    <t>As vezes fico triste por não darem atenção ao TDAH tipo tem gente que se acha um merda a vida toda e só quando adulto descobre que a culpa não é sua vc não consegue ficar quieto um minuto sente vergonha de ir atrás de ajuda porque sente que sua condição não é relevante AGR tô sad</t>
  </si>
  <si>
    <t>Haney447</t>
  </si>
  <si>
    <t>Haney</t>
  </si>
  <si>
    <t>1576341729380388865</t>
  </si>
  <si>
    <t>https://pbs.twimg.com/media/G5BwOVxXAAAs-rE.jpg</t>
  </si>
  <si>
    <t>https://pbs.twimg.com/profile_images/1661493061405351941/5R9nfvif_normal.jpg</t>
  </si>
  <si>
    <t>1494790341672816641</t>
  </si>
  <si>
    <t>1494789428799234053</t>
  </si>
  <si>
    <t>1917631948199190561</t>
  </si>
  <si>
    <t>https://x.com/LevementeND/status/1494790341672816641</t>
  </si>
  <si>
    <t>https://pbs.twimg.com/profile_banners/1576341729380388865/1684965788</t>
  </si>
  <si>
    <t>https://x.com/paularosiska/status/1917631948199190561</t>
  </si>
  <si>
    <t>Eu precisava fazer 2 baldeações no metrô (linha vermelha &amp;gt; azul &amp;gt; lilás). Já fiz esse trajeto várias vezes. Na ida, ok. Na volta consegui vir sentada, curtindo o solzinho na janela. Aí lembrei que meu trajeto era subterrâneo. Tinha esquecido de descer na Sé. TDAH adulto é top!</t>
  </si>
  <si>
    <t>M. P. C. Rivera et all, Trastorno por Déficit de 
Concentración (Sluggish Cognitive Tempo) en la infancia, ¿subtipo o enfermedad diferente al TDAH? A propósito de un caso, 2015
#TDAH #tdahdescomplicado #tdahadulto #mulheresTDAH #TDAHemMulheres #TDAHemmeninas #TCL</t>
  </si>
  <si>
    <t>paularosiska</t>
  </si>
  <si>
    <t>Paula Rosiska</t>
  </si>
  <si>
    <t>https://pbs.twimg.com/profile_images/1931157312443461632/MIg5UmoV_normal.jpg</t>
  </si>
  <si>
    <t>TDAH,tdahdescomplicado,tdahadulto,mulheresTDAH,TDAHemMulheres,TDAHemmeninas,TCL</t>
  </si>
  <si>
    <t>1946620618662658432</t>
  </si>
  <si>
    <t>https://pbs.twimg.com/profile_banners/54440370/1727452281</t>
  </si>
  <si>
    <t>https://x.com/janayaish/status/1946620618662658432</t>
  </si>
  <si>
    <t>1494032717645852673</t>
  </si>
  <si>
    <t>https://x.com/ItziashunelyM/status/1494032717645852673</t>
  </si>
  <si>
    <t>🚨 SALUD | EL AZÚCAR ... 
En el cerebro de un niño se llama #TDAH
En el cerebro de un adulto, DEMENCIA
En los ojos, GLAUCOMA 
En los dientes, CARIES
Durante el sueño, INSOMNIO
En la sangre, DIABETES
El exceso de azúcar en el cuerpo, se llama CÁNCER
_Dra. Rebecca Anderson https://t.co/5ZulPWhtUM</t>
  </si>
  <si>
    <t>Me pasa tanto, que a veces es frustrante.
#dibujodigital #Tdah #TdahAdulto #Depresion #Ansiedad https://t.co/ZjhdtqrJRK</t>
  </si>
  <si>
    <t>janayaish</t>
  </si>
  <si>
    <t>ItziashunelyM</t>
  </si>
  <si>
    <t>Gloria Restrepo</t>
  </si>
  <si>
    <t>Itziashunely✨🌺🌼☀️</t>
  </si>
  <si>
    <t>1246983425535459338</t>
  </si>
  <si>
    <t>https://pbs.twimg.com/profile_images/1743139515986780160/CFlozXPN_normal.jpg</t>
  </si>
  <si>
    <t>https://pbs.twimg.com/profile_images/1405765160535396354/iaUfUdi5_normal.jpg</t>
  </si>
  <si>
    <t>1455494475523006469</t>
  </si>
  <si>
    <t>1455199915253108743</t>
  </si>
  <si>
    <t>https://x.com/kamelote16/status/1455494475523006469</t>
  </si>
  <si>
    <t>@intyouag O pior de tdo é vc se sentir adolescente, sua amiga da msm idade se achar uma jovem adulta, e a outra amiga, da msm idade tbm, se achar uma adulta madura</t>
  </si>
  <si>
    <t>kamelote16</t>
  </si>
  <si>
    <t>https://pbs.twimg.com/profile_banners/154587150/1690861321</t>
  </si>
  <si>
    <t>https://pbs.twimg.com/profile_banners/1246983425535459338/1613818408</t>
  </si>
  <si>
    <t>Kamy Barbie Artista 🦦</t>
  </si>
  <si>
    <t>1092905580979732481</t>
  </si>
  <si>
    <t>https://pbs.twimg.com/profile_images/1976414889963819009/qIkQjImR_normal.jpg</t>
  </si>
  <si>
    <t>https://pbs.twimg.com/profile_banners/1092905580979732481/1760049003</t>
  </si>
  <si>
    <t>1946615439804518509</t>
  </si>
  <si>
    <t>Alerabineno</t>
  </si>
  <si>
    <t>"يُطلق على السكر في دماغ الطفل اسم اضطراب فرط الحركة ونقص الانتباه. ويُطلق على السكر في دماغ البالغين اسم الخرف. ويُطلق على السكر في عينيك اسم الجلوكوما. ويُطلق على السكر في أسنانك اسم التسوس. ويُطلق على السكر في نومك اسم الأرق. ويُطلق على السكر في دمك اسم داء السكري. ويُطلق على</t>
  </si>
  <si>
    <t>dibujodigital,Tdah,TdahAdulto,Depresion,Ansiedad</t>
  </si>
  <si>
    <t>https://pbs.twimg.com/media/FLve1seVcAUmEDt.png</t>
  </si>
  <si>
    <t>https://pbs.twimg.com/media/GwPI82gXwAAg2KX.jpg</t>
  </si>
  <si>
    <t>melzzello</t>
  </si>
  <si>
    <t>1987698749720739977</t>
  </si>
  <si>
    <t>https://x.com/PISTANTROFOB1A/status/1987698749720739977</t>
  </si>
  <si>
    <t>1946300165595279681</t>
  </si>
  <si>
    <t>1946296361009168392</t>
  </si>
  <si>
    <t>https://x.com/souzx69/status/1946300165595279681</t>
  </si>
  <si>
    <t>no se como pero me va bien academicamente aunque no me esfuerce mucho y tenga una concentración de mierda pero siempre me mata pensar que podria rendir muchisimo mas si no tuviese tdah</t>
  </si>
  <si>
    <t>PISTANTROFOB1A</t>
  </si>
  <si>
    <t>☭</t>
  </si>
  <si>
    <t>1486425114551980044</t>
  </si>
  <si>
    <t>1878662472598716416</t>
  </si>
  <si>
    <t>https://pbs.twimg.com/profile_images/1988770649683189760/OrKAtDxe_normal.jpg</t>
  </si>
  <si>
    <t>https://x.com/16enconducTDAH/status/1486425114551980044</t>
  </si>
  <si>
    <t>@vargismoo so tdah e ansiedade (?) o combo de qualquer jovem adulto em 2025 https://t.co/5btTx3w4b8</t>
  </si>
  <si>
    <t>souzx69</t>
  </si>
  <si>
    <t>ka</t>
  </si>
  <si>
    <t>1642843309881057285</t>
  </si>
  <si>
    <t>https://pbs.twimg.com/profile_images/1944868933225295872/AL_gthCT_normal.jpg</t>
  </si>
  <si>
    <t>Overthinking overthinking
Pensar demasiado el pensar demasiado
#TDAH #tdahadulto #adhd #adultadhd https://t.co/u5Asl2zeiV</t>
  </si>
  <si>
    <t>16enconducTDAH</t>
  </si>
  <si>
    <t>https://pbs.twimg.com/profile_banners/1878662472598716416/1760833980</t>
  </si>
  <si>
    <t>majo 🇵🇪 cómics de tdah</t>
  </si>
  <si>
    <t>1270360276144193542</t>
  </si>
  <si>
    <t>https://pbs.twimg.com/profile_images/1435716799484645377/WxN_NQ7D_normal.jpg</t>
  </si>
  <si>
    <t>https://pbs.twimg.com/profile_banners/1642843309881057285/1707677846</t>
  </si>
  <si>
    <t>https://pbs.twimg.com/profile_banners/1270360276144193542/1631137670</t>
  </si>
  <si>
    <t>1909305870439141859</t>
  </si>
  <si>
    <t>https://x.com/JoceLaucha/status/1909305870439141859</t>
  </si>
  <si>
    <t>Tengo 42 años y llevo recién 2 tratándome el TDAH, he pasado la vida compensando para intentar ser funcional.
Cualquiera que tenga TDAH sabe que vivir con el trastorno es complejo, como pa además tener que aguantar insultos a causa de, como si fuera una wea que uno pudiese elegir</t>
  </si>
  <si>
    <t>cy</t>
  </si>
  <si>
    <t>JoceLaucha</t>
  </si>
  <si>
    <t>vargismoo</t>
  </si>
  <si>
    <t>Laucha Lupe 🍉</t>
  </si>
  <si>
    <t>https://pbs.twimg.com/profile_images/1987522866254856192/32FfAj86_normal.jpg</t>
  </si>
  <si>
    <t>https://pbs.twimg.com/media/GwKlrypWoAAYkHm.jpg</t>
  </si>
  <si>
    <t>TDAH,tdahadulto,adhd,adultadhd</t>
  </si>
  <si>
    <t>https://pbs.twimg.com/media/FKDXvv0XsAUIXuQ.jpg</t>
  </si>
  <si>
    <t>https://pbs.twimg.com/profile_banners/108517775/1678407520</t>
  </si>
  <si>
    <t>1946181931734868275</t>
  </si>
  <si>
    <t>1486327300736102404</t>
  </si>
  <si>
    <t>https://x.com/GabrieleProbio/status/1946181931734868275</t>
  </si>
  <si>
    <t>https://x.com/CarlosAlmada/status/1486327300736102404</t>
  </si>
  <si>
    <t>-70.659426,-33.405859</t>
  </si>
  <si>
    <t>Recoleta, Chile</t>
  </si>
  <si>
    <t>1358065740327354370</t>
  </si>
  <si>
    <t>“Ain pq remédio pra tdah é anfetamina legalizada” 
9:14 já tomei café da manhã, tô com roupa pra ir pra academia que não vou a dias e já coloquei roupa pra lavar que tava esquecendo e procrastinando 🥰
Deus me livre um remédio que me faz ser um adulto funcional</t>
  </si>
  <si>
    <t>https://x.com/TriboTDAH/status/1358065740327354370</t>
  </si>
  <si>
    <t>A votação para o próximo vídeo no YouYube (https://t.co/SmwtQRK818) já está aberta no Instagram @CarlosAlmada. Vota lá!
#tdah #adultotdah #tdahadulto #psicologia #ansiedade #depressão</t>
  </si>
  <si>
    <t>GabrieleProbio</t>
  </si>
  <si>
    <t>Gabriele Probio</t>
  </si>
  <si>
    <t>https://pbs.twimg.com/profile_images/1972447941089492992/N_sVylsH_normal.jpg</t>
  </si>
  <si>
    <t>VOCÊ SENTE MUITA PRESSÃO PARA SER IGUAL AOS NEUROTÍPICOS?
O TDAH é um transtorno mental, comprovado pela Organização Mundial de Saúde na Classificação Internacional de Doenças e Problemas Relacionados à Saúde (CID-11) no grupo de transtornos de neurodesenvolvimento, com o TEA. https://t.co/IG5d9RXQzz</t>
  </si>
  <si>
    <t>tdah,adultotdah,tdahadulto,psicologia,ansiedade,depressão</t>
  </si>
  <si>
    <t>https://youtube.com.br/carlosalmadapsi</t>
  </si>
  <si>
    <t>https://pbs.twimg.com/profile_banners/4520965702/1764201008</t>
  </si>
  <si>
    <t>https://pbs.twimg.com/media/EtjRltDXMAE6Gpk.jpg</t>
  </si>
  <si>
    <t>-51.249386,-29.915337</t>
  </si>
  <si>
    <t>Canoas, Brasil</t>
  </si>
  <si>
    <t>1484023064329347076</t>
  </si>
  <si>
    <t>https://x.com/TdahDesde/status/1484023064329347076</t>
  </si>
  <si>
    <t>1946158975491178772</t>
  </si>
  <si>
    <t>https://x.com/N1k3eck/status/1946158975491178772</t>
  </si>
  <si>
    <t>E só lembrar das brusinha quando estiver estendendo roupas no varal novo...
#TDAH 
#tdahadulto https://t.co/Vg10ph8Som</t>
  </si>
  <si>
    <t>TdahDesde</t>
  </si>
  <si>
    <t>TDAH desde criancinha</t>
  </si>
  <si>
    <t>1473113118901428235</t>
  </si>
  <si>
    <t>https://pbs.twimg.com/profile_images/1478167360435634176/OzqxVgjd_normal.jpg</t>
  </si>
  <si>
    <t>SUS eu já te amo, mas bem que você poderia ter uns testes de tdah e autismo pra adulto né
Imagina tu ter tudo o que precisa no SUS, sem sucateamento do sistema?! Que sonho meus amigos, que sonho</t>
  </si>
  <si>
    <t>N1k3eck</t>
  </si>
  <si>
    <t>🦇 Morcega CLT 🦇</t>
  </si>
  <si>
    <t>842930601929986048</t>
  </si>
  <si>
    <t>https://pbs.twimg.com/profile_images/1909397222426300416/Q0Gg6qt2_normal.jpg</t>
  </si>
  <si>
    <t>1489296035528814604</t>
  </si>
  <si>
    <t>1489296031393239046</t>
  </si>
  <si>
    <t>https://x.com/TriboTDAH/status/1489296035528814604</t>
  </si>
  <si>
    <t>https://pbs.twimg.com/profile_banners/1473113118901428235/1642721414</t>
  </si>
  <si>
    <t>TDAH não é “falta de força de vontade” ou “só de criança”
TDAHs pode ter diploma e até pós-doutorado, porque transtorno NÃO afeta grau de escolaridade (por mais que possa tornar estudos difíceis dependendo do caso)
TDAHs podem ter QI acima ou abaixo da média, como qualquer um.</t>
  </si>
  <si>
    <t>https://pbs.twimg.com/profile_banners/842930601929986048/1744070747</t>
  </si>
  <si>
    <t>1986483287116669352</t>
  </si>
  <si>
    <t>https://x.com/Taco_the_Train/status/1986483287116669352</t>
  </si>
  <si>
    <t>https://pbs.twimg.com/media/FJhPHLVWQAEItkV.jpg</t>
  </si>
  <si>
    <t>Why are we stopping at 12? Adult is 18. Kill them all.</t>
  </si>
  <si>
    <t>Taco_the_Train</t>
  </si>
  <si>
    <t>🍁Taco the Train ᐰ🍁</t>
  </si>
  <si>
    <t>1709530067678777344</t>
  </si>
  <si>
    <t>https://pbs.twimg.com/profile_images/1984633551837372416/RMEVT6is_normal.jpg</t>
  </si>
  <si>
    <t>1945903142446469493</t>
  </si>
  <si>
    <t>https://x.com/chuck_guns/status/1945903142446469493</t>
  </si>
  <si>
    <t>1484020083806584837</t>
  </si>
  <si>
    <t>https://x.com/TdahDesde/status/1484020083806584837</t>
  </si>
  <si>
    <t>https://pbs.twimg.com/profile_banners/1709530067678777344/1759179982</t>
  </si>
  <si>
    <t>No, Santi: un (a veces pseudo) diagnóstico de TDAH ni es motivo de orgullo ni una personalidad.
Y lidiar con personas con TDAH es una friega: no te puedes confiar ni tampoco culparlos, así que es solo es doble carga de decisiones y labores de adulto.</t>
  </si>
  <si>
    <t>chuck_guns</t>
  </si>
  <si>
    <t>Cthulck | X-Æck Ghuns-XII</t>
  </si>
  <si>
    <t>#tda
#tdah
#tdahadulto https://t.co/OPRkxsUQ6V</t>
  </si>
  <si>
    <t>https://pbs.twimg.com/profile_images/1151965975165722636/BuPTvAC__normal.jpg</t>
  </si>
  <si>
    <t>1986460425890759073</t>
  </si>
  <si>
    <t>LeadingReport</t>
  </si>
  <si>
    <t>New Florida law allows de-th penalty for adults who r-pe children under 12. https://t.co/HbzDjiGLyr</t>
  </si>
  <si>
    <t>tda,tdah,tdahadulto</t>
  </si>
  <si>
    <t>https://pbs.twimg.com/media/G5FTOtkWwAAT21l.jpg</t>
  </si>
  <si>
    <t>https://pbs.twimg.com/media/FJhMZteXoAcu35y.jpg</t>
  </si>
  <si>
    <t>https://pbs.twimg.com/profile_banners/2779168662/1445295651</t>
  </si>
  <si>
    <t>1987878446538608940</t>
  </si>
  <si>
    <t>1987668898129322394</t>
  </si>
  <si>
    <t>1483852235712962566</t>
  </si>
  <si>
    <t>https://x.com/schwartz_rafael/status/1987878446538608940</t>
  </si>
  <si>
    <t>https://x.com/CarlosAlmada/status/1483852235712962566</t>
  </si>
  <si>
    <t>1945901035022651430</t>
  </si>
  <si>
    <t>Las manías y trastornos mentales.</t>
  </si>
  <si>
    <t>@FIGHTZINCLUB Mas isso não se aplica apenas às mulheres. Tem uma legião de "adultóides" com mais de 30 anos que vivem como se tivessem 18.
Homens e mulheres estão se deixando infantilizar a um ponto antinatural, muito por conta dos seus pais que tratam filhos adultos como fossem adolescentes.</t>
  </si>
  <si>
    <t>schwartz_rafael</t>
  </si>
  <si>
    <t>É o piloto-automático do #TDAH assumindo o controle em momentos de tensão. não é por mal, simplesmente não vimos/prestamos atenção.
#adultotdah #tdahadulto #bbb</t>
  </si>
  <si>
    <t>Rafael Schwartz</t>
  </si>
  <si>
    <t>https://pbs.twimg.com/profile_images/1319258985925611523/hF1XcVAF_normal.jpg</t>
  </si>
  <si>
    <t>1483625616515735563</t>
  </si>
  <si>
    <t>thylemoos</t>
  </si>
  <si>
    <t>Vai começar a prova no bbb https://t.co/LPiGo9doa0</t>
  </si>
  <si>
    <t>https://pbs.twimg.com/ext_tw_video_thumb/1360287696623702018/pu/img/6tNOEJo3qGujxYVa.jpg</t>
  </si>
  <si>
    <t>https://pbs.twimg.com/profile_banners/636680715/1603371179</t>
  </si>
  <si>
    <t>TDAH,adultotdah,tdahadulto,bbb</t>
  </si>
  <si>
    <t>1483159225396310025</t>
  </si>
  <si>
    <t>1857396404215238946</t>
  </si>
  <si>
    <t>https://x.com/HikaruFreeman/status/1483159225396310025</t>
  </si>
  <si>
    <t>https://x.com/otempo/status/1857396404215238946</t>
  </si>
  <si>
    <t>As Senhoras Dopamina e Serotonina, por favor vêm aqui. Não gosto desse sensação de planalto. #marombeiro #tdahadulto @ Virgin Active Australia https://t.co/LA2flaXtaR</t>
  </si>
  <si>
    <t>Vale a pena ir atrás do diagnóstico de TDAH depois de adulto? - Viva com Saúde - EP 235
Transtorno crônico afeta cerca de 3% da população adulta
https://t.co/O5mcvSMiQh</t>
  </si>
  <si>
    <t>otempo</t>
  </si>
  <si>
    <t>O TEMPO</t>
  </si>
  <si>
    <t>https://pbs.twimg.com/profile_images/1623114146458791936/N7peJ_jC_normal.jpg</t>
  </si>
  <si>
    <t>marombeiro,tdahadulto</t>
  </si>
  <si>
    <t>https://www.instagram.com/p/CY18lqrhlmb/?utm_medium=twitter</t>
  </si>
  <si>
    <t>https://pbs.twimg.com/profile_banners/29274419/1756741736</t>
  </si>
  <si>
    <t>1945702968784773454</t>
  </si>
  <si>
    <t>https://x.com/bolouco_10/status/1945702968784773454</t>
  </si>
  <si>
    <t>Eu juro q o próximo jovem adulto q eu ver se distraindo por 1 sec na conversa e voltar ao foco se desculpando por ter TDAH eu dou um murro na boca pra nunca mais falar merda pqp</t>
  </si>
  <si>
    <t>bolouco_10</t>
  </si>
  <si>
    <t>felps</t>
  </si>
  <si>
    <t>1534132482139996162</t>
  </si>
  <si>
    <t>1481381927785570311</t>
  </si>
  <si>
    <t>https://pbs.twimg.com/profile_images/1953317477611405312/Jz3_yhC-_normal.jpg</t>
  </si>
  <si>
    <t>https://www.otempo.com.br/canal-o-tempo/podcasts/viva-com-saude/2024/11/15/vale-a-pena-ir-atras-do-diagnostico-de-tdah-depois-de-adulto----</t>
  </si>
  <si>
    <t>https://x.com/otakucomtdah/status/1481381927785570311</t>
  </si>
  <si>
    <t>Eu pego o celular para ver alguma coisa e quando percebo estou fazendo outras coisas. Esse é um dos motivos de ainda comprar agenda em vez de usar o celular...
#tdahadulto</t>
  </si>
  <si>
    <t>otakucomtdah</t>
  </si>
  <si>
    <t>Otaku com TDAH 🌹</t>
  </si>
  <si>
    <t>https://pbs.twimg.com/profile_banners/1534132482139996162/1742419750</t>
  </si>
  <si>
    <t>1476423637624311809</t>
  </si>
  <si>
    <t>https://pbs.twimg.com/profile_images/1478152150584901637/O4PE2i_q_normal.jpg</t>
  </si>
  <si>
    <t>1988319759017050608</t>
  </si>
  <si>
    <t>1987956703963340969</t>
  </si>
  <si>
    <t>https://x.com/creaptives/status/1988319759017050608</t>
  </si>
  <si>
    <t>https://pbs.twimg.com/profile_banners/1476423637624311809/1640843402</t>
  </si>
  <si>
    <t>@tejatintada NO ME DIGAS QUE LO SOY, yo que me las doy de adulto mayor. 😔☝🏻</t>
  </si>
  <si>
    <t>1945646562375250373</t>
  </si>
  <si>
    <t>creaptives</t>
  </si>
  <si>
    <t>1945645823661932876</t>
  </si>
  <si>
    <t>dominique,</t>
  </si>
  <si>
    <t>https://pbs.twimg.com/profile_images/1988788011383873536/aA5LzjAr_normal.jpg</t>
  </si>
  <si>
    <t>https://x.com/wtfn4ti/status/1945646562375250373</t>
  </si>
  <si>
    <t>serio de vdd, todo mundo tem tdah ate entrar no quarto de uma pessoa q realmente tem e se deparar com o maior lixao do universo a ceu aberto e ela “vivendo naquilo”
ou até ver um tdah em surto por não conseguir ser um adulto funcional sem a porra de um passo a passo</t>
  </si>
  <si>
    <t>wtfn4ti</t>
  </si>
  <si>
    <t>to passando por um rebrandig</t>
  </si>
  <si>
    <t>https://pbs.twimg.com/profile_banners/1957980056606720000/1762393646</t>
  </si>
  <si>
    <t>https://pbs.twimg.com/profile_images/1965494764544970752/pxKQSKne_normal.jpg</t>
  </si>
  <si>
    <t>1478987892353650688</t>
  </si>
  <si>
    <t>1478987886389309440</t>
  </si>
  <si>
    <t>https://x.com/TdahDesde/status/1478987892353650688</t>
  </si>
  <si>
    <t>Mas, TDAH é hype, é modinha, é ter super poderes, é frescura, né FDP?!
Vai ler o caso do Phineas Gage antes de vir falar merda. Vai ler revista científica e pesquisa seria!
Sem paciência pra gente ignorante e oportunista.
#TDAH
#tdahadulto
#TDAEducation</t>
  </si>
  <si>
    <t>tejatintada</t>
  </si>
  <si>
    <t>https://pbs.twimg.com/profile_banners/262827611/1670401524</t>
  </si>
  <si>
    <t>1987571048485617802</t>
  </si>
  <si>
    <t>https://x.com/maarlea_/status/1987571048485617802</t>
  </si>
  <si>
    <t>TDAH,tdahadulto,TDAEducation</t>
  </si>
  <si>
    <t>off topic pero pq a mi me cuesta 40€ la del tdah aún con descuento, ayudas y toda la paranoia 😭😭</t>
  </si>
  <si>
    <t>maarlea_</t>
  </si>
  <si>
    <t>1476607859928489995</t>
  </si>
  <si>
    <t>꒰ᐢ. .ᐢ꒱₊˚⊹ ꩇׁׅ݊ɑׁׅ֮ꭈׁׅ</t>
  </si>
  <si>
    <t>1447347737591173126</t>
  </si>
  <si>
    <t>https://pbs.twimg.com/profile_images/1965190200050479104/ZFmSCSqM_normal.jpg</t>
  </si>
  <si>
    <t>https://x.com/shikomattos/status/1476607859928489995</t>
  </si>
  <si>
    <t>1945528993291096377</t>
  </si>
  <si>
    <t>1945215045673026025</t>
  </si>
  <si>
    <t>https://x.com/Thundersky_AH/status/1945528993291096377</t>
  </si>
  <si>
    <t>Precisa de ajuda! Contatos no perfil! #tdah #hiperatividade #tdahadulto https://t.co/FCQJp3jRdM</t>
  </si>
  <si>
    <t>shikomattos</t>
  </si>
  <si>
    <t>Psi Francisco Matos</t>
  </si>
  <si>
    <t>https://pbs.twimg.com/profile_banners/1447347737591173126/1732934483</t>
  </si>
  <si>
    <t>https://pbs.twimg.com/profile_images/1387134343/a_normal.jpg</t>
  </si>
  <si>
    <t>@roebuckputellas @Macas0325 Si amigo yo lo se pq me diagnosticaron TDAH de adulto. Es un sufrir para mi el tener que socializar y que todo mundo se queje de tus comportamientos. El ver esos videos me incomoda mas que ayudar xd</t>
  </si>
  <si>
    <t>Thundersky_AH</t>
  </si>
  <si>
    <t>DeadInside3000</t>
  </si>
  <si>
    <t>https://pbs.twimg.com/profile_images/1778504862138851328/Tg9wlCCw_normal.jpg</t>
  </si>
  <si>
    <t>tdah,hiperatividade,tdahadulto</t>
  </si>
  <si>
    <t>1986866519868125289</t>
  </si>
  <si>
    <t>https://www.instagram.com/p/CYHZX-mlwjz/?utm_medium=twitter</t>
  </si>
  <si>
    <t>colorines0</t>
  </si>
  <si>
    <t>Mis medicinas cuestan 1136,38€ 
Gracias a la sanidad pública he pagado 18,16€
Quienes apoyáis con el voto la degradación de la #SanidadPública  sois completamente gilipollas https://t.co/OImDQMyeX4</t>
  </si>
  <si>
    <t>https://pbs.twimg.com/media/G5LEkA3WAAAJbnk.jpg</t>
  </si>
  <si>
    <t>https://pbs.twimg.com/profile_banners/104612130/1706809305</t>
  </si>
  <si>
    <t>1979672008029036821</t>
  </si>
  <si>
    <t>1476607370834976773</t>
  </si>
  <si>
    <t>https://x.com/crepch/status/1979672008029036821</t>
  </si>
  <si>
    <t>https://x.com/shikomattos/status/1476607370834976773</t>
  </si>
  <si>
    <t>roebuckputellas</t>
  </si>
  <si>
    <t>Macas0325</t>
  </si>
  <si>
    <t>1945522700094517269</t>
  </si>
  <si>
    <t>Ser pareja en este tiempo. 
📱Citas 55 19 15 30 15
#terapiamultisensorialsimbólica #terapia
#autismo #depresión #ansiedades #tdah #conducta #adulto #adolescentes #problemasdelenguaje #Psicologia #terapiapsicologica #terapiaenlínea #terapiadepareja #tdaa #cdmx #FelizSábado https://t.co/GDJnyGmzcP</t>
  </si>
  <si>
    <t>1945471709873590373</t>
  </si>
  <si>
    <t>https://x.com/ThyagooMago/status/1945522700094517269</t>
  </si>
  <si>
    <t>Precisa de ajuda! Contatos no perfil! #tdah #hiperatividade #tdahadulto https://t.co/XHtzh693p0</t>
  </si>
  <si>
    <t>terapiamultisensorialsimbólica,terapia,autismo,depresión,ansiedades,tdah,conducta,adulto,adolescentes,problemasdelenguaje,Psicologia,terapiapsicologica,terapiaenlínea,terapiadepareja,tdaa,cdmx,FelizSábado</t>
  </si>
  <si>
    <t>https://pbs.twimg.com/media/G3k1MyQXAAEtDHs.jpg</t>
  </si>
  <si>
    <t>@SuperCareca_ @FuriaeTradicao E completando: fui diagnosticado com TDAH depois de adulto.</t>
  </si>
  <si>
    <t>ThyagooMago</t>
  </si>
  <si>
    <t>✡ Thyago, o Mago 🧙🏽‍♂️</t>
  </si>
  <si>
    <t>1492291242507616257</t>
  </si>
  <si>
    <t>https://pbs.twimg.com/profile_images/1979779843639099392/NsT2-ZwT_normal.jpg</t>
  </si>
  <si>
    <t>https://www.instagram.com/p/CYHZJsjl92X/?utm_medium=twitter</t>
  </si>
  <si>
    <t>1988777528409092522</t>
  </si>
  <si>
    <t>1988274857759699435</t>
  </si>
  <si>
    <t>https://x.com/anahipagodeira/status/1988777528409092522</t>
  </si>
  <si>
    <t>https://pbs.twimg.com/profile_banners/1492291242507616257/1679624475</t>
  </si>
  <si>
    <t>1466446340573982727</t>
  </si>
  <si>
    <t>@arauj_thaisx @ttdaclarota passada viu como somos motivadora de adultério de homem adulto kakkakakakk</t>
  </si>
  <si>
    <t>anahipagodeira</t>
  </si>
  <si>
    <t>anahi pagodeira</t>
  </si>
  <si>
    <t>1526327497343877123</t>
  </si>
  <si>
    <t>https://x.com/holatdah/status/1466446340573982727</t>
  </si>
  <si>
    <t>https://pbs.twimg.com/profile_images/1903439454842609664/ks47Tc1E_normal.jpg</t>
  </si>
  <si>
    <t>"El TDAH aminora en la edad adulta" 
Los adultos con TDAH que conozco: se puso peor. 
#tdah #adhd #tdahadulto</t>
  </si>
  <si>
    <t>https://pbs.twimg.com/profile_banners/1526327497343877123/1660654283</t>
  </si>
  <si>
    <t>SuperCareca_,FuriaeTradicao</t>
  </si>
  <si>
    <t>1944580964753285271</t>
  </si>
  <si>
    <t>https://x.com/terapiaconrazon/status/1944580964753285271</t>
  </si>
  <si>
    <t>tdah,adhd,tdahadulto</t>
  </si>
  <si>
    <t>1462392735164518400</t>
  </si>
  <si>
    <t>https://x.com/Vero_Berenice/status/1462392735164518400</t>
  </si>
  <si>
    <t>¿cómo es ser adulto con TDAH? ✍🏻
https://t.co/TiBVYicZ5V</t>
  </si>
  <si>
    <t>terapiaconrazon</t>
  </si>
  <si>
    <t>Terapia con razón</t>
  </si>
  <si>
    <t>1767199586068684800</t>
  </si>
  <si>
    <t>https://pbs.twimg.com/profile_images/1914675922847801344/0plo2_Kx_normal.jpg</t>
  </si>
  <si>
    <t>arauj_thaisx</t>
  </si>
  <si>
    <t>arauj_thaisx,ttdaclarota</t>
  </si>
  <si>
    <t>1597954299287347200</t>
  </si>
  <si>
    <t>TDAH y otras sustancias
#tdah #tdahadulto #tiktok https://t.co/NSqgV5BNX4</t>
  </si>
  <si>
    <t>Vero_Berenice</t>
  </si>
  <si>
    <t>Verónica Martín</t>
  </si>
  <si>
    <t>https://pbs.twimg.com/profile_images/1451695678875488258/cPTQAbHm_normal.jpg</t>
  </si>
  <si>
    <t>https://x.com/DrSylveonPsyq/status/1597954299287347200</t>
  </si>
  <si>
    <t>https://pbs.twimg.com/profile_banners/1767199586068684800/1750808971</t>
  </si>
  <si>
    <t>Hoy es miércoles de Hilo 🧵… y que mejor que seguir con TDAH y hoy hablaremos de mis temas… 
“Sexualidad en los adultos con TDAH”
En la psiquiatría de la sexualidad y género, es común tratar con pacientes por algo sexual y que se dé por primera vez el diagnóstico de tdah.</t>
  </si>
  <si>
    <t>https://pbs.twimg.com/profile_banners/303479496/1634946552</t>
  </si>
  <si>
    <t>1905726986246557771</t>
  </si>
  <si>
    <t>https://terapiaconrazon.com/adultos-con-deficit-atencional/</t>
  </si>
  <si>
    <t>https://x.com/Magnus_El_Rojo/status/1905726986246557771</t>
  </si>
  <si>
    <t>tdah,tdahadulto,tiktok</t>
  </si>
  <si>
    <t>https://www.instagram.com/p/CWiY31oPEz2tAgwStddSH_slzfIdki_Mt8IY-Y0/?utm_medium=twitter</t>
  </si>
  <si>
    <t>Mi valoracion al video. 
El TDAH es un trastorno difícil de controlar sin ayuda psiquiátrica. En primaria y secundaria se debe ayudar a paliar esto
Por otro lado, si eres un adulto y necesitas que te adapten todo al TDAH, quizas el problema es que no sabes valerte por ti mismo</t>
  </si>
  <si>
    <t>Magnus_El_Rojo</t>
  </si>
  <si>
    <t>Historia del Combate</t>
  </si>
  <si>
    <t>1226467615037677568</t>
  </si>
  <si>
    <t>https://pbs.twimg.com/profile_images/1813280268611973124/CtR67BlK_normal.jpg</t>
  </si>
  <si>
    <t>1944260313110495367</t>
  </si>
  <si>
    <t>1944017638344011991</t>
  </si>
  <si>
    <t>https://pbs.twimg.com/profile_banners/1226467615037677568/1714319557</t>
  </si>
  <si>
    <t>https://x.com/DnAlexMiguel/status/1944260313110495367</t>
  </si>
  <si>
    <t>https://x.com/NEURAdivergente/status/1461415845263986689</t>
  </si>
  <si>
    <t>@Nico__________9 Trastorno obsesivo compulsivo, el trastorno límite de personalidad e incluso un subtipo de TDAH del adulto (aunque parezca paradójico). 
En cuanto al enamoramiento, puede analizarse clínicamente como un estado psicótico funcional.
Ya sé, da risa. 🤷🏻‍♂️</t>
  </si>
  <si>
    <t>NEURAdivergente ⚡️</t>
  </si>
  <si>
    <t>DnAlexMiguel</t>
  </si>
  <si>
    <t>1405630571066298374</t>
  </si>
  <si>
    <t>Alex Miguel</t>
  </si>
  <si>
    <t>https://pbs.twimg.com/profile_images/1463835793752039424/pFi-XOJA_normal.jpg</t>
  </si>
  <si>
    <t>https://pbs.twimg.com/profile_images/1877291708758515712/avksuhct_normal.jpg</t>
  </si>
  <si>
    <t>1905352385968386412</t>
  </si>
  <si>
    <t>vitosantanar</t>
  </si>
  <si>
    <t>Ésta reconozco que no la vi venir, Narcisistas mediocres utilizando la moda del TDAH para someter al profesorado. https://t.co/KyKNKlag6F</t>
  </si>
  <si>
    <t>https://pbs.twimg.com/ext_tw_video_thumb/1905352283488989184/pu/img/mS6rtplmwhleYbW9.jpg</t>
  </si>
  <si>
    <t>https://pbs.twimg.com/profile_banners/167833631/1722221909</t>
  </si>
  <si>
    <t>https://pbs.twimg.com/profile_banners/1405630571066298374/1635160055</t>
  </si>
  <si>
    <t>1262711111159296000</t>
  </si>
  <si>
    <t>1262705214882283521</t>
  </si>
  <si>
    <t>https://x.com/tannybaldez/status/1262711111159296000</t>
  </si>
  <si>
    <t>@zeldaironia E quando estiverem adultas...vao ser adultas problemáticas, como se ver vários casos(drogas,alcool).Por isso tudo no seu tempo! P.S CADE O CONSELHO TUTELAR????</t>
  </si>
  <si>
    <t>tannybaldez</t>
  </si>
  <si>
    <t>💋tAnNy bAldEz 💋</t>
  </si>
  <si>
    <t>https://pbs.twimg.com/profile_images/1726396566125043712/rEnF7jAx_normal.jpg</t>
  </si>
  <si>
    <t>Nico__________9</t>
  </si>
  <si>
    <t>TDAH,TDAHadulto,SaludMental,éxito</t>
  </si>
  <si>
    <t>1944045403806015578</t>
  </si>
  <si>
    <t>1943404479140802748</t>
  </si>
  <si>
    <t>1461404330733543426</t>
  </si>
  <si>
    <t>https://x.com/SofiML05/status/1944045403806015578</t>
  </si>
  <si>
    <t>https://x.com/cmmenna/status/1461404330733543426</t>
  </si>
  <si>
    <t>https://pbs.twimg.com/profile_banners/248289462/1467314116</t>
  </si>
  <si>
    <t>Eu nunca consigo ficar em pé por tempo suficiente pra me recompor. Eu não aguento mais.
#tdah #tdahadulto #depressão #ansiedade #lutadeclasses #fome https://t.co/Oq3KP2NQcQ</t>
  </si>
  <si>
    <t>@jorgepenafielc Que indignante leer este tipo de cosas, la ignorancia es grande, los niños o adultos con TDAH son mucho más inteligentes que un niño o adulto  "normal" hay que ser ignorante en el tema como para emitir esos comentarios.</t>
  </si>
  <si>
    <t>cmmenna</t>
  </si>
  <si>
    <t>SofiML05</t>
  </si>
  <si>
    <t>Cristian Menna</t>
  </si>
  <si>
    <t>Sofía Merchán</t>
  </si>
  <si>
    <t>1679529996342157319</t>
  </si>
  <si>
    <t>https://pbs.twimg.com/profile_images/1374762365510680578/hHZ5kikg_normal.jpg</t>
  </si>
  <si>
    <t>https://pbs.twimg.com/profile_images/1679533502499282955/f4VZTk4O_normal.jpg</t>
  </si>
  <si>
    <t>1987574925704520018</t>
  </si>
  <si>
    <t>1987573918572404859</t>
  </si>
  <si>
    <t>https://x.com/miIancia/status/1987574925704520018</t>
  </si>
  <si>
    <t>https://pbs.twimg.com/profile_banners/148166520/1648312589</t>
  </si>
  <si>
    <t>@markmeiniuheart os ambulatórios especializados de TA são cheios de pessoas 18+… até pq adolescente só chega nesses serviços se a família perceber e levar</t>
  </si>
  <si>
    <t>miIancia</t>
  </si>
  <si>
    <t>mila</t>
  </si>
  <si>
    <t>https://pbs.twimg.com/profile_images/1983302258323341312/w_o34cF3_normal.jpg</t>
  </si>
  <si>
    <t>jorgepenafielc</t>
  </si>
  <si>
    <t>1943675147631596015</t>
  </si>
  <si>
    <t>https://x.com/Terracat2/status/1943675147631596015</t>
  </si>
  <si>
    <t>https://pbs.twimg.com/profile_banners/1335385172/1761691093</t>
  </si>
  <si>
    <t>tdah,tdahadulto,depressão,ansiedade,lutadeclasses,fome</t>
  </si>
  <si>
    <t>https://pbs.twimg.com/media/FEfzc5OX0AE5l8k.jpg</t>
  </si>
  <si>
    <t>Hola, hay alguien que conozca formas de mejorar a un joven adulto afectado de síndrome de feto alcohólico (con TDAH y déficit intelectual) ?? Algún especialista o centro?
@DoctoraPrego @Yo_soy_JulyR  ???</t>
  </si>
  <si>
    <t>Terracat2</t>
  </si>
  <si>
    <t>Terra.cat</t>
  </si>
  <si>
    <t>markmeiniuheart</t>
  </si>
  <si>
    <t>1461094517675900930</t>
  </si>
  <si>
    <t>1422374992466137088</t>
  </si>
  <si>
    <t>https://x.com/paolasantysnow/status/1461094517675900930</t>
  </si>
  <si>
    <t>https://x.com/TriboTDAH/status/1422374992466137088</t>
  </si>
  <si>
    <t>1176221224004980737</t>
  </si>
  <si>
    <t>https://pbs.twimg.com/profile_images/1176222119665065984/wABDnEEs_normal.jpg</t>
  </si>
  <si>
    <t>Existem mais pessoas com TDAH e DISLEXIA Depressão  do que imaginamos..
.
.
.
.
#tdah #tdahadulto #depressão  #dislexia em Uberaba - Estado De Minas Gerais https://t.co/CTcFinLkr7</t>
  </si>
  <si>
    <t>TDAH, se você já sentiu que não sabe fazer nada direito ou dúvida das próprias capacidades mesmo em coisas que sabe fazer bem… talvez os episódios da Tribo TDAH de agosto sejam na medida certa para você! https://t.co/vCSUFkWuid</t>
  </si>
  <si>
    <t>paolasantysnow</t>
  </si>
  <si>
    <t>@paollasantyago</t>
  </si>
  <si>
    <t>https://pbs.twimg.com/profile_images/1586867025116381185/tVsuBPic_normal.jpg</t>
  </si>
  <si>
    <t>1346409215032758272</t>
  </si>
  <si>
    <t>https://x.com/reumalho/status/1346409215032758272</t>
  </si>
  <si>
    <t>https://pbs.twimg.com/profile_banners/85579025/1646525025</t>
  </si>
  <si>
    <t>DoctoraPrego,Yo_soy_JulyR</t>
  </si>
  <si>
    <t>1943668990749888881</t>
  </si>
  <si>
    <t>1943655077891158040</t>
  </si>
  <si>
    <t>https://x.com/Sombreropiri/status/1943668990749888881</t>
  </si>
  <si>
    <t>Eita. 2021. Hora de reforço da minha dT (anti tetânica/ dupla do adulto)</t>
  </si>
  <si>
    <t>reumalho</t>
  </si>
  <si>
    <t>João Alho</t>
  </si>
  <si>
    <t>1137581080788307968</t>
  </si>
  <si>
    <t>https://pbs.twimg.com/profile_images/1988368212950425601/J7hTpy-p_normal.jpg</t>
  </si>
  <si>
    <t>@DinamicDipshit El tdah legalmente ya se nota desde chico, te re cuesta la vida, no podes haber sido un adulto funcional y neurotipico toda tu vida y justoite a los 30 ahh habia sido ahora tengo TDAH, se van todo los perros dm gusto guau ya da tomar ritalin</t>
  </si>
  <si>
    <t>Sombreropiri</t>
  </si>
  <si>
    <t>Paralelepípedo</t>
  </si>
  <si>
    <t>tdah,tdahadulto,depressão,dislexia</t>
  </si>
  <si>
    <t>https://pbs.twimg.com/profile_images/1975666864031137792/pOyHLV4S_normal.jpg</t>
  </si>
  <si>
    <t>https://www.instagram.com/p/CWZKqNqt-sh/?utm_medium=twitter</t>
  </si>
  <si>
    <t>https://pbs.twimg.com/profile_banners/1137581080788307968/1596315265</t>
  </si>
  <si>
    <t>https://pbs.twimg.com/profile_banners/557029470/1731540841</t>
  </si>
  <si>
    <t>1458854918077530125</t>
  </si>
  <si>
    <t>1499881081373433858</t>
  </si>
  <si>
    <t>https://x.com/falonoescuro/status/1499881081373433858</t>
  </si>
  <si>
    <t>https://x.com/16enconducTDAH/status/1458854918077530125</t>
  </si>
  <si>
    <t>Não só busquem um profissional, busque um bom.
Depois de um ano de tratamento eu tive que mudar de médica e essa nova médica ignorou meu tdah e ainda disse eu não tinha esse tipo de "frescura".
Ache um bom médico.</t>
  </si>
  <si>
    <t>falonoescuro</t>
  </si>
  <si>
    <t>Lunes: dejaré las redes sociales
Martes: haré un newsletter
Miércoles: haré fanzines
Jueves: haré merch con mis cómics
Viernes: debo regresar a las redes sociales
#tdahadulto #TDAH</t>
  </si>
  <si>
    <t>Eu falo no escuro (ﾉﾟｰﾟ)ﾉ</t>
  </si>
  <si>
    <t>DinamicDipshit</t>
  </si>
  <si>
    <t>1373774033267920897</t>
  </si>
  <si>
    <t>https://pbs.twimg.com/profile_images/1790892373020430342/B39XlKeZ_normal.jpg</t>
  </si>
  <si>
    <t>1943632179310785009</t>
  </si>
  <si>
    <t>1943623886064497081</t>
  </si>
  <si>
    <t>https://x.com/bebelstjames/status/1943632179310785009</t>
  </si>
  <si>
    <t>1458853776777953281</t>
  </si>
  <si>
    <t>sillyartcllctr</t>
  </si>
  <si>
    <t>Felt like making a quick comic about my current ADHD dilemma https://t.co/LtbCwMIiPf</t>
  </si>
  <si>
    <t>https://pbs.twimg.com/media/FD7jf_QWYAAiQCc.png</t>
  </si>
  <si>
    <t>https://pbs.twimg.com/profile_banners/1373774033267920897/1733967787</t>
  </si>
  <si>
    <t>@bluetadeu não tenho, mas tenho irmã autista, prima, sobrinho e tenho um primo com tdah... mas as vezes tenho minhas suspeitas vejo que tem gente que descobre já adulto ter autismo</t>
  </si>
  <si>
    <t>bebelstjames</t>
  </si>
  <si>
    <t>bel.𝜗ৎ</t>
  </si>
  <si>
    <t>1901450785701208064</t>
  </si>
  <si>
    <t>https://pbs.twimg.com/profile_images/1995168451371864064/IcvLKwL9_normal.jpg</t>
  </si>
  <si>
    <t>tdahadulto,TDAH</t>
  </si>
  <si>
    <t>1453161454178291714</t>
  </si>
  <si>
    <t>1499872132737777665</t>
  </si>
  <si>
    <t>yoonstluv</t>
  </si>
  <si>
    <t>P.s: Se identificou? Busque um profissional!
P.s2: Tdah NÃO é doença. Nenhum comentário capacitista é aceito nesta thread. Capacitismo é CRIME.
P.s3: se algum NEURODIVERGENTE quiser acrescentar algo é só deixar nos comentários :)
Obrigado por lerem!
~fim da thread~</t>
  </si>
  <si>
    <t>https://x.com/Deebbrandao/status/1453161454178291714</t>
  </si>
  <si>
    <t>1499871930220003328</t>
  </si>
  <si>
    <t>1499871916848463872</t>
  </si>
  <si>
    <t>https://pbs.twimg.com/profile_banners/1901450785701208064/1764520201</t>
  </si>
  <si>
    <t>https://x.com/yoonstluv/status/1499871930220003328</t>
  </si>
  <si>
    <t>A pergunta mais difícil me fizeram hj foi… quantos anos vc tem ? Kk gente pera, que ano a gente tá ? Kkkkk #tdahadulto</t>
  </si>
  <si>
    <t>Deebbrandao</t>
  </si>
  <si>
    <t>Deborah Brandão</t>
  </si>
  <si>
    <t>912754313625309185</t>
  </si>
  <si>
    <t>https://pbs.twimg.com/profile_images/912755535967064065/IDyyEMQm_normal.jpg</t>
  </si>
  <si>
    <t>"Primeiramente, o que é o tdah em adultos?"
🐱: eu tenho tdah
Neurodivergencias não "somem" quando alguém se torna adulto, por isso podemos achar vários famosos que são neurodivergentes. https://t.co/j8qQ1Qmaoc</t>
  </si>
  <si>
    <t>🦇 The Vamp Ray ⚢</t>
  </si>
  <si>
    <t>804842384500592640</t>
  </si>
  <si>
    <t>https://pbs.twimg.com/profile_images/1802738980753940482/-3WV0Sv5_normal.jpg</t>
  </si>
  <si>
    <t>https://pbs.twimg.com/profile_banners/912754313625309185/1506452869</t>
  </si>
  <si>
    <t>1943449181873672303</t>
  </si>
  <si>
    <t>1943407508955279710</t>
  </si>
  <si>
    <t>https://pbs.twimg.com/profile_banners/804842384500592640/1748811964</t>
  </si>
  <si>
    <t>https://x.com/internautilus/status/1943449181873672303</t>
  </si>
  <si>
    <t>@ecuainm_oficial Que conveniente en las escuelas es un problema pero en la asamblea lo usan para sacarse la vuelta. El joven asambleísta debe entender que la vida profesional y de adulto no perdona ni la discapacidades. Peor un problema de tdah. Así que a trabajar en ser un profesional.</t>
  </si>
  <si>
    <t>internautilus</t>
  </si>
  <si>
    <t>Andrés Tixi</t>
  </si>
  <si>
    <t>1435028606363869191</t>
  </si>
  <si>
    <t>https://pbs.twimg.com/profile_images/1435028709615022085/r_Qp19wW_normal.jpg</t>
  </si>
  <si>
    <t>https://pbs.twimg.com/media/FNCdkVMX0AIe5fD.jpg,https://pbs.twimg.com/media/FNCdklwWQAo1KX_.jpg</t>
  </si>
  <si>
    <t>1452146292612689921</t>
  </si>
  <si>
    <t>https://x.com/PMueckay/status/1452146292612689921</t>
  </si>
  <si>
    <t>https://pbs.twimg.com/profile_banners/1435028606363869191/1724949139</t>
  </si>
  <si>
    <t>1853111734392803575</t>
  </si>
  <si>
    <t>1853111558726885400</t>
  </si>
  <si>
    <t>#tdahadulto https://t.co/sw6zhwXKmd</t>
  </si>
  <si>
    <t>PMueckay</t>
  </si>
  <si>
    <t>https://x.com/PropositoyVida/status/1853111734392803575</t>
  </si>
  <si>
    <t>Pili Mueckay</t>
  </si>
  <si>
    <t>1275477288331751424</t>
  </si>
  <si>
    <t>https://pbs.twimg.com/profile_images/1945655004833910784/CnZJ8R5b_normal.jpg</t>
  </si>
  <si>
    <t>Depresión + TDAH:
Los adultos con TDAH tienen tres veces más probabilidades de desarrollar depresión.
Las luchas constantes con la organización, la gestión del tiempo y el mantenimiento de las relaciones pueden desencadenar episodios depresivos profundos: https://t.co/sg4QZfTWKH</t>
  </si>
  <si>
    <t>Vive con Propósito.</t>
  </si>
  <si>
    <t>1373983841795334150</t>
  </si>
  <si>
    <t>https://pbs.twimg.com/profile_images/1392439624748998660/vV7iBUlk_normal.jpg</t>
  </si>
  <si>
    <t>https://pbs.twimg.com/profile_banners/1275477288331751424/1764346765</t>
  </si>
  <si>
    <t>ecuainm_oficial</t>
  </si>
  <si>
    <t>https://pbs.twimg.com/profile_banners/1373983841795334150/1623747925</t>
  </si>
  <si>
    <t>https://www.instagram.com/p/CVZlilLAYOVCwrgH5cblklEaxb_KJGbg_7BpIw0/?utm_medium=twitter</t>
  </si>
  <si>
    <t>Hypefury</t>
  </si>
  <si>
    <t>https://pbs.twimg.com/amplify_video_thumb/1853111708740657152/img/ktLEyhvQV5LlbpdM.jpg</t>
  </si>
  <si>
    <t>https://video.twimg.com/amplify_video/1853111708740657152/vid/avc1/360x640/qr3W86uaeMzoFLEp.mp4?tag=14</t>
  </si>
  <si>
    <t>1975609753524121814</t>
  </si>
  <si>
    <t>https://x.com/crepch/status/1975609753524121814</t>
  </si>
  <si>
    <t>Aceptación.
📱Citas 55 19 15 30 15
#terapiamultisensorialsimbólica #terapia #terapialenguaje
#autismo #depresión #ansiedades #tdah #conducta #adulto #adolescentes #problemasdelenguaje #psicologia #saludmental #terapiapsicologica #terapiaonline #terapiaenlínea #tdaa #cdmx https://t.co/KL4iFI5k5A</t>
  </si>
  <si>
    <t>1451631720814555141</t>
  </si>
  <si>
    <t>https://x.com/ahidabizkaia/status/1451631720814555141</t>
  </si>
  <si>
    <t>terapiamultisensorialsimbólica,terapia,terapialenguaje,autismo,depresión,ansiedades,tdah,conducta,adulto,adolescentes,problemasdelenguaje,psicologia,saludmental,terapiapsicologica,terapiaonline,terapiaenlínea,tdaa,cdmx</t>
  </si>
  <si>
    <t>https://pbs.twimg.com/media/G2rGmdGWQAADxJ9.jpg,https://pbs.twimg.com/media/G2rGmEoXQAAs2Xr.jpg,https://pbs.twimg.com/media/G2rGmHRXsAAmhWH.jpg,https://pbs.twimg.com/media/G2rGmWNXEAAwOUh.jpg</t>
  </si>
  <si>
    <t>1084619177686716416</t>
  </si>
  <si>
    <t>https://x.com/jhsprod/status/1084619177686716416</t>
  </si>
  <si>
    <t>como eu trato o taehyung mesmo ele sendo um adulto de 23 anos https://t.co/vZNzugIHBx</t>
  </si>
  <si>
    <t>jhsprod</t>
  </si>
  <si>
    <t>✿</t>
  </si>
  <si>
    <t>https://pbs.twimg.com/profile_images/1478829217706135552/B24Hni44_normal.jpg</t>
  </si>
  <si>
    <t>1451245753486217217</t>
  </si>
  <si>
    <t>DraJuncal</t>
  </si>
  <si>
    <t>Funcionalidad en el TDAH https://t.co/kiXrFlAsKr</t>
  </si>
  <si>
    <t>https://pbs.twimg.com/profile_banners/4686145476/1639080376</t>
  </si>
  <si>
    <t>1449555161391714304</t>
  </si>
  <si>
    <t>https://x.com/mirind4/status/1449555161391714304</t>
  </si>
  <si>
    <t>https://pbs.twimg.com/ext_tw_video_thumb/1083201513390915584/pu/img/YhbDX5L18QqEkUrt.jpg</t>
  </si>
  <si>
    <t>Tomei 2 remedinhos para dormir, tomei às 21:30hs e até agora nada de desligar meus pensamentos. Esse negócio de hiperatividade é SODA. #tdah #tdahadulto #hiperatividade</t>
  </si>
  <si>
    <t>mirind4</t>
  </si>
  <si>
    <t>Mirinda de Chernobil</t>
  </si>
  <si>
    <t>https://pbs.twimg.com/profile_images/1450574364764565504/m42D2ZQ1_normal.jpg</t>
  </si>
  <si>
    <t>https://video.twimg.com/ext_tw_video/1083201513390915584/pu/vid/640x640/jGjpWxO8DVCASJsS.mp4?tag=8</t>
  </si>
  <si>
    <t>https://pbs.twimg.com/profile_banners/206729257/1564063613</t>
  </si>
  <si>
    <t>790262348888076288</t>
  </si>
  <si>
    <t>https://x.com/nandoh/status/790262348888076288</t>
  </si>
  <si>
    <t>ser adulto é ao invés dos seus pais marcarem suas consultas vc simplesmente vai deixando pra dps e torce pra não morrer</t>
  </si>
  <si>
    <t>nandoh</t>
  </si>
  <si>
    <t>nandoh </t>
  </si>
  <si>
    <t>https://pbs.twimg.com/profile_images/1346128851282309120/Ipweupj__normal.jpg</t>
  </si>
  <si>
    <t>tdah,tdahadulto,hiperatividade</t>
  </si>
  <si>
    <t>https://pbs.twimg.com/profile_banners/2613362535/1464658069</t>
  </si>
  <si>
    <t>1448750204904222721</t>
  </si>
  <si>
    <t>https://x.com/doug_romao/status/1448750204904222721</t>
  </si>
  <si>
    <t>Lembrando que certa vez eu tinha uma reunião marcada num dia e fui no dia anterior.
Então, fiquei aliviado que era no dia seguinte, porém esqueci. 
"Fui" à reunião no dia seguinte ao seguinte e obviamente já tinha acontecido.
😂⏰🤷‍♂️
#TDAH #tdahadulto</t>
  </si>
  <si>
    <t>doug_romao</t>
  </si>
  <si>
    <t>Douglas Romao ☕☕</t>
  </si>
  <si>
    <t>1068540099242147846</t>
  </si>
  <si>
    <t>https://pbs.twimg.com/profile_images/1786384764867420160/K2bsw3uI_normal.jpg</t>
  </si>
  <si>
    <t>https://pbs.twimg.com/profile_banners/1068540099242147846/1633396524</t>
  </si>
  <si>
    <t>1448319042436149248</t>
  </si>
  <si>
    <t>https://x.com/marcobonito/status/1448319042436149248</t>
  </si>
  <si>
    <t>Hoje eu dei uma entrevista para a TV Evangelizar contando sobre a descoberta tardia do meu #TDAHAdulto #TDAH 🤯 … quando eu tiver o link da matéria compartilho com vcs… 🙂</t>
  </si>
  <si>
    <t>marcobonito</t>
  </si>
  <si>
    <t>Marco Informívoro #PhD 🧩🎗️🌻</t>
  </si>
  <si>
    <t>https://pbs.twimg.com/profile_images/1792231364651003904/gQTTfdMB_normal.jpg</t>
  </si>
  <si>
    <t>1389191448013250561</t>
  </si>
  <si>
    <t>https://pbs.twimg.com/profile_banners/29739738/1716136242</t>
  </si>
  <si>
    <t>https://x.com/TriboTDAH/status/1389191448013250561</t>
  </si>
  <si>
    <t>1942730282840514733</t>
  </si>
  <si>
    <t>https://x.com/ElPaido/status/1942730282840514733</t>
  </si>
  <si>
    <t>“Hoje eu vou dormir cedo”
Os pensamentos do TDAH no meio da madrugada: https://t.co/O3W9YYybMw</t>
  </si>
  <si>
    <t>La prevalencia global de TDAH adulto fue estimada en 6.75% (2020).
Pero la mayoría de quienes reciben ese diagnóstico no lo tenían en la infancia.
¿Se trata de diagnóstico tardío, sobrediagnóstico o falta de rigor en lad evaluaciones?</t>
  </si>
  <si>
    <t>1898408603200934038</t>
  </si>
  <si>
    <t>TDAHAdulto,TDAH</t>
  </si>
  <si>
    <t>https://x.com/adrianabravist6/status/1898408603200934038</t>
  </si>
  <si>
    <t>1447989352991186951</t>
  </si>
  <si>
    <t>https://x.com/doug_romao/status/1447989352991186951</t>
  </si>
  <si>
    <t>#GranHermano Tato: Contador. Prof. universitario.Tiene su empresa.Experto en E-Commerce.29 años.Soltero.Educado.Respetuoso.Empático.Tiene depto. y auto logrado p su esfuerzo.Familiero.Ama a sus sobrinas. Futbolero .Deportista.Es alegre.Jamás una queja.Disfrutando #GH Y es hermoso https://t.co/wfdhQbjI5t</t>
  </si>
  <si>
    <t>adrianabravist6</t>
  </si>
  <si>
    <t>@adrianabravista</t>
  </si>
  <si>
    <t>1379941877219213312</t>
  </si>
  <si>
    <t>https://pbs.twimg.com/profile_images/1555114006234337280/F-JQdflG_normal.jpg</t>
  </si>
  <si>
    <t>Colocando meu 23445465ésimo alarme diário:
-retirar o lixo
-lavar a louça
-organizar a cama
parece bobeira, mas na miopía temporal é um alento:
-banheiro limpo
-pia limpa
-cama arrumada
1 min. de felicidade por cada coisa feita
amanhã tudo outra vez
#TDAH #tdahadulto</t>
  </si>
  <si>
    <t>https://pbs.twimg.com/profile_banners/1379941877219213312/1649768088</t>
  </si>
  <si>
    <t>1446154848706211846</t>
  </si>
  <si>
    <t>https://x.com/NeuroMty/status/1446154848706211846</t>
  </si>
  <si>
    <t>GranHermano,GH</t>
  </si>
  <si>
    <t>https://pbs.twimg.com/ext_tw_video_thumb/1898408590727061504/pu/img/4A915FEEX73vpjve.jpg</t>
  </si>
  <si>
    <t>#tdah #tdahadulto #atención https://t.co/ptOrpkvatl</t>
  </si>
  <si>
    <t>https://video.twimg.com/ext_tw_video/1898408590727061504/pu/vid/avc1/736x720/HsAHfXJkMIgcCLrn.mp4?tag=12</t>
  </si>
  <si>
    <t>tdah,tdahadulto,atención</t>
  </si>
  <si>
    <t>https://pbs.twimg.com/media/FBHGKtFWYAI6pDv.jpg</t>
  </si>
  <si>
    <t>1942346712988680259</t>
  </si>
  <si>
    <t>https://x.com/ElPaido/status/1942346712988680259</t>
  </si>
  <si>
    <t>1443314386467180550</t>
  </si>
  <si>
    <t>https://x.com/RodrigoBugarin/status/1443314386467180550</t>
  </si>
  <si>
    <t>👀 ¿Adulto que consulta por primera vez en busca de diagnóstico?
Piensa primero en lo más probable ("piensa en caballos, no en cebras").
Pensar también en ansiedad, depresión, consumo de sustancias o privación de sueño que un TDAH nuevo en edad adulta.</t>
  </si>
  <si>
    <t>Para um TDAH toda informação que deveria ser óbvia pode ser surpreendente ou novidade. 
#tdah #tdahadulto #tdahinfantil #tda #neuroatipicos #transtornos #Psicologia #psiquiatria #psicologo #psiquiatra #pedagogo</t>
  </si>
  <si>
    <t>RodrigoBugarin</t>
  </si>
  <si>
    <t>Rodrigo Bugarin</t>
  </si>
  <si>
    <t>https://pbs.twimg.com/profile_images/1481643932932980737/2BaFN1Om_normal.jpg</t>
  </si>
  <si>
    <t>https://pbs.twimg.com/profile_banners/2858700746/1482377237</t>
  </si>
  <si>
    <t>1942261437339967833</t>
  </si>
  <si>
    <t>1941932261613371785</t>
  </si>
  <si>
    <t>https://x.com/itsallmeee/status/1942261437339967833</t>
  </si>
  <si>
    <t>@PauloRegen @MariaVaressorca @jo_falu @himebruna Então quando você fala pra uma pessoa com tdah simplesmente ser “um adulto funcional”, você está basicamente exigindo q uma pessoa q n tem acesso a tratamento SE CURE do transtorno incurável que ela tem. É o mesmo que mandar um bipolar não medicado “parar de surtar”, não tem como</t>
  </si>
  <si>
    <t>itsallmeee</t>
  </si>
  <si>
    <t>elizabeth taylor</t>
  </si>
  <si>
    <t>1701407640595611648</t>
  </si>
  <si>
    <t>https://pbs.twimg.com/profile_images/1975204645447368704/TSL7G7ua_normal.jpg</t>
  </si>
  <si>
    <t>1461035694197981195</t>
  </si>
  <si>
    <t>https://x.com/TriboTDAH/status/1461035694197981195</t>
  </si>
  <si>
    <t>tdah,tdahadulto,tdahinfantil,tda,neuroatipicos,transtornos,Psicologia,psiquiatria,psicologo,psiquiatra,pedagogo</t>
  </si>
  <si>
    <t>1441828566778499073</t>
  </si>
  <si>
    <t>https://x.com/dara_coch/status/1441828566778499073</t>
  </si>
  <si>
    <t>Hey, TDAH, só passando para lembrar que você é uma pessoa INCRÍVEL que faz uma diferença no mundo.
Há pessoas que te amam, você não precisa de quem te deixa de lado!
Nunca deixe que ninguém faça se sentir inferior e há milhões de pessoas no mundo exatamente como nós. https://t.co/LA9H2ATk62</t>
  </si>
  <si>
    <t>https://pbs.twimg.com/profile_banners/1701407640595611648/1759760471</t>
  </si>
  <si>
    <t>Os dejo la entrevista que me hicieron para el periódico el Español. Gracias por haceros eco de las injusticias y de que el #TDAH  existe
#tdahadulto #coaching #estrategias #coachingonline #educacion #asociacionestdah #implicacion</t>
  </si>
  <si>
    <t>PauloRegen,MariaVaressorca,himebruna</t>
  </si>
  <si>
    <t>1441780721102819328</t>
  </si>
  <si>
    <t>1942233880402227474</t>
  </si>
  <si>
    <t>Un alumno con #TDAH en el que sus padres denunciaban ante Educación el suspenso de su hijo porque la evaluación no se adaptó a sus condiciones. https://t.co/mbJFtyt5s6</t>
  </si>
  <si>
    <t>https://x.com/PauloRegen/status/1942233880402227474</t>
  </si>
  <si>
    <t>TDAH,tdahadulto,coaching,estrategias,coachingonline,educacion,asociacionestdah,implicacion</t>
  </si>
  <si>
    <t>1433454773538377730</t>
  </si>
  <si>
    <t>@itsallmeee @MariaVaressorca @jo_falu @himebruna E o que isso interfere na capacidade da pessoa de se planejar? se sabe que vai ter uma reunião, é só marcar numa agenda ou criar um lembrete em algum app do tipo. Basta ser um adulto funcional
tdah não é síndrome de down pra pessoa ficar incapacitada de fazer coisas simples</t>
  </si>
  <si>
    <t>https://x.com/NeuroMty/status/1433454773538377730</t>
  </si>
  <si>
    <t>PauloRegen</t>
  </si>
  <si>
    <t>Renato Silva</t>
  </si>
  <si>
    <t>1748289067182120961</t>
  </si>
  <si>
    <t>https://pbs.twimg.com/profile_images/1748291393800261632/M_l7_07O_normal.jpg</t>
  </si>
  <si>
    <t>Quienes padecen de TDAH, la hiperactividad que presentaban de niños no desaparece sino que muchas veces se transforma en la vida a adulta a:
⁃Ansiedad
⁃Intranquilidad 
⁃Necesidad de estar ocupado todo el tiempo
#TDAH #tdahadulto</t>
  </si>
  <si>
    <t>itsallmeee,MariaVaressorca,himebruna</t>
  </si>
  <si>
    <t>1941518170738819127</t>
  </si>
  <si>
    <t>https://x.com/MFernandaRey/status/1941518170738819127</t>
  </si>
  <si>
    <t>1428358932423069713</t>
  </si>
  <si>
    <t>https://x.com/MatVaquer/status/1428358932423069713</t>
  </si>
  <si>
    <t>Gracias Diario  @lacapital por esta nota a un gran Profesional
Referente de #TDAH #ROSARIO
Dr #GerardoMaraval
Mirá @leomaraval !! Tu hermano! 
https://t.co/RncJrKcbJ9</t>
  </si>
  <si>
    <t>MFernandaRey</t>
  </si>
  <si>
    <t>María Fernanda Rey</t>
  </si>
  <si>
    <t>https://pbs.twimg.com/profile_images/1775612770634870784/6DNbMLPZ_normal.jpg</t>
  </si>
  <si>
    <t>Estar rodeada de personas con TDAH o TDA hace la vida muy muy complicada, sobre todo, si tú también lo tienes. #tdahadulto #TDAH #eldiaadia #paciencia</t>
  </si>
  <si>
    <t>MatVaquer</t>
  </si>
  <si>
    <t>1163749201249034240</t>
  </si>
  <si>
    <t>https://pbs.twimg.com/profile_images/1400314207367802881/s-Gbc-xe_normal.jpg</t>
  </si>
  <si>
    <t>https://pbs.twimg.com/profile_banners/90483398/1703597843</t>
  </si>
  <si>
    <t>https://pbs.twimg.com/profile_banners/1163749201249034240/1566300442</t>
  </si>
  <si>
    <t>TDAH,ROSARIO,GerardoMaraval</t>
  </si>
  <si>
    <t>https://www.lacapital.com.ar/la-ciudad/como-saber-si-un-adulto-tiene-tdah-los-sintomas-que-no-hay-que-pasar-alto-n10202249.html</t>
  </si>
  <si>
    <t>tdahadulto,TDAH,eldiaadia,paciencia</t>
  </si>
  <si>
    <t>1426817746621411328</t>
  </si>
  <si>
    <t>1425219706039017474</t>
  </si>
  <si>
    <t>https://x.com/fermarvalle/status/1426817746621411328</t>
  </si>
  <si>
    <t>@AbiHuertas @jonatan_mt @mentalizate5 Hace poco la madre de un paciente con TDAH me consultó porque identificaba en sí misma signos de TDAH y lo pasaba mal. Le recomendé consultar con un psiquiatra que confirmó el diagnóstico y pautó medicación. Este es el mensaje que me ha escrito #miconsultamola #TDAHadulto https://t.co/tuwrKc5BuC</t>
  </si>
  <si>
    <t>fermarvalle</t>
  </si>
  <si>
    <t>Fernando Martín</t>
  </si>
  <si>
    <t>1274905933181849600</t>
  </si>
  <si>
    <t>https://pbs.twimg.com/profile_images/1407425818138136583/Zhu8rhut_normal.jpg</t>
  </si>
  <si>
    <t>https://x.com/tatianotzin/status/1274905933181849600</t>
  </si>
  <si>
    <t>lacapital,leomaraval</t>
  </si>
  <si>
    <t>1941514466925085064</t>
  </si>
  <si>
    <t>1941513378658385943</t>
  </si>
  <si>
    <t>https://x.com/andr3e_/status/1941514466925085064</t>
  </si>
  <si>
    <t>Ser adulto básicamente consiste en:
-Matar moscos.
-Apagar luces.
-Cerrar puertas.
-Lavar trastes.
-Pagar cuentas.
-Subir de peso.
-Tener insomnio.
-Madrugar en sábado y domingo.</t>
  </si>
  <si>
    <t>tatianotzin</t>
  </si>
  <si>
    <t>Tatianotzin Oficial🥦🎀</t>
  </si>
  <si>
    <t>778601476587302912</t>
  </si>
  <si>
    <t>https://pbs.twimg.com/profile_images/1982281217761308672/rN0iASGA_normal.jpg</t>
  </si>
  <si>
    <t>https://pbs.twimg.com/profile_banners/993731562/1619039647</t>
  </si>
  <si>
    <t>@Psiquiatripa Rapaz, o cenário ta desolador. PIA não é minha praia, mas o que tem acontecido com jovem e adulto é aberrante.
Tô cansado de atender demanda pra validar diagnóstico de TEA e TDAH. Além disso, a quantidade de dx errado. Na emergência, atendi algumas muitas borders com dx de TEA.</t>
  </si>
  <si>
    <t>andr3e_</t>
  </si>
  <si>
    <t>andré</t>
  </si>
  <si>
    <t>https://pbs.twimg.com/profile_images/1334138041678573571/HMUxtMET_normal.png</t>
  </si>
  <si>
    <t>https://pbs.twimg.com/profile_banners/778601476587302912/1757030592</t>
  </si>
  <si>
    <t>miconsultamola,TDAHadulto</t>
  </si>
  <si>
    <t>https://pbs.twimg.com/media/E80TLShWUAM2B7S.jpg</t>
  </si>
  <si>
    <t>https://pbs.twimg.com/profile_banners/53059226/1523284921</t>
  </si>
  <si>
    <t>1416938137364881408</t>
  </si>
  <si>
    <t>https://x.com/thiagfvs/status/1416938137364881408</t>
  </si>
  <si>
    <t>AbiHuertas,jonatan_mt,mentalizate5</t>
  </si>
  <si>
    <t>1426240324926681088</t>
  </si>
  <si>
    <t>A preocupação do adolescente é hitar no tiktok
A do adulto é pagar as contas e ver o que vai sobrar pra comprar livros e lanche</t>
  </si>
  <si>
    <t>thiagfvs</t>
  </si>
  <si>
    <t>Thiago Ferreira</t>
  </si>
  <si>
    <t>906953404458692609</t>
  </si>
  <si>
    <t>https://pbs.twimg.com/profile_images/1980812429157175296/uwerCU_s_normal.jpg</t>
  </si>
  <si>
    <t>https://x.com/dara_coch/status/1426240324926681088</t>
  </si>
  <si>
    <t>No te pierdas mi último artículo: &amp;amp;quot;PRIMEROS AUXILIOS PARA EL TDAH&amp;amp;quot;​ https://t.co/bGEzHcV6C1 a través de @LinkedIn 
#TDAH #tdahadulto #crecimientopersonal #coachingonline #coachtranspersonal #autoestima</t>
  </si>
  <si>
    <t>https://pbs.twimg.com/profile_banners/906953404458692609/1754432426</t>
  </si>
  <si>
    <t>1471978913731592192</t>
  </si>
  <si>
    <t>TDAH,tdahadulto,crecimientopersonal,coachingonline,coachtranspersonal,autoestima</t>
  </si>
  <si>
    <t>https://x.com/TriboTDAH/status/1471978913731592192</t>
  </si>
  <si>
    <t>https://www.linkedin.com/pulse/primeros-auxilios-para-el-tdah-nuria-bautista-ord%25C3%25A1s</t>
  </si>
  <si>
    <t>Ser TDAH é entender uma hora, por mais difícil que seja, a necessidade de abrir mão de pessoas e atividades que não fazem bem.
Nós valemos muito mais que migalhas e perceber isso pode ser um passo difícil para deixar o que não serve nas nossas vidas para trás.
Somos incríveis! https://t.co/19AElv6HIS</t>
  </si>
  <si>
    <t>1451542157643423745</t>
  </si>
  <si>
    <t>https://x.com/TriboTDAH/status/1451542157643423745</t>
  </si>
  <si>
    <t>1414975366049972224</t>
  </si>
  <si>
    <t>https://x.com/PaquiBlancoPsi/status/1414975366049972224</t>
  </si>
  <si>
    <t>Voce sabia que pessoas com TDAH podem ter uma tendência a ser mais desastradas e com problemas de equilíbrio por causa do nosso controle motor?
Mesmo atletas profissionais TDAHs podem ser mais desastrados e aparecer com hematomas que nem sabem de onde vieram!</t>
  </si>
  <si>
    <t>El 13 de julio Día Internacional del Trastorno por déficit de atención e hiperactividad (TDAH), cuyo fin es que se tome conciencia de las necesidades de los afectados y sus familiares. 
 #TDAH #tdahinfantil #tdahadulto #TDAHadolescentes #psicología #ayuda #saludmental https://t.co/yw2Fma2EGR</t>
  </si>
  <si>
    <t>PaquiBlancoPsi</t>
  </si>
  <si>
    <t>Paqui Blanco Psicología</t>
  </si>
  <si>
    <t>https://pbs.twimg.com/profile_images/1767643627243606016/O8aJowcV_normal.jpg</t>
  </si>
  <si>
    <t>https://pbs.twimg.com/profile_banners/382008617/1706203733</t>
  </si>
  <si>
    <t>TDAH,tdahinfantil,tdahadulto,TDAHadolescentes,psicología,ayuda,saludmental</t>
  </si>
  <si>
    <t>https://pbs.twimg.com/media/E6MAkESWUAI5q1d.jpg</t>
  </si>
  <si>
    <t>1414963343094337546</t>
  </si>
  <si>
    <t>https://x.com/EQUIDAEpsico/status/1414963343094337546</t>
  </si>
  <si>
    <t>1515122394217783303</t>
  </si>
  <si>
    <t>https://x.com/TriboTDAH/status/1515122394217783303</t>
  </si>
  <si>
    <t>#tdah #tdahinfantil #tdahadulto #TDAHadolescentes https://t.co/Lh4SlNdIwW</t>
  </si>
  <si>
    <t>EQUIDAEpsico</t>
  </si>
  <si>
    <t>Equidae Psicología</t>
  </si>
  <si>
    <t>TDAHs precisam tomar especial cuidado ao se jogar de cabeça em um relacionamento, porque é exatamente fácil hiperfocar no novo romance e deixar de lado partes importantes das nossas vidas como amigos, hobbies, tempo para cuidar de nós.
É sempre bom reservar um espacinho para você</t>
  </si>
  <si>
    <t>https://pbs.twimg.com/profile_images/1486001982297063429/k_jnYQT3_normal.jpg</t>
  </si>
  <si>
    <t>1940221394325053460</t>
  </si>
  <si>
    <t>https://x.com/m_duardas/status/1940221394325053460</t>
  </si>
  <si>
    <t>1515100157410516993</t>
  </si>
  <si>
    <t>reginanavarro</t>
  </si>
  <si>
    <t>Muitos no casamento abrem mão da independência, incluindo aí amigos e interesses pessoais, e por isso se tornam frágeis em caso de ruptura.</t>
  </si>
  <si>
    <t>1554531061715161088</t>
  </si>
  <si>
    <t>https://x.com/TriboTDAH/status/1554531061715161088</t>
  </si>
  <si>
    <t>https://pbs.twimg.com/profile_banners/368864404/1513244095</t>
  </si>
  <si>
    <t>TDAH significa Transtorno de Déficit de Atenção e Hiperatividade, está classificado pela OMS, no CID-11, como Transtorno de Neurodesenvolvimento, ou seja, nossa bioquímica cerebral é diferente desde o nascimento e amadurece em um passo distinto das outras pessoas. https://t.co/LEBGcG8NaE</t>
  </si>
  <si>
    <t>Ele percebendo que aquele desgraçado é realmente um sociopata e não apenas um adulto diagnosticado com tdah</t>
  </si>
  <si>
    <t>m_duardas</t>
  </si>
  <si>
    <t>Duarte ✨</t>
  </si>
  <si>
    <t>1149747429585182722</t>
  </si>
  <si>
    <t>https://pbs.twimg.com/profile_images/1700577479885217792/4J0r-Cq8_normal.jpg</t>
  </si>
  <si>
    <t>https://pbs.twimg.com/media/FZLNwm0XEAISWuS.jpg,https://pbs.twimg.com/media/FZLNwm1WIAIMwlg.jpg,https://pbs.twimg.com/media/FZLNwmxXwAMO9Yn.jpg,https://pbs.twimg.com/media/FZLNwm0XkAUtUEt.jpg</t>
  </si>
  <si>
    <t>tdah,tdahinfantil,tdahadulto,TDAHadolescentes</t>
  </si>
  <si>
    <t>https://pbs.twimg.com/media/E6L1p3pXEAQKBTE.jpg</t>
  </si>
  <si>
    <t>1756767111416848528</t>
  </si>
  <si>
    <t>https://pbs.twimg.com/profile_banners/1149747429585182722/1694284446</t>
  </si>
  <si>
    <t>https://x.com/triz3ratops/status/1756767111416848528</t>
  </si>
  <si>
    <t>En mi experiencia ser adulto es perder el interés en absolutamente todo o no tener tiempo y estar demasiado cansado como para hacer nada</t>
  </si>
  <si>
    <t>1414943813534208001</t>
  </si>
  <si>
    <t>triz3ratops</t>
  </si>
  <si>
    <t>ᴛʀɪѕʜ ౨ৎ</t>
  </si>
  <si>
    <t>https://pbs.twimg.com/profile_images/1983190347275440128/rIsBvY3Q_normal.jpg</t>
  </si>
  <si>
    <t>https://x.com/LoretoCharques/status/1414943813534208001</t>
  </si>
  <si>
    <t>https://pbs.twimg.com/profile_banners/229508070/1675017781</t>
  </si>
  <si>
    <t>#tdah #tdahinfantil #tdahadulto #TDAHadolescentes https://t.co/ZpywJFu1n8</t>
  </si>
  <si>
    <t>LoretoCharques</t>
  </si>
  <si>
    <t>Centro Psicológico Loreto Charques</t>
  </si>
  <si>
    <t>https://pbs.twimg.com/profile_images/1744422112108969984/uPrKDBCU_normal.jpg</t>
  </si>
  <si>
    <t>1815752856932110787</t>
  </si>
  <si>
    <t>1815158497299861787</t>
  </si>
  <si>
    <t>https://pbs.twimg.com/profile_banners/3114604301/1633529545</t>
  </si>
  <si>
    <t>https://x.com/ThiagoRodBar/status/1815752856932110787</t>
  </si>
  <si>
    <t>@FabiRaiz Bom... Está escrito bem grande ADULT 21+. Ou seja, para ADULTOS DE 21 ANOS PRA CIMA. Qualquer criança que estiver com isso, a responsabilidade é toda dos pais ou o responsável.</t>
  </si>
  <si>
    <t>ThiagoRodBar</t>
  </si>
  <si>
    <t>Thiago R. Barbosa</t>
  </si>
  <si>
    <t>https://pbs.twimg.com/profile_images/1698236069127319552/Zvok4VBe_normal.jpg</t>
  </si>
  <si>
    <t>https://pbs.twimg.com/media/E6Lj4SmXsAQDwAR.jpg</t>
  </si>
  <si>
    <t>https://pbs.twimg.com/profile_banners/2193494682/1759279190</t>
  </si>
  <si>
    <t>1408403647818571781</t>
  </si>
  <si>
    <t>https://x.com/bacabi/status/1408403647818571781</t>
  </si>
  <si>
    <t>Uma vida baseada em:
mandar, por engano, figurinhas absurdamente constrangedoras no Whatsapp 
#tdahadulto</t>
  </si>
  <si>
    <t>bacabi</t>
  </si>
  <si>
    <t>Bᴀᴄᴀʙɪ́✨ 𝓺𝓾𝓮𝓻𝓲𝓪 𝓼𝓮𝓻 𝓟𝓪𝓺𝓾𝓲𝓽𝓪</t>
  </si>
  <si>
    <t>https://pbs.twimg.com/profile_images/1401188116455698436/lX7cZL-V_normal.jpg</t>
  </si>
  <si>
    <t>https://pbs.twimg.com/profile_banners/59464192/1619411393</t>
  </si>
  <si>
    <t>FabiRaiz</t>
  </si>
  <si>
    <t>1570189047280340992</t>
  </si>
  <si>
    <t>https://x.com/Lua_Bathory/status/1570189047280340992</t>
  </si>
  <si>
    <t>todo mundo fala de tdah como se só fosse falta de desatenção, mas ninguém nem comenta sobre impulsividade e a instabilidade emocional e chances de se envolver em situações de risco</t>
  </si>
  <si>
    <t>Lua_Bathory</t>
  </si>
  <si>
    <t>Lua Bathory𝈒⧵</t>
  </si>
  <si>
    <t>938944022089003008</t>
  </si>
  <si>
    <t>https://pbs.twimg.com/profile_images/1968158672984436736/SKVQCPTw_normal.jpg</t>
  </si>
  <si>
    <t>1401266320906326021</t>
  </si>
  <si>
    <t>https://x.com/Isabelnunezvill/status/1401266320906326021</t>
  </si>
  <si>
    <t>https://pbs.twimg.com/profile_banners/938944022089003008/1750795844</t>
  </si>
  <si>
    <t>Ha sido un privilegio formar parte de este proyecto maravilloso cuyo objetivo es y será mejorar los conocimientos y oportunidades para personas con TDAH y quienes los rodean.
Gracias infinitas.
#tdahadulto #neurodiversidad #derechoeducativo https://t.co/cWMxLIXuan</t>
  </si>
  <si>
    <t>Isabelnunezvill</t>
  </si>
  <si>
    <t>Isabel Núñez Villasana 🦉🧡🧠</t>
  </si>
  <si>
    <t>https://pbs.twimg.com/profile_images/1557247884621488128/_CWJ8uIe_normal.jpg</t>
  </si>
  <si>
    <t>1439763851759833092</t>
  </si>
  <si>
    <t>1439763844826607619</t>
  </si>
  <si>
    <t>https://x.com/drauziovarella/status/1439763851759833092</t>
  </si>
  <si>
    <t>Desatenção no trabalho, problemas de memória, impaciência e impulsividade são algumas das características que aparecem com mais frequência. Ou seja, o TDAH não some na vida adulta, o que muda é o padrão de sintomas em destaque.</t>
  </si>
  <si>
    <t>https://pbs.twimg.com/profile_banners/231255389/1660111814</t>
  </si>
  <si>
    <t>drauziovarella</t>
  </si>
  <si>
    <t>Portal Drauzio</t>
  </si>
  <si>
    <t>https://pbs.twimg.com/profile_images/1453112611323715590/LPSRzp5g_normal.jpg</t>
  </si>
  <si>
    <t>https://pbs.twimg.com/profile_banners/84368406/1752761534</t>
  </si>
  <si>
    <t>1939840471632625683</t>
  </si>
  <si>
    <t>https://x.com/desgra_ciado/status/1939840471632625683</t>
  </si>
  <si>
    <t>tdahadulto,neurodiversidad,derechoeducativo</t>
  </si>
  <si>
    <t>https://pbs.twimg.com/media/E3JMSvDWUAQAHnn.jpg</t>
  </si>
  <si>
    <t>1489207257925574671</t>
  </si>
  <si>
    <t>https://x.com/odicasmaster/status/1489207257925574671</t>
  </si>
  <si>
    <t>Siento que el tdah me cago tanto la vida , like actually siendo que jamás lograré nada porque mi mente ya está cagá y no puedo estar medicándome por toda la vida para ser un adulto funcional https://t.co/A9dbxMyx4p</t>
  </si>
  <si>
    <t>desgra_ciado</t>
  </si>
  <si>
    <t>Demian’t</t>
  </si>
  <si>
    <t>https://pbs.twimg.com/profile_images/1985839820015353856/hTSMXN2b_normal.jpg</t>
  </si>
  <si>
    <t>Umas das coisas mais impactantes do TDAH é descobrir que a maioria das pessoas que alegam ter são jovens que se autodiagnosticaram na internet e usam isso como desculpa para não saber escrever ou não ter o mínimo de responsabilidade ou disciplina.</t>
  </si>
  <si>
    <t>odicasmaster</t>
  </si>
  <si>
    <t>Fernando Dicas Master</t>
  </si>
  <si>
    <t>https://pbs.twimg.com/profile_images/1483810263216369664/L3pplSas_normal.jpg</t>
  </si>
  <si>
    <t>1398295334040842240</t>
  </si>
  <si>
    <t>https://x.com/DeborahCapell/status/1398295334040842240</t>
  </si>
  <si>
    <t>https://pbs.twimg.com/profile_banners/154753595/1567892919</t>
  </si>
  <si>
    <t>https://pbs.twimg.com/profile_banners/143447722/1668450897</t>
  </si>
  <si>
    <t>RES-PI-RA Deborahhh! 
A separação é uma ilusão!
ESTAMOSJUNTOS 🦋
#tdah #tdahadulto #tdahemfoco 
#tdahemeditação #tdahyoga
#yoga #yogacristao
#hathavinyasayoga 
#pedagogos https://t.co/HkyZdWUkF2</t>
  </si>
  <si>
    <t>DeborahCapell</t>
  </si>
  <si>
    <t>SouEnergiaPura</t>
  </si>
  <si>
    <t>https://pbs.twimg.com/profile_images/1489703983862140938/pPzl_A4j_normal.jpg</t>
  </si>
  <si>
    <t>1486198999820419073</t>
  </si>
  <si>
    <t>isafeijo</t>
  </si>
  <si>
    <t>Umas das coisas mais impactantes do TDAH é descobrir que coisas que você achava que eram partes da sua personalidade ou manias suas (mesmo que prejudicasse um pouco) na verdade é parte do TDAH, aquilo nunca foi você
Um mistura de alívio e sensação de não saber quem você é</t>
  </si>
  <si>
    <t>1988024578556244042</t>
  </si>
  <si>
    <t>https://x.com/defgustd/status/1988024578556244042</t>
  </si>
  <si>
    <t>https://pbs.twimg.com/profile_banners/80196025/1644007301</t>
  </si>
  <si>
    <t>Nossa gente é um homem adulto de quase 30 anos pelo amor de Deus deixem de frescura</t>
  </si>
  <si>
    <t>defgustd</t>
  </si>
  <si>
    <t>Bru</t>
  </si>
  <si>
    <t>831677878530109441</t>
  </si>
  <si>
    <t>https://pbs.twimg.com/profile_images/1969244689694855168/LVscbm5s_normal.jpg</t>
  </si>
  <si>
    <t>1939435459081568383</t>
  </si>
  <si>
    <t>https://pbs.twimg.com/profile_banners/831677878530109441/1759227100</t>
  </si>
  <si>
    <t>https://x.com/eundigoenada/status/1939435459081568383</t>
  </si>
  <si>
    <t>tdah,tdahadulto,tdahemfoco,tdahemeditação,tdahyoga,yoga,yogacristao,hathavinyasayoga,pedagogos</t>
  </si>
  <si>
    <t>https://pbs.twimg.com/media/E2e-MhnXoA8eBrP.jpg</t>
  </si>
  <si>
    <t>1987951514187714920</t>
  </si>
  <si>
    <t>DDD0IA</t>
  </si>
  <si>
    <t>O problema disso tudo é o Jungkook não ter sido 100% honesto com os fãs quando ele é sincero sobre outros assuntos. Ele podia ter dito "estamos nos conhecendo" mas escolheu mentir que não tinha namorada em 2023 talvez pra proteger ela. De qualquer forma, isso é vergonhoso! https://t.co/3xlZN5OA4w</t>
  </si>
  <si>
    <t>a maior burrice pois ritalina se vc nao tem tdah te da uma crise depressiva de meses
nao vale a pena vc ter o cérebro normal e usar ritalina pra estudar 3 dias sem parar + crise depressiva
apenas seja um adulto funcional caralho e se organize</t>
  </si>
  <si>
    <t>https://pbs.twimg.com/ext_tw_video_thumb/1987951389675343873/pu/img/8wozO4jmbf_z6v1B.jpg,https://pbs.twimg.com/ext_tw_video_thumb/1987951480083460096/pu/img/9HWCoUmgOMA7S0Yk.jpg</t>
  </si>
  <si>
    <t>eundigoenada</t>
  </si>
  <si>
    <t>màllu</t>
  </si>
  <si>
    <t>1860792052083982336</t>
  </si>
  <si>
    <t>https://pbs.twimg.com/profile_images/1906504199870754816/N3ffPQmw_normal.jpg</t>
  </si>
  <si>
    <t>-47.077055,-22.980043</t>
  </si>
  <si>
    <t>Valinhos, Brasil</t>
  </si>
  <si>
    <t>1393481663225778177</t>
  </si>
  <si>
    <t>https://x.com/feaadah/status/1393481663225778177</t>
  </si>
  <si>
    <t>1557935816198033409</t>
  </si>
  <si>
    <t>1557935813639421953</t>
  </si>
  <si>
    <t>https://x.com/TriboTDAH/status/1557935816198033409</t>
  </si>
  <si>
    <t>Acaba de comenzar la 4ª Jornada FEAADAH.
'El adulto con TDAH' a cargo de José Manuel López Bragado.
#TDAH #tdahadulto https://t.co/916GZq5cvR</t>
  </si>
  <si>
    <t>https://pbs.twimg.com/profile_banners/1860792052083982336/1743380534</t>
  </si>
  <si>
    <t>TDAH é um Transtorno de Neurodesenvolvimento, que impacta tanto desde o nascimento quanto o autismo e é considerado deficiência em diversos países.
Para ter TDAH é necessário apresentar distração, impulsividade e hiperatividade (física ou mental) muito acima da média neurotípica</t>
  </si>
  <si>
    <t>507478385648758784</t>
  </si>
  <si>
    <t>https://pbs.twimg.com/media/E1akL28XEAQKBF0.jpg,https://pbs.twimg.com/media/E1akL28XIAUT54N.jpg</t>
  </si>
  <si>
    <t>https://x.com/srthiagomoraes/status/507478385648758784</t>
  </si>
  <si>
    <t>ser adulto:
acordar cedo
trabalhar
pagar contas
dor nas costas
não pode ir no pula-pula do parquinho
ou seja
ser adulto é uma merda</t>
  </si>
  <si>
    <t>srthiagomoraes</t>
  </si>
  <si>
    <t>gay branca não praticante</t>
  </si>
  <si>
    <t>https://pbs.twimg.com/profile_images/1854600278659514368/w18_Wp0Q_normal.jpg</t>
  </si>
  <si>
    <t>1939401477711089898</t>
  </si>
  <si>
    <t>K_clariss_</t>
  </si>
  <si>
    <t>O que vocês acham de pessoas usando medicamentos como a ritalina, sem ter nenhum déficit de atenção ou outros transtornos, apenas para melhorar o desempenho nos estudos?(se é q ajuda realmente) https://t.co/mRObU9t31O</t>
  </si>
  <si>
    <t>https://pbs.twimg.com/media/GuojXFwWAAE7WTr.jpg</t>
  </si>
  <si>
    <t>1390853048868745216</t>
  </si>
  <si>
    <t>https://pbs.twimg.com/profile_banners/94573648/1716040120</t>
  </si>
  <si>
    <t>https://x.com/coralineandu/status/1390853048868745216</t>
  </si>
  <si>
    <t>1437448515676950530</t>
  </si>
  <si>
    <t>#tdahadulto https://t.co/qn2jOY9ZLi</t>
  </si>
  <si>
    <t>https://x.com/TriboTDAH/status/1437448515676950530</t>
  </si>
  <si>
    <t>coralineandu</t>
  </si>
  <si>
    <t>carol</t>
  </si>
  <si>
    <t>1938901115199762760</t>
  </si>
  <si>
    <t>1366516195512451074</t>
  </si>
  <si>
    <t>1938630534571459043</t>
  </si>
  <si>
    <t>https://pbs.twimg.com/profile_images/1894008786462879744/VuSRKypX_normal.jpg</t>
  </si>
  <si>
    <t>https://x.com/Filipe1526917/status/1938901115199762760</t>
  </si>
  <si>
    <t>TDAHs não são todos iguais!
Longe do clichê “menino bagunceiro que é mal aluno”, pessoas com TDAH podem também ser extremamente inteligentes ou muito quietas no seu canto
Não há limite de idade para o TDAH, o transtorno nos acompanha pela vida toda muitos têm diagnóstico tardio</t>
  </si>
  <si>
    <t>1986889164365963407</t>
  </si>
  <si>
    <t>https://x.com/kindofsadd/status/1986889164365963407</t>
  </si>
  <si>
    <t>@izabelacapitu @renatan077 @lunaperegrinaa @Alisssun É hiper normal moça, toda pessoa é assim. Mas o xovem adulto moderno quer sempre achar uma saída fácil pra qualquer situação. Tudo é culpa de uma doença ou de um transtorno, nunca é falta de foco e dedicação. É mais fácil tomar remédio e culpar o universo pelo TDAH inventado</t>
  </si>
  <si>
    <t>Filipe1526917</t>
  </si>
  <si>
    <t>https://pbs.twimg.com/profile_banners/1366516195512451074/1722134252</t>
  </si>
  <si>
    <t>Filipe</t>
  </si>
  <si>
    <t>1689296704074305536</t>
  </si>
  <si>
    <t>https://abs.twimg.com/sticky/default_profile_images/default_profile_normal.png</t>
  </si>
  <si>
    <t>pues si, pero tmb Aldo es una persona adulta que puede poner un alto a su tío, por que siempre se mete con sus amistades. Si él no pone límites, Poncho lo va seguir alejando de sus reales y se quedará solo como el, o con hipócritas como el.</t>
  </si>
  <si>
    <t>kindofsadd</t>
  </si>
  <si>
    <t>if I could Fly ✨ ☿</t>
  </si>
  <si>
    <t>https://pbs.twimg.com/profile_images/1987588956939010048/Lyo4OxYu_normal.jpg</t>
  </si>
  <si>
    <t>https://pbs.twimg.com/profile_banners/29916336/1563994935</t>
  </si>
  <si>
    <t>https://pbs.twimg.com/media/E01NeibXsAoIR6u.jpg</t>
  </si>
  <si>
    <t>izabelacapitu</t>
  </si>
  <si>
    <t>1986883369381118048</t>
  </si>
  <si>
    <t>ro_e222</t>
  </si>
  <si>
    <t>Doña alegría tiene sus pensamientos bien claros y decisivos 
 https://t.co/b42k0jZaCz</t>
  </si>
  <si>
    <t>izabelacapitu,renatan077,lunaperegrinaa,Alisssun</t>
  </si>
  <si>
    <t>1986852867592868124</t>
  </si>
  <si>
    <t>https://x.com/SoyLaAboguapa/status/1986852867592868124</t>
  </si>
  <si>
    <t>Mamá: recuérdame el 26 de noviembre
Papi: ¿para que?
Mamá: es tu cumpleaños 
😂 y luego ellos dicen que el tdah no es genético 😂</t>
  </si>
  <si>
    <t>1387375800526065666</t>
  </si>
  <si>
    <t>SoyLaAboguapa</t>
  </si>
  <si>
    <t>ᴀʙᴏ ᴘᴇᴀʀꜱᴏɴ</t>
  </si>
  <si>
    <t>https://pbs.twimg.com/profile_images/1972470692818935810/9F2bOG40_normal.jpg</t>
  </si>
  <si>
    <t>https://x.com/bacabi/status/1387375800526065666</t>
  </si>
  <si>
    <t>https://pbs.twimg.com/profile_banners/56418466/1703185458</t>
  </si>
  <si>
    <t>Bom dia pra você que ficou trancada dentro da própria casa e não consegue ir trabalhar.
#TdahAdulto</t>
  </si>
  <si>
    <t>TdahAdulto</t>
  </si>
  <si>
    <t>1379470218834108423</t>
  </si>
  <si>
    <t>https://x.com/adahigi/status/1379470218834108423</t>
  </si>
  <si>
    <t>1489297628508692480</t>
  </si>
  <si>
    <t>https://x.com/TriboTDAH/status/1489297628508692480</t>
  </si>
  <si>
    <t>1379356642337304576</t>
  </si>
  <si>
    <t>👉 'El adulto con TDAH: dificultades en la pareja y en el trabajo'
🗓  Sábado 17 de abril
⏰ De 10 a 12:30 horas
📱 Escanea el código del cartel para inscribirte https://t.co/zVcLaU9QNr</t>
  </si>
  <si>
    <t>https://pbs.twimg.com/media/EyR1FS7XAAYYBGD.jpg</t>
  </si>
  <si>
    <t>TDAH não tem “prazo de validade”, não é transtorno que afeta somente a infância 
Perdura a vida toda
TDAHs adolescentes e adultos naturalmente encontram métodos e técnicas para mascarar sintomas e ter uma vida mais ajustada ao que a sociedade espera, mas não deixam de ser TDAHs.</t>
  </si>
  <si>
    <t>1354603035104841730</t>
  </si>
  <si>
    <t>1354590314489655299</t>
  </si>
  <si>
    <t>https://x.com/TriboTDAH/status/1354603035104841730</t>
  </si>
  <si>
    <t>“Todos os TDAHs vão mal na escola e na carreira?”
NÃO!
Há um mito comum sobre TDAHs não se formarem na escola ou faculdade, mas não há fundamento. 
TDAHs são bem sucedidos em assuntos de seu interesse.
Inclusive, há estudos sobre níveis de empreendedorismo maiores entre TDAHs</t>
  </si>
  <si>
    <t>1371787416529473539</t>
  </si>
  <si>
    <t>1448070403918807046</t>
  </si>
  <si>
    <t>https://x.com/feaadah/status/1371787416529473539</t>
  </si>
  <si>
    <t>https://x.com/THmonnteiro/status/1448070403918807046</t>
  </si>
  <si>
    <t>Quem transa diariamente é adolescente gente, adulto transa quando dá, a prioridade do adulto é conseguir ao menos dormir 08;00 hrs por dia!</t>
  </si>
  <si>
    <t>THmonnteiro</t>
  </si>
  <si>
    <t>👉 'TDAH adulto, el reto de coger las riendas'
🗓 Sábado 20 de marzo
⏰ De 10 a 12 horas
ℹ Inscripciones en: psicoeducacion.facyl@gmail.com
#manejodeltdah #formaciónvirtual #tdahadulto #cogerlasriendas https://t.co/gEw9CVCL41</t>
  </si>
  <si>
    <t>Thiago Monteiro</t>
  </si>
  <si>
    <t>869402605973327872</t>
  </si>
  <si>
    <t>https://pbs.twimg.com/profile_images/1408471394221006850/78DfC5Zd_normal.jpg</t>
  </si>
  <si>
    <t>manejodeltdah,formaciónvirtual,tdahadulto,cogerlasriendas</t>
  </si>
  <si>
    <t>https://pbs.twimg.com/profile_banners/869402605973327872/1611237666</t>
  </si>
  <si>
    <t>https://pbs.twimg.com/media/EwmREvQXMAE-BQU.jpg</t>
  </si>
  <si>
    <t>1370275939138072579</t>
  </si>
  <si>
    <t>1500311979931672576</t>
  </si>
  <si>
    <t>https://x.com/eguataz/status/1500311979931672576</t>
  </si>
  <si>
    <t>https://x.com/tdahdislex/status/1370275939138072579</t>
  </si>
  <si>
    <t>Todo mundo chamando o Arthur de frouxo e exaltando a coragem da Jade e eu achando o Arthur super certo de ter 33 anos na cara e não dá um pingo de moral e nem ficar rivalizando com uma pirralha de 20 anos q simplesmente cismou com a cara dele rs</t>
  </si>
  <si>
    <t>eguataz</t>
  </si>
  <si>
    <t>Taz</t>
  </si>
  <si>
    <t>https://pbs.twimg.com/profile_images/1611380629186220034/rNWP9_4A_normal.jpg</t>
  </si>
  <si>
    <t>https://pbs.twimg.com/profile_banners/66538465/1456175251</t>
  </si>
  <si>
    <t>1937680114298265825</t>
  </si>
  <si>
    <t>1937199466513125692</t>
  </si>
  <si>
    <t>1365028679273840652</t>
  </si>
  <si>
    <t>https://x.com/zeepdrive/status/1937680114298265825</t>
  </si>
  <si>
    <t>https://x.com/elifarmen/status/1365028679273840652</t>
  </si>
  <si>
    <t>@Psiquiatripa Adorei!!! Meu filho TDAH e TEA (mas com alta impulsividade)  sempre era molestado por um garoto que tem TOD, na antiga escola. Reclamamos diversas vezes com a direção e sempre falávamos para ele procurar um adulto quando isso acontecesse. Mas nunca tinha ninguém por perto. Falei</t>
  </si>
  <si>
    <t>zeepdrive</t>
  </si>
  <si>
    <t>Zeep</t>
  </si>
  <si>
    <t>1832915492740231168</t>
  </si>
  <si>
    <t>Los esperamos! #tdah #tdahadulto
https://t.co/wx7vZVY0uf https://t.co/6SCmc9DDkm</t>
  </si>
  <si>
    <t>https://pbs.twimg.com/profile_images/1832945865981411328/ShtAzzew_normal.jpg</t>
  </si>
  <si>
    <t>elifarmen</t>
  </si>
  <si>
    <t>Elisa Farías</t>
  </si>
  <si>
    <t>https://pbs.twimg.com/profile_images/1593705545852194818/BQaHOokV_normal.jpg</t>
  </si>
  <si>
    <t>1988236106064621670</t>
  </si>
  <si>
    <t>https://x.com/inexist3nte/status/1988236106064621670</t>
  </si>
  <si>
    <t>https://pbs.twimg.com/profile_banners/328287949/1717009164</t>
  </si>
  <si>
    <t>acho que acostumei a ser adulto até ter que fazer coisas de adulto 2.0 aí me acho uma criança ranhenta dnv</t>
  </si>
  <si>
    <t>inexist3nte</t>
  </si>
  <si>
    <t>tdah ansiedade e rinite alergica</t>
  </si>
  <si>
    <t>https://pbs.twimg.com/profile_images/1730537317348085760/-ZFGM7aJ_normal.jpg</t>
  </si>
  <si>
    <t>https://pbs.twimg.com/profile_banners/1832915492740231168/1725843336</t>
  </si>
  <si>
    <t>https://pbs.twimg.com/profile_banners/258484356/1655323561</t>
  </si>
  <si>
    <t>https://www.facebook.com/groups/www.triangulonaranja.org/?ref=share</t>
  </si>
  <si>
    <t>1937324850252505429</t>
  </si>
  <si>
    <t>1937324574430863372</t>
  </si>
  <si>
    <t>https://x.com/Glimmah_/status/1937324850252505429</t>
  </si>
  <si>
    <t>1878186489374298275</t>
  </si>
  <si>
    <t>https://x.com/Barrio_Tuetano/status/1878186489374298275</t>
  </si>
  <si>
    <t>https://pbs.twimg.com/media/EvGOWT0XMBQ-0Ye.jpg</t>
  </si>
  <si>
    <t>anyways, de dos adultos con TDAH donde solo una esta medicada sale medio adulto funcional y este pasa a cero al menor inconveniente 😔</t>
  </si>
  <si>
    <t>Glimmah_</t>
  </si>
  <si>
    <t>Mar 🧡 || I saw Chappell 😭😭 💖</t>
  </si>
  <si>
    <t>https://pbs.twimg.com/profile_images/1994154654658183168/ygQepjrm_normal.jpg</t>
  </si>
  <si>
    <t>A los TOC (teatro pero lo daremos por válido) hay que tenerle mucho respeto
A los TDAH no porque es un tío de 40 años y lo infantilizamos
Los cojonazos fresis
#GH11E</t>
  </si>
  <si>
    <t>Barrio_Tuetano</t>
  </si>
  <si>
    <t>Barrio Tuétano</t>
  </si>
  <si>
    <t>794336622292701184</t>
  </si>
  <si>
    <t>https://pbs.twimg.com/profile_images/1322233156062355456/RTVclyHr_normal.jpg</t>
  </si>
  <si>
    <t>1364663133814554626</t>
  </si>
  <si>
    <t>https://x.com/vivilemes7/status/1364663133814554626</t>
  </si>
  <si>
    <t>https://pbs.twimg.com/profile_banners/1337942784/1759711967</t>
  </si>
  <si>
    <t>Pra mim, ter #tdahadulto é acordar com impulso de comprar uma máquina de solda, um mini pônei e uma peruca sintética loira pq vc teve três ideias incríveis, sem relação entre si, mas que precisam dessas coisas urgente e vai ser demais!</t>
  </si>
  <si>
    <t>https://pbs.twimg.com/profile_banners/794336622292701184/1509690137</t>
  </si>
  <si>
    <t>vivilemes7</t>
  </si>
  <si>
    <t>JÁ FALEI Q TÔ CALMA</t>
  </si>
  <si>
    <t>https://pbs.twimg.com/profile_images/913770379277193221/wRVT6qSz_normal.jpg</t>
  </si>
  <si>
    <t>https://pbs.twimg.com/profile_banners/418745717/1505846641</t>
  </si>
  <si>
    <t>GH11E</t>
  </si>
  <si>
    <t>1544431057067458560</t>
  </si>
  <si>
    <t>1544431054882234369</t>
  </si>
  <si>
    <t>https://x.com/TriboTDAH/status/1544431057067458560</t>
  </si>
  <si>
    <t>1937255302392402120</t>
  </si>
  <si>
    <t>1937255298223239536</t>
  </si>
  <si>
    <t>https://x.com/GabsDicas/status/1937255302392402120</t>
  </si>
  <si>
    <t>TDAH é um Transtorno de Neurodesenvolvimento reconhecido mundialmente há décadas
Há impactos significativos nas vidas por causa dos neurotransmissores de dopamina na bioquímica cerebral
Ser “distraído de vez em quando” não torna alguém TDAH, somos assim sempre desde o nascimento!</t>
  </si>
  <si>
    <t>1364662884031152131</t>
  </si>
  <si>
    <t>https://x.com/vivilemes7/status/1364662884031152131</t>
  </si>
  <si>
    <t>1912803900081533073</t>
  </si>
  <si>
    <t>📖 Vencendo o TDAH Adulto
🔗 https://t.co/sZqDCDL89g
📖 Geografia Política e Geopolítica
🔗 https://t.co/Ci2riWvU96
📖 O jeito Warren Buffett de investir
🔗 https://t.co/uVqzpAimC1 https://t.co/aUH6INS92P</t>
  </si>
  <si>
    <t>GabsDicas</t>
  </si>
  <si>
    <t>https://x.com/amNizerk/status/1912803900081533073</t>
  </si>
  <si>
    <t>1905705090486591488</t>
  </si>
  <si>
    <t>https://pbs.twimg.com/profile_images/1911477613257756672/amdGXwtm_normal.jpg</t>
  </si>
  <si>
    <t>Pra mim, ter #tdahadulto é tentar equilibrar 50 pratos ao mesmo tempo, mas enquanto na verdade eu sou o prato que já caiu.</t>
  </si>
  <si>
    <t>Así pensaba la gente que me evaluó en la ESO y me hizo sentir la mayor basura del mundo para luego confirmar y descubrir con 2X ya de adulto que tengo TDAH. Que no sea tan grande el cohorte no hace que no tengas que tener seriedad a la hora de evaluar una situación.</t>
  </si>
  <si>
    <t>amNizerk</t>
  </si>
  <si>
    <t>Nicolás 'NizerK' Hamann🔻</t>
  </si>
  <si>
    <t>https://pbs.twimg.com/profile_images/1493666813099577345/7T72KkdJ_normal.jpg</t>
  </si>
  <si>
    <t>1364662385420681222</t>
  </si>
  <si>
    <t>https://pbs.twimg.com/profile_banners/1905705090486591488/1744566769</t>
  </si>
  <si>
    <t>https://pbs.twimg.com/profile_banners/337047403/1644953177</t>
  </si>
  <si>
    <t>https://x.com/vivilemes7/status/1364662385420681222</t>
  </si>
  <si>
    <t>Pra mim, ter #tdahadulto é não se incomodar em ter um quadro torto na parede, pq você nunca pendura o quadro.</t>
  </si>
  <si>
    <t>1912401811501088805</t>
  </si>
  <si>
    <t>mariaduran</t>
  </si>
  <si>
    <t>No sé quién es esta chica, pero soy ella ⬇️ https://t.co/XSiNpyv4Yh</t>
  </si>
  <si>
    <t>https://pbs.twimg.com/amplify_video_thumb/1912401666466328576/img/aI9oRTnhISWw82cZ.jpg</t>
  </si>
  <si>
    <t>1364660271214641159</t>
  </si>
  <si>
    <t>https://amzn.to/45xZ7Y1,https://amzn.to/4neUOqV,https://amzn.to/44fta4n</t>
  </si>
  <si>
    <t>https://x.com/vivilemes7/status/1364660271214641159</t>
  </si>
  <si>
    <t>1354931194878713860</t>
  </si>
  <si>
    <t>1354931183843504132</t>
  </si>
  <si>
    <t>https://x.com/TriboTDAH/status/1354931194878713860</t>
  </si>
  <si>
    <t>Dentro do meu cérebro tem uma orquestra, onde cada integrante toca uma música diferente sempre acelerada em 4x, com o carro da pamonha que troca por telesena velha gritando ao fundo. #tdahadulto</t>
  </si>
  <si>
    <t>Grande parte dos diagnósticos TDAH acontecem na vida adulta, até pela falta de informação que a sociedade disponibiliza sobre o transtorno, isso faz com que TDAHs cresçam se sentindo culpados por sintomas que não têm controle a respeito e achando que não são suficientes para nada</t>
  </si>
  <si>
    <t>1363180877816225793</t>
  </si>
  <si>
    <t>https://pbs.twimg.com/media/GuKDCsYXIAIw1CJ.jpg,https://pbs.twimg.com/media/GuKDBhGXsAAGzYV.jpg,https://pbs.twimg.com/media/GuKDEAfXEAArzQ0.jpg</t>
  </si>
  <si>
    <t>https://x.com/adahigi/status/1363180877816225793</t>
  </si>
  <si>
    <t>1594601626626674692</t>
  </si>
  <si>
    <t>https://x.com/fckmendex/status/1594601626626674692</t>
  </si>
  <si>
    <t>#TDAH #TDAHAdulto</t>
  </si>
  <si>
    <t>ter tdah é:
não conseguir dormir pq tem muita coisa passando na cabeça
começar a chorar pq lembrou de uma desilusão amorosa
perceber que tá morrendo de vontade de ir no banheiro e não tinha percebido
voltar do banheiro cantando a música da copa 
isso tudo em menos de 10 minutos</t>
  </si>
  <si>
    <t>fckmendex</t>
  </si>
  <si>
    <t>Julia VIU O SHAWN NO RIR E NO LOLLA ★</t>
  </si>
  <si>
    <t>917840833050705921</t>
  </si>
  <si>
    <t>1363076192539131908</t>
  </si>
  <si>
    <t>https://pbs.twimg.com/profile_images/1960398567618625536/MLAwZgTh_normal.jpg</t>
  </si>
  <si>
    <t>Hoy se está celebrando la II Jornada FEAADAH 'Intervención en el TDAH adulto'.
#TDAH #TDAHadulto https://t.co/sSuYSGg0dA</t>
  </si>
  <si>
    <t>https://pbs.twimg.com/media/Euqea4UWQAA7-QU.jpg,https://pbs.twimg.com/media/Euqea4WXIAAVWva.jpg,https://pbs.twimg.com/media/Euqea4rXYAIOr-R.jpg,https://pbs.twimg.com/media/Euqea5RXEAMTMEX.jpg</t>
  </si>
  <si>
    <t>https://pbs.twimg.com/profile_banners/917840833050705921/1756230415</t>
  </si>
  <si>
    <t>1363146451103191044</t>
  </si>
  <si>
    <t>1711068573660049807</t>
  </si>
  <si>
    <t>https://x.com/feaadah/status/1363146451103191044</t>
  </si>
  <si>
    <t>https://x.com/DoctorTeio/status/1711068573660049807</t>
  </si>
  <si>
    <t>La adultez consiste básicamente en trabajar para pagar gastos estúpidos y gustitos pendejos no es queja</t>
  </si>
  <si>
    <t>DoctorTeio</t>
  </si>
  <si>
    <t>Hoy se está celebrando la II Jornada FEAADAH 'Intervención en el TDAH adulto'.
#TDAH #TDAHadulto https://t.co/MDp9bYNusy</t>
  </si>
  <si>
    <t>Señor Rengoku.</t>
  </si>
  <si>
    <t>https://pbs.twimg.com/profile_images/1913048441791328256/oAO6NQrH_normal.jpg</t>
  </si>
  <si>
    <t>https://pbs.twimg.com/profile_banners/81388703/1757734235</t>
  </si>
  <si>
    <t>https://pbs.twimg.com/media/EuredzxXUAADTOG.jpg,https://pbs.twimg.com/media/Eured14XcAMuMhE.jpg,https://pbs.twimg.com/media/EuredzvWgAInXou.jpg,https://pbs.twimg.com/media/EuredzsXEAE_1Iw.jpg</t>
  </si>
  <si>
    <t>1468713140338806797</t>
  </si>
  <si>
    <t>https://x.com/Untuitero131/status/1468713140338806797</t>
  </si>
  <si>
    <t>He llegado a la conclusión que ser adulto es básicamente gastar el dinero en café para continuar siendo adulto...</t>
  </si>
  <si>
    <t>Untuitero131</t>
  </si>
  <si>
    <t>Tadeo...👍!!</t>
  </si>
  <si>
    <t>https://pbs.twimg.com/profile_images/1822722246093246464/rKnHU-2k_normal.jpg</t>
  </si>
  <si>
    <t>1936813135765123131</t>
  </si>
  <si>
    <t>https://x.com/feaadah/status/1363076192539131908</t>
  </si>
  <si>
    <t>https://x.com/mery_crismas7/status/1936813135765123131</t>
  </si>
  <si>
    <t>https://pbs.twimg.com/profile_banners/1056562694/1695321978</t>
  </si>
  <si>
    <t>https://t.co/OcHJiKdIPw</t>
  </si>
  <si>
    <t>mery_crismas7</t>
  </si>
  <si>
    <t>Mery Crismas 🔻</t>
  </si>
  <si>
    <t>1281965499627319300</t>
  </si>
  <si>
    <t>https://pbs.twimg.com/profile_images/1298621136536776705/4kMvwCRG_normal.jpg</t>
  </si>
  <si>
    <t>https://pbs.twimg.com/media/Euqea4UWQAA7-QU.jpg,https://pbs.twimg.com/media/Euqea5RXEAMTMEX.jpg,https://pbs.twimg.com/media/Euqea4WXIAAVWva.jpg,https://pbs.twimg.com/media/Euqea4rXYAIOr-R.jpg</t>
  </si>
  <si>
    <t>1586509751780868097</t>
  </si>
  <si>
    <t>https://x.com/JcThula/status/1586509751780868097</t>
  </si>
  <si>
    <t>https://pbs.twimg.com/profile_banners/1281965499627319300/1698400667</t>
  </si>
  <si>
    <t>Te das cuenta que llegaste a la adultez mayor cuando se te olvida una olla de agua que dejaste hirviendo hace 2 horas y la encuentras seca y con el teflón dañado.</t>
  </si>
  <si>
    <t>JcThula</t>
  </si>
  <si>
    <t>Juan C. Thula Rauseo</t>
  </si>
  <si>
    <t>https://pbs.twimg.com/profile_images/1950735946212646912/k3lA1Dv3_normal.jpg</t>
  </si>
  <si>
    <t>1361321413752324100</t>
  </si>
  <si>
    <t>zxx</t>
  </si>
  <si>
    <t>https://pbs.twimg.com/profile_banners/69527804/1603634793</t>
  </si>
  <si>
    <t>https://x.com/castelosoler/status/1361321413752324100</t>
  </si>
  <si>
    <t>https://aapsm.net/adenda-al-protocolo-para-el-trastorno-por-deficit-de-atencion-con-hiperactividad-tdah-adulto/</t>
  </si>
  <si>
    <t>Bom dia tuitinhos
Médico disse que tenho que beber menos / parar de beber... Pq não enfia logo uma faca no meu coração. 😵 #tdahadulto #psiquiatria #doençaautoimune #vinhoévida</t>
  </si>
  <si>
    <t>castelosoler</t>
  </si>
  <si>
    <t>castelo_soler</t>
  </si>
  <si>
    <t>804121267121045504</t>
  </si>
  <si>
    <t>https://pbs.twimg.com/profile_images/1457299324375814147/-JjPKGdi_normal.jpg</t>
  </si>
  <si>
    <t>1435689722244894728</t>
  </si>
  <si>
    <t>https://x.com/drunkkatemoss/status/1435689722244894728</t>
  </si>
  <si>
    <t>1936522203308151010</t>
  </si>
  <si>
    <t>https://x.com/yaszinhaik/status/1936522203308151010</t>
  </si>
  <si>
    <t>o sea que la adultez se trata de contratar tarjetas de crédito comprar despensa y que un día trapeando te caiga el veinte sobre lo que juan gabriel quiso decir en una rola y te tengas que sentar a reflexionar</t>
  </si>
  <si>
    <t>drunkkatemoss</t>
  </si>
  <si>
    <t>ternurin musulmán</t>
  </si>
  <si>
    <t>https://pbs.twimg.com/profile_images/1980754775994978304/UNpq2C1c_normal.jpg</t>
  </si>
  <si>
    <t>https://pbs.twimg.com/profile_banners/804121267121045504/1592837143</t>
  </si>
  <si>
    <t>perigos da maconha: jovem adulto que fuma maconha todo dia jurando que tem tdah e autismo e nao que ja teve o cerebro corroído</t>
  </si>
  <si>
    <t>yaszinhaik</t>
  </si>
  <si>
    <t>LOUD Yas</t>
  </si>
  <si>
    <t>1736907837039652864</t>
  </si>
  <si>
    <t>https://pbs.twimg.com/profile_images/1989821075736203264/uQmYKpxa_normal.jpg</t>
  </si>
  <si>
    <t>https://pbs.twimg.com/profile_banners/2486452603/1598325881</t>
  </si>
  <si>
    <t>tdahadulto,psiquiatria,doençaautoimune,vinhoévida</t>
  </si>
  <si>
    <t>https://pbs.twimg.com/profile_banners/1736907837039652864/1763245305</t>
  </si>
  <si>
    <t>1353453929988845570</t>
  </si>
  <si>
    <t>https://x.com/ZuzuExiste/status/1353453929988845570</t>
  </si>
  <si>
    <t>1374859305862709249</t>
  </si>
  <si>
    <t>https://x.com/ElBadiablo/status/1374859305862709249</t>
  </si>
  <si>
    <t>Parte 3: Adultéz temprena.
Una vez que El Tonto comprende la importancia del balance interno y externo se da tiempo para la introspección. Solo aquí podrá comenzar a prepararse para poder entender la etapa que viene. https://t.co/euCcvkAc9X</t>
  </si>
  <si>
    <t>ElBadiablo</t>
  </si>
  <si>
    <t>Old Man Coyote</t>
  </si>
  <si>
    <t>https://pbs.twimg.com/profile_images/1881777654543556608/VZq7rdiK_normal.jpg</t>
  </si>
  <si>
    <t>Hubo caravana. Planeé, igual no salí a tiempo. Llegamos, no había nadie: faltaba 1hr. Regresamos a casa, 24 min antes de la hora correcta comenzamos la salida, estamos a 10 min del 📍
Volvimos a llegar tarde.
¿Y el tiempo?
#tdah #tdahadulto #mamatdah
#familianeurodiversa</t>
  </si>
  <si>
    <t>ZuzuExiste</t>
  </si>
  <si>
    <t>1936212467421503747</t>
  </si>
  <si>
    <t>Aranzazu Migraña</t>
  </si>
  <si>
    <t>canabisbrasil</t>
  </si>
  <si>
    <t>https://t.co/JxKJRYaBCd</t>
  </si>
  <si>
    <t>https://pbs.twimg.com/profile_images/1787612195380977664/IOp74iot_normal.jpg</t>
  </si>
  <si>
    <t>https://pbs.twimg.com/profile_banners/25591482/1737485730</t>
  </si>
  <si>
    <t>https://pbs.twimg.com/media/Gt7O-SYXIAAOk1v.jpg</t>
  </si>
  <si>
    <t>https://pbs.twimg.com/profile_banners/286492231/1713680182</t>
  </si>
  <si>
    <t>https://pbs.twimg.com/media/ExR5eUIXEAUAzuc.jpg</t>
  </si>
  <si>
    <t>1936488997791875447</t>
  </si>
  <si>
    <t>1934611471436009908</t>
  </si>
  <si>
    <t>https://x.com/airtonnnnnnn/status/1936488997791875447</t>
  </si>
  <si>
    <t>tdah,tdahadulto,mamatdah,familianeurodiversa</t>
  </si>
  <si>
    <t>1347156388544458752</t>
  </si>
  <si>
    <t>1526568725826220032</t>
  </si>
  <si>
    <t>@eniovedovello1 @e_brietzke @AnneAurea q preconceito raso com medicamento. um adulto com tea e tdah q passou a infância e adolescência sem diagnóstico chega na fase adulta no limite da saúde mental tentando lidar sem nenhuma estrutura por todos esses anos, além de q associar terapia é sempre o padrão de tratamento</t>
  </si>
  <si>
    <t>https://x.com/LarahBezerra_/status/1347156388544458752</t>
  </si>
  <si>
    <t>airtonnnnnnn</t>
  </si>
  <si>
    <t>https://x.com/luigi_qb/status/1526568725826220032</t>
  </si>
  <si>
    <t>broke actor</t>
  </si>
  <si>
    <t>1546690246271766537</t>
  </si>
  <si>
    <t>https://pbs.twimg.com/profile_images/1976191639438729216/yC8L6h-a_normal.jpg</t>
  </si>
  <si>
    <t>Adulto es cuando haces dieta y ejercicio constantemente para que puedas mantener un sobrepeso decente.</t>
  </si>
  <si>
    <t>luigi_qb</t>
  </si>
  <si>
    <t>Luis Alberto</t>
  </si>
  <si>
    <t>Hoje meu nível de concentração tá abaixo de zero... não tem Ritalina no mundo que dê jeito! #tdahadulto https://t.co/awAjHaQfSf</t>
  </si>
  <si>
    <t>https://pbs.twimg.com/profile_images/1947570739735109632/mQq-7LaO_normal.jpg</t>
  </si>
  <si>
    <t>https://pbs.twimg.com/profile_banners/1546690246271766537/1671860464</t>
  </si>
  <si>
    <t>https://pbs.twimg.com/profile_banners/541976167/1644262551</t>
  </si>
  <si>
    <t>1341798815058317312</t>
  </si>
  <si>
    <t>https://x.com/adahi_es/status/1341798815058317312</t>
  </si>
  <si>
    <t>eniovedovello1</t>
  </si>
  <si>
    <t>eniovedovello1,e_brietzke,AnneAurea</t>
  </si>
  <si>
    <t>1936129156359544868</t>
  </si>
  <si>
    <t>1936128804793033192</t>
  </si>
  <si>
    <t>1519518686717132800</t>
  </si>
  <si>
    <t>https://x.com/PsyMapSV/status/1936129156359544868</t>
  </si>
  <si>
    <t>Tras un año lleno de retos y de grandes aprendizajes, nos despedimos hasta el 2021. ¡Esperamos que paséis unas muy felices fiestas! #TDAH #TDAHadulto https://t.co/p1jb1j6O7q</t>
  </si>
  <si>
    <t>https://x.com/yolyabreuh/status/1519518686717132800</t>
  </si>
  <si>
    <t>ADAHI</t>
  </si>
  <si>
    <t>https://pbs.twimg.com/profile_images/1522157600514715648/UYDjDRjy_normal.jpg</t>
  </si>
  <si>
    <t>Estas técnicas no reemplazan la medicación eficaz, ¡pero potencian tu manejo diario del TDAH! 💪
La ciencia confirma que en el TDAH adulto los fármacos son aliados clave, aunque no únicos. La combinación de tratamiento médico y hábitos saludables marca la diferencia.</t>
  </si>
  <si>
    <t>Me parece que la definición de adultez tiene que dejar de contener la edad. Veo cosas que no me parecen de adultos en gente ya entrada en la 3era, 4ta, 5ta y demás décadas de la vida.
Cualquiera los puede poner a comer alpiste si le da la gana...
Adolescentes perpetuos 🤷🏻‍♀️</t>
  </si>
  <si>
    <t>PsyMapSV</t>
  </si>
  <si>
    <t>yolyabreuh</t>
  </si>
  <si>
    <t>Yolanda Abreu H.</t>
  </si>
  <si>
    <t>1910032904370929664</t>
  </si>
  <si>
    <t>https://pbs.twimg.com/profile_images/1910040638797512704/3APElkrO_normal.jpg</t>
  </si>
  <si>
    <t>https://pbs.twimg.com/profile_images/1457164594905067533/HHZy_BjZ_normal.jpg</t>
  </si>
  <si>
    <t>https://pbs.twimg.com/profile_banners/3341640273/1649862663</t>
  </si>
  <si>
    <t>https://pbs.twimg.com/profile_banners/432422185/1502335157</t>
  </si>
  <si>
    <t>https://pbs.twimg.com/media/Ep8GW1rWwAEJUd7.jpg</t>
  </si>
  <si>
    <t>1987927191938547906</t>
  </si>
  <si>
    <t>1987853570390040949</t>
  </si>
  <si>
    <t>https://x.com/CafTV_/status/1987927191938547906</t>
  </si>
  <si>
    <t>https://pbs.twimg.com/profile_banners/1910032904370929664/1744224576</t>
  </si>
  <si>
    <t>@lachimolalabom @OT24h Hablo del criterio de la gente adulta. No de los fandoms tóxicos adolescentes que tanto daño están haciendo aquí. 
Y como nota, no hace falta tener “30” para que te llamen adulto, sólo tener la madurez suficiente alcanzada y comportarse como tal. Cosa que aquí, se carece mucho.</t>
  </si>
  <si>
    <t>CafTV_</t>
  </si>
  <si>
    <t>🌟MissOT🌟</t>
  </si>
  <si>
    <t>1338631031671361538</t>
  </si>
  <si>
    <t>https://pbs.twimg.com/profile_images/1982081012860428288/SNNi2W3X_normal.jpg</t>
  </si>
  <si>
    <t>https://x.com/JulyN1978/status/1338631031671361538</t>
  </si>
  <si>
    <t>https://pbs.twimg.com/profile_banners/1495650193/1743013954</t>
  </si>
  <si>
    <t>Né?!? E eu juro que sinto um alívio enorme qdo consigo parar por alguma coisa, ou alguém... Chipei de novo, @tdah.memes ... Desculpe... Mas a postagem nos descreve bem!!!
#tdahadulto
#vivendocomtdah https://t.co/wkRPcWtcjL</t>
  </si>
  <si>
    <t>JulyN1978</t>
  </si>
  <si>
    <t>1936128966265299327</t>
  </si>
  <si>
    <t>Juliana Nohara</t>
  </si>
  <si>
    <t>https://pbs.twimg.com/profile_images/486348880/twitterProfilePhoto_normal.jpg</t>
  </si>
  <si>
    <t>https://x.com/PsyMapSV/status/1936128966265299327</t>
  </si>
  <si>
    <t>¿Vives con TDAH siendo adulto? Algunas herramientas pueden ayudar además del tratamiento médico:
Organización externa: usar agendas, recordatorios y dividir tareas en pasos pequeños puede apoyar la concentración.</t>
  </si>
  <si>
    <t>lachimolalabom</t>
  </si>
  <si>
    <t>lachimolalabom,OT24h</t>
  </si>
  <si>
    <t>1797698794697486376</t>
  </si>
  <si>
    <t>https://x.com/fernwehhhx/status/1797698794697486376</t>
  </si>
  <si>
    <t>tdahadulto,vivendocomtdah</t>
  </si>
  <si>
    <t>https://www.instagram.com/p/CIzAxUpHzKb/?igshid=mhwqs7x9fk9x</t>
  </si>
  <si>
    <t>1936128820991738326</t>
  </si>
  <si>
    <t>la gente se piensa que el tdah es solo ser hiperactivo, hablar mucho y desorganización. estaria hermoso que todo el mundo nos informemos mas de todo lo que conlleva tenerlo y creo que nos acercaria muchisimo mas de lo que ya estamos a chiara❤️‍🩹</t>
  </si>
  <si>
    <t>fernwehhhx</t>
  </si>
  <si>
    <t>https://x.com/PsyMapSV/status/1936128820991738326</t>
  </si>
  <si>
    <t>b 🌷</t>
  </si>
  <si>
    <t>1387091094924627968</t>
  </si>
  <si>
    <t>https://pbs.twimg.com/profile_images/1954600780733767680/M4UmnA3f_normal.jpg</t>
  </si>
  <si>
    <t>En la práctica, estos resultados refuerzan guías actuales: los medicamentos estimulantes siguen siendo el tratamiento de primera línea para TDAH adulto (por su eficacia consistente). La atomoxetina es una alternativa útil, pero se debe monitorear efectos secundarios.</t>
  </si>
  <si>
    <t>tdah</t>
  </si>
  <si>
    <t>1336372415841136642</t>
  </si>
  <si>
    <t>https://pbs.twimg.com/profile_banners/1387091094924627968/1754182568</t>
  </si>
  <si>
    <t>https://x.com/unidadfocus/status/1336372415841136642</t>
  </si>
  <si>
    <t>1935421562494345639</t>
  </si>
  <si>
    <t>https://x.com/sowonemesis/status/1935421562494345639</t>
  </si>
  <si>
    <t>Ojo que mañana a las 20:30 hablamos del #tdahadulto en nuestra página de Facebook. Ponte una alarma que después se te olvida! #tdah #psiquiatria #psicologia https://t.co/kjYvPFUaLw</t>
  </si>
  <si>
    <t>unidadfocus</t>
  </si>
  <si>
    <t>Unidad Focus</t>
  </si>
  <si>
    <t>https://pbs.twimg.com/profile_images/478604221042810881/F_e2hv3l_normal.png</t>
  </si>
  <si>
    <t>gnt vcs falam como se ritalina fosse baratinho assim principalmente pra quem tem tdah mesmo que ritalina na maioria da vezes nao serve pra adulto ou precisa tomar de LA e altas dosagens oq aumenta o preço, ai sério mas ta tomo mundo viciado em psicoestimulante</t>
  </si>
  <si>
    <t>sowonemesis</t>
  </si>
  <si>
    <t>babi,, it's not the deep.</t>
  </si>
  <si>
    <t>1216907022215589889</t>
  </si>
  <si>
    <t>https://pbs.twimg.com/profile_images/1988193536101990400/ndfGVzV-_normal.jpg</t>
  </si>
  <si>
    <t>https://pbs.twimg.com/profile_banners/2571424633/1563458970</t>
  </si>
  <si>
    <t>https://pbs.twimg.com/profile_banners/1216907022215589889/1759239097</t>
  </si>
  <si>
    <t>e_brietzke</t>
  </si>
  <si>
    <t>tdahadulto,tdah,psiquiatria,psicologia</t>
  </si>
  <si>
    <t>Essa coisa de medicalização da vida é muito “white people problem”. A população pobre e preta não tá tomando Ritalina para passar em concurso, nem dizendo que tem autismo quando não tem. Está no SUS, desesperada em busca de diagnóstico e tratamento psiquiátrico.</t>
  </si>
  <si>
    <t>https://www.instagram.com/p/CIi9rIPDal4/?igshid=qz8nv8i6p2vy</t>
  </si>
  <si>
    <t>1935401802179985645</t>
  </si>
  <si>
    <t>1935089928443949108</t>
  </si>
  <si>
    <t>https://x.com/N0sc3T3Ipsum/status/1935401802179985645</t>
  </si>
  <si>
    <t>1986429819681132909</t>
  </si>
  <si>
    <t>https://x.com/nicho_tapia/status/1986429819681132909</t>
  </si>
  <si>
    <t>@Karma0life O, en caso de ser un muy severo y no tener medicación, no podría hacer vida independiente. Hablamos de ciertos trastornos con una facilidad increíble, pro con poco conocimiento al respecto. Si un niño con TDAH puede sacarse primaria, ESO y Bach, un adulto puede hacer un puzzle.</t>
  </si>
  <si>
    <t>N0sc3T3Ipsum</t>
  </si>
  <si>
    <t>Adulto? Con 56 ya estas cerca de jubilarse bro.</t>
  </si>
  <si>
    <t>Fac Te Ipse Felicem</t>
  </si>
  <si>
    <t>nicho_tapia</t>
  </si>
  <si>
    <t>1432751102559195143</t>
  </si>
  <si>
    <t>Nicho Tapia</t>
  </si>
  <si>
    <t>1026901236841361409</t>
  </si>
  <si>
    <t>https://pbs.twimg.com/profile_images/1801527891093499904/_jXwhYzg_normal.jpg</t>
  </si>
  <si>
    <t>https://pbs.twimg.com/profile_images/1447069564509069314/k418TK_B_normal.jpg</t>
  </si>
  <si>
    <t>1325538521302634498</t>
  </si>
  <si>
    <t>https://x.com/dara_coch/status/1325538521302634498</t>
  </si>
  <si>
    <t>https://pbs.twimg.com/profile_banners/1026901236841361409/1534087697</t>
  </si>
  <si>
    <t>👏🏻👏🏻😍 en la juventud está el futuro y ellos se están reinventando. 
Dejemos de criminalizarles por todo
#coaching #coachingtdah #tdahadulto
#juventud #tdah @feaadah</t>
  </si>
  <si>
    <t>Karma0life</t>
  </si>
  <si>
    <t>1934989803709202906</t>
  </si>
  <si>
    <t>https://x.com/jenosataniko/status/1934989803709202906</t>
  </si>
  <si>
    <t>1325531469792636935</t>
  </si>
  <si>
    <t>Amarillo_cp</t>
  </si>
  <si>
    <t>1985830564532752403</t>
  </si>
  <si>
    <t>GreenHeroRises</t>
  </si>
  <si>
    <t>Estamos de vuelta 🔥🔥
https://t.co/cua71uXor4 https://t.co/YQ6YwMfONm</t>
  </si>
  <si>
    <t>Y pensar que All Might vió morir a su maestra (Nana Shimura) cuando este tenía 19 años de edad. 🥀 https://t.co/okZuHxDJ9i</t>
  </si>
  <si>
    <t>https://pbs.twimg.com/media/EmU72K7W4AQMaiZ.jpg</t>
  </si>
  <si>
    <t>https://pbs.twimg.com/media/G48WX9FWQAAJnJx.jpg</t>
  </si>
  <si>
    <t>eu fico mt chocada qnd me dizem que algm q tem tdah só descobriu dps de adulto pq eu meus pais achavam q eu era a pessoa mais burra do mundo e me levaram no médico pq era uma burrice surreal (era tdah</t>
  </si>
  <si>
    <t>jenosataniko</t>
  </si>
  <si>
    <t>jota‧₊˚♡</t>
  </si>
  <si>
    <t>1650468332737290243</t>
  </si>
  <si>
    <t>https://pbs.twimg.com/profile_images/1989318418168762368/wm_uBii7_normal.jpg</t>
  </si>
  <si>
    <t>coaching,coachingtdah,tdahadulto,juventud,tdah</t>
  </si>
  <si>
    <t>1428863052670197760</t>
  </si>
  <si>
    <t>https://x.com/SoyDaniloDiaz/status/1428863052670197760</t>
  </si>
  <si>
    <t>1325376431669583872</t>
  </si>
  <si>
    <t>https://x.com/tdahzao/status/1325376431669583872</t>
  </si>
  <si>
    <t>https://pbs.twimg.com/profile_banners/1650468332737290243/1763125517</t>
  </si>
  <si>
    <t>La adultez se trata de deberte dinero a ti mismo, porque te pediste prestado de tus ahorros y ahora te tienes que pagar.</t>
  </si>
  <si>
    <t>SoyDaniloDiaz</t>
  </si>
  <si>
    <t>El Diaz</t>
  </si>
  <si>
    <t>https://pbs.twimg.com/profile_images/1849458549560168448/jpZyd9l3_normal.jpg</t>
  </si>
  <si>
    <t>Explosão de sentimentos... SIM ! Dominamos essa matéria .
#tdahadulto #tdah #emoções #dopamina #sentimentos https://t.co/Br5ihrXKgw</t>
  </si>
  <si>
    <t>tdahzao</t>
  </si>
  <si>
    <t>Tdahzão</t>
  </si>
  <si>
    <t>1322462184765558784</t>
  </si>
  <si>
    <t>https://pbs.twimg.com/profile_images/1322462421722845189/3refUg4F_normal.jpg</t>
  </si>
  <si>
    <t>https://pbs.twimg.com/profile_banners/637143339/1671401642</t>
  </si>
  <si>
    <t>1934791554650018068</t>
  </si>
  <si>
    <t>https://x.com/isafcp/status/1934791554650018068</t>
  </si>
  <si>
    <t>tdahadulto,tdah,emoções,dopamina,sentimentos</t>
  </si>
  <si>
    <t>https://www.instagram.com/p/CHUzIA5FQLF/?igshid=97pe6x8nhqbu</t>
  </si>
  <si>
    <t>Gente, nem todo adulto inútil é neurodivergente. Fora que eu já tô começando a me irritar com esse assunto pq meu irmão é um que usa a neurodivergência dele pra ser um preguiçoso, folgado, trair a esposa e os caralho a 4. Desde que TDAH viralizou todo mundo virou santo.</t>
  </si>
  <si>
    <t>1986797170435956988</t>
  </si>
  <si>
    <t>isafcp</t>
  </si>
  <si>
    <t>isadora 🫀</t>
  </si>
  <si>
    <t>https://x.com/home_and_health/status/1986797170435956988</t>
  </si>
  <si>
    <t>https://pbs.twimg.com/profile_images/1995203667885019136/VpxcjUGI_normal.jpg</t>
  </si>
  <si>
    <t>ÚLTIMAS HORAAAAAS!!! TALLA ADULTO
Enlace: https://t.co/3rONYz4Lf4 https://t.co/eqyMqr61Wn</t>
  </si>
  <si>
    <t>home_and_health</t>
  </si>
  <si>
    <t>Home and Health Chronicles</t>
  </si>
  <si>
    <t>1675907781054935043</t>
  </si>
  <si>
    <t>https://pbs.twimg.com/profile_images/1980665448921288704/hXw8QlwF_normal.jpg</t>
  </si>
  <si>
    <t>https://pbs.twimg.com/profile_banners/3295560831/1761736321</t>
  </si>
  <si>
    <t>1321044210628349955</t>
  </si>
  <si>
    <t>https://x.com/byemme_/status/1321044210628349955</t>
  </si>
  <si>
    <t>https://pbs.twimg.com/profile_banners/1675907781054935043/1722401822</t>
  </si>
  <si>
    <t>1934377258837324128</t>
  </si>
  <si>
    <t>bobodacortegay</t>
  </si>
  <si>
    <t>Diga q vc é capacitista sem dizer q vc é capacitista</t>
  </si>
  <si>
    <t>#Diadeltdah #diadotdah #tdahadulto #tdahespaña
https://t.co/Tw1V7SxqCx</t>
  </si>
  <si>
    <t>byemme_</t>
  </si>
  <si>
    <t>✨🐱`★ˎ</t>
  </si>
  <si>
    <t>1034532516009582592</t>
  </si>
  <si>
    <t>IFTTT</t>
  </si>
  <si>
    <t>https://pbs.twimg.com/profile_images/1713843706610987008/2z8MDqIh_normal.jpg</t>
  </si>
  <si>
    <t>1934632759252930838</t>
  </si>
  <si>
    <t>https://x.com/katysnobe/status/1934632759252930838</t>
  </si>
  <si>
    <t>https://amzn.to/3WFQBk3</t>
  </si>
  <si>
    <t>vieram cortar minha luz a vida do adulto c tdah não é fácil sabe kkkkkk q ódio. mas paguei na hora e n cortaram</t>
  </si>
  <si>
    <t>katysnobe</t>
  </si>
  <si>
    <t>https://pbs.twimg.com/media/G5KFf3OXAAAl-Sz.jpg</t>
  </si>
  <si>
    <t>isabella 🩹</t>
  </si>
  <si>
    <t>https://pbs.twimg.com/profile_images/1982167657706078208/FjkSaO-x_normal.jpg</t>
  </si>
  <si>
    <t>https://pbs.twimg.com/profile_banners/1034532516009582592/1708280801</t>
  </si>
  <si>
    <t>1253391174427172869</t>
  </si>
  <si>
    <t>https://x.com/IandeAlbuquerq/status/1253391174427172869</t>
  </si>
  <si>
    <t>https://pbs.twimg.com/profile_banners/423669787/1761427261</t>
  </si>
  <si>
    <t>ser adulto é tratar as pessoas bem, ter responsabilidade afetiva com você e com os outros, ser sincero e leal a quem passar pelo teu caminho. isso é ser adulto. não tem nada a ver com idade. você pode ter 27 anos e continuar gritando quando tiver feliz, e pagar muitos micos, blz?</t>
  </si>
  <si>
    <t>IandeAlbuquerq</t>
  </si>
  <si>
    <t>Iandê Albuquerque</t>
  </si>
  <si>
    <t>https://pbs.twimg.com/profile_images/1747054409576554496/IaB_8VWm_normal.jpg</t>
  </si>
  <si>
    <t>Diadeltdah,diadotdah,tdahadulto,tdahespaña</t>
  </si>
  <si>
    <t>https://www.instagram.com/p/CG17QRqjTRD/?igshid=1p1hhtha74fc5</t>
  </si>
  <si>
    <t>https://pbs.twimg.com/profile_banners/73368315/1742048862</t>
  </si>
  <si>
    <t>1439747700589740034</t>
  </si>
  <si>
    <t>https://x.com/TriboTDAH/status/1439747700589740034</t>
  </si>
  <si>
    <t>1314694324412731393</t>
  </si>
  <si>
    <t>https://x.com/JulyN1978/status/1314694324412731393</t>
  </si>
  <si>
    <t>Aproveitando a matéria do doutor @drauziovarella no #Fantástico sobre  TDAH, vem pra nossa Tribo TDAH conhecer TUDO que você precisa saber e nem o #Fant2500 vai te contar!!!
#TDAH</t>
  </si>
  <si>
    <t>Fantástico,Fant2500,TDAH</t>
  </si>
  <si>
    <t>1928494140603478224</t>
  </si>
  <si>
    <t>Tô rindo muuuuuuuito... Ai... @tdah.memes desculpem a chipada... É que esse vídeo é hilário!!! 
#vivendocomtdah 
#tdahadulto https://t.co/NGuKi1H6IT</t>
  </si>
  <si>
    <t>https://x.com/pedregulhando/status/1928494140603478224</t>
  </si>
  <si>
    <t>99% da galera que usa tdah como desculpa pra não ser um adulto funcional não tem diagnostico. Fui diagnosticado na era jurássica e nunca tive esses problemas de coitado</t>
  </si>
  <si>
    <t>pedregulhando</t>
  </si>
  <si>
    <t>predo</t>
  </si>
  <si>
    <t>https://pbs.twimg.com/profile_images/1978174835738968064/l1gH_1Zd_normal.jpg</t>
  </si>
  <si>
    <t>vivendocomtdah,tdahadulto</t>
  </si>
  <si>
    <t>1934205919933407542</t>
  </si>
  <si>
    <t>https://www.instagram.com/p/CGI7nIynI1r/?igshid=j2ub7gg4qz68</t>
  </si>
  <si>
    <t>1934205905647567289</t>
  </si>
  <si>
    <t>https://x.com/Paula_igr/status/1934205919933407542</t>
  </si>
  <si>
    <t>https://pbs.twimg.com/profile_banners/1525686386/1758671310</t>
  </si>
  <si>
    <t>Escucha el episodio completo y ayuda a visibilizar un problema real, frecuente y mal entendido.
Dale voz al TDAH en adultos. Compártelo. Comenta.
Seguimos avanzando y aprendiendo: https://t.co/5HA126ZmuD</t>
  </si>
  <si>
    <t>Paula_igr</t>
  </si>
  <si>
    <t>Paula Iglesias</t>
  </si>
  <si>
    <t>https://pbs.twimg.com/profile_images/1575965105187078151/zzIoxI7N_normal.jpg</t>
  </si>
  <si>
    <t>1927913296889270662</t>
  </si>
  <si>
    <t>xequemateuai</t>
  </si>
  <si>
    <t>gente vcs não conseguem fazer nada pqp em https://t.co/uLWhLSX2U2</t>
  </si>
  <si>
    <t>1311633236053942272</t>
  </si>
  <si>
    <t>https://pbs.twimg.com/media/GsFS7FuWAAAp-3a.jpg</t>
  </si>
  <si>
    <t>https://pbs.twimg.com/profile_banners/1142431224/1533917710</t>
  </si>
  <si>
    <t>https://x.com/Rafuky1/status/1311633236053942272</t>
  </si>
  <si>
    <t>1988739957213835675</t>
  </si>
  <si>
    <t>1988655887628812571</t>
  </si>
  <si>
    <t>https://x.com/tdtengounau/status/1988739957213835675</t>
  </si>
  <si>
    <t>https://t.co/lNOFSfniza…
Conoce y divulga #Iron4Life #tdahadulto @Educ_at @anshdamadrid_ @fundacioncadah @MxTdah @adultostda @ATENCIONorg @tdahajedrez @LeonasTdah @REducativoTDAH @Takeda_ES @amatdah_madrid @feaadah @yosoytdah @TDAHSalta @drajuncalTDAH</t>
  </si>
  <si>
    <t>Rafuky1</t>
  </si>
  <si>
    <t>Rafa Moran</t>
  </si>
  <si>
    <t>https://www.aisse.es/post/tdah-adulto-mitos-y-realidad</t>
  </si>
  <si>
    <t>https://pbs.twimg.com/profile_images/1240806864184582144/ceu5u06Z_normal.jpg</t>
  </si>
  <si>
    <t>@turritosalame Jajajajaja ay no porque? La tuya sobre mí va a cambiar 😭😭😭 ahora que sabes que... Soy un adulto 😭😭😭😭😭</t>
  </si>
  <si>
    <t>tdtengounau</t>
  </si>
  <si>
    <t>🦕 Bere 🎀 🇦🇷</t>
  </si>
  <si>
    <t>1585968552036573185</t>
  </si>
  <si>
    <t>https://pbs.twimg.com/profile_images/1977532970090033152/4rcwyxvI_normal.jpg</t>
  </si>
  <si>
    <t>https://pbs.twimg.com/profile_banners/1585968552036573185/1755564232</t>
  </si>
  <si>
    <t>1933957936638005291</t>
  </si>
  <si>
    <t>https://x.com/crepch/status/1933957936638005291</t>
  </si>
  <si>
    <t>https://pbs.twimg.com/profile_banners/37756283/1503915293</t>
  </si>
  <si>
    <t>No toda ayuda sirve. Acude a los profesionales.
#terapiamultisensorialsimbólica #terapia #terapialenguaje #autismo #depresión #ansiedadyestres #tdah #conducta #adulto #adolescentes #problemasdelenguaje #psicologia #saludmental #terapiapsicologica #terapiaenlínea #tdaa https://t.co/VVzh4K3R73</t>
  </si>
  <si>
    <t>turritosalame</t>
  </si>
  <si>
    <t>1987906655078457439</t>
  </si>
  <si>
    <t>https://x.com/Deltoya25/status/1987906655078457439</t>
  </si>
  <si>
    <t>terapiamultisensorialsimbólica,terapia,terapialenguaje,autismo,depresión,ansiedadyestres,tdah,conducta,adulto,adolescentes,problemasdelenguaje,psicologia,saludmental,terapiapsicologica,terapiaenlínea,tdaa</t>
  </si>
  <si>
    <t>https://pbs.twimg.com/media/GtbMDDsXAAAdwkI.jpg</t>
  </si>
  <si>
    <t>Lo que ustedes hacen de adultos yo lo hice adolescente, andar en cicla 80 kilómetros, salir a trotar, hacer ejercicio, beber y fumar todo eso, ahora que soy adulto hago cosas de adolecentes, la universidad, ir a terapia y todo eso.</t>
  </si>
  <si>
    <t>Deltoya25</t>
  </si>
  <si>
    <t>Alejandro</t>
  </si>
  <si>
    <t>1201310454464811009</t>
  </si>
  <si>
    <t>https://pbs.twimg.com/profile_images/1984734346708750336/VQ_EPQ_c_normal.jpg</t>
  </si>
  <si>
    <t>Iron4Life,tdahadulto</t>
  </si>
  <si>
    <t>http://instagram.com/p/CFzDOT4hmHy/</t>
  </si>
  <si>
    <t>https://pbs.twimg.com/profile_banners/1201310454464811009/1641125960</t>
  </si>
  <si>
    <t>Educ_at,fundacioncadah,MxTdah,adultostda,ATENCIONorg,tdahajedrez,LeonasTdah,REducativoTDAH,Takeda_ES,amatdah_madrid,feaadah,yosoytdah,TDAHSalta</t>
  </si>
  <si>
    <t>1311627075015659521</t>
  </si>
  <si>
    <t>1139914589020147713</t>
  </si>
  <si>
    <t>https://x.com/thesmallestboy/status/1139914589020147713</t>
  </si>
  <si>
    <t>https://x.com/Rafuky1/status/1311627075015659521</t>
  </si>
  <si>
    <t>diferencias entre ser joven y adulto: 
joven: se escapa de casa para ir a fiestas 
adulto: se escapa de fiestas para ir a casa</t>
  </si>
  <si>
    <t>thesmallestboy</t>
  </si>
  <si>
    <t>txiqui 🚲</t>
  </si>
  <si>
    <t>https://pbs.twimg.com/profile_images/1639706805285662720/ZPxTv4Ub_normal.jpg</t>
  </si>
  <si>
    <t>https://t.co/O3BjscRRke
Conoce y divulga #Iron4Life #tdahadulto @Educ_at @anshdamadrid_ @fundacioncadah @MxTdah @adultostda @ATENCIONorg @tdahajedrez @LeonasTdah @REducativoTDAH @Takeda_ES @amatdah_madrid @feaadah @yosoytdah @TDAHSalta</t>
  </si>
  <si>
    <t>https://pbs.twimg.com/profile_banners/34396735/1679771552</t>
  </si>
  <si>
    <t>https://www.instagram.com/p/CFzDOT4hmHy/?igshid=zhxyz75bxv45</t>
  </si>
  <si>
    <t>1457014346303803397</t>
  </si>
  <si>
    <t>https://x.com/DoctorFarola/status/1457014346303803397</t>
  </si>
  <si>
    <t>1933550975911854439</t>
  </si>
  <si>
    <t>https://x.com/BaldazoIlitch/status/1933550975911854439</t>
  </si>
  <si>
    <t>Como saber que eres un adulto:
- Subes 30 lbs en un pestañar
- Prefieres dormir que el teteo
- Todo te duele
- Prefieres Comodidad sobre estilo
- Los quehaceres se sienten como un castigo
- Los estudiantes de universidad se ven como niños de 12 años
- Vives jarto’ el día entero!</t>
  </si>
  <si>
    <t>DoctorFarola</t>
  </si>
  <si>
    <t>1205947006654582785</t>
  </si>
  <si>
    <t>https://pbs.twimg.com/profile_images/1932474334150344704/4d2jdHJ7_normal.jpg</t>
  </si>
  <si>
    <t>Cuando digo que soy raro, no es presunción, es una advertencia de traducción de lo que escuchan y lean, así pinches nací con cerebro neuroatipico tdah-asperger-tag-tlp y antes de ser consciente y tratarme manía depresiva . Hoy de adulto, me la pelan.</t>
  </si>
  <si>
    <t>BaldazoIlitch</t>
  </si>
  <si>
    <t>Carl Mendelius</t>
  </si>
  <si>
    <t>1521327530099179520</t>
  </si>
  <si>
    <t>https://pbs.twimg.com/profile_images/1948155059289677824/u_fUQFxq_normal.jpg</t>
  </si>
  <si>
    <t>1311626737097289729</t>
  </si>
  <si>
    <t>https://pbs.twimg.com/profile_banners/1205947006654582785/1749571924</t>
  </si>
  <si>
    <t>https://x.com/Rafuky1/status/1311626737097289729</t>
  </si>
  <si>
    <t>1731687421417304274</t>
  </si>
  <si>
    <t>1731546593466241068</t>
  </si>
  <si>
    <t>1933539168409223617</t>
  </si>
  <si>
    <t>https://x.com/tahindeed/status/1731687421417304274</t>
  </si>
  <si>
    <t>El libro #Iron4Life es ya #1 Amazon (LibrosTriatlon) pero también  pretende dar visibilidad al #tdahadulto @Educ_at @anshdamadrid_ @fundacioncadah @MxTdah @adultostda @ATENCIONorg @tdahajedrez @LeonasTdah @REducativoTDAH @Takeda_ES @amatdah_madrid @feaadah @yosoytdah @TDAHSalta</t>
  </si>
  <si>
    <t>https://x.com/Thorquatum/status/1933539168409223617</t>
  </si>
  <si>
    <t>@arionnnnnne REAL ADULTS know that the most important thing is having ya own place. A REAL ADULT also ain’t afraid to catch the bus, walk or order an Uber or Lyft</t>
  </si>
  <si>
    <t>tahindeed</t>
  </si>
  <si>
    <t>tah 💚</t>
  </si>
  <si>
    <t>É esquisito eu perceber que minha mãe não me ensinou nada de como ser um adulto funcional pq ela não é um adulto funcional, eu que tenho que ensinar ela a se organizar e planejar pra conseguir fazer as coisas, o TDAH  domina totalmente a vida dela</t>
  </si>
  <si>
    <t>758514405910786048</t>
  </si>
  <si>
    <t>Thorquatum</t>
  </si>
  <si>
    <t>https://pbs.twimg.com/profile_images/1976845166150385664/fnbslfyo_normal.jpg</t>
  </si>
  <si>
    <t>Torquato</t>
  </si>
  <si>
    <t>1004085680283308032</t>
  </si>
  <si>
    <t>https://pbs.twimg.com/profile_images/1703603467988713472/f4e8ndcP_normal.jpg</t>
  </si>
  <si>
    <t>https://pbs.twimg.com/profile_banners/758514405910786048/1759529038</t>
  </si>
  <si>
    <t>1309673136263237633</t>
  </si>
  <si>
    <t>https://pbs.twimg.com/profile_banners/1004085680283308032/1712362191</t>
  </si>
  <si>
    <t>https://x.com/jimesoria/status/1309673136263237633</t>
  </si>
  <si>
    <t>arionnnnnne</t>
  </si>
  <si>
    <t>1437414107272159237</t>
  </si>
  <si>
    <t>1437414098845716486</t>
  </si>
  <si>
    <t>https://x.com/TriboTDAH/status/1437414107272159237</t>
  </si>
  <si>
    <t>Este texto me llegó hondo porque sí, vivir con TDAH se siente como un fracaso cotidiano, pero también hay aceptación, amor y paciencia para esos días. 
#TDAHadulto #thisiswhatADHDlookslike 
 https://t.co/T6TpewhHCY vía @wordpressdotcom</t>
  </si>
  <si>
    <t>jimesoria</t>
  </si>
  <si>
    <t>jimena</t>
  </si>
  <si>
    <t>https://pbs.twimg.com/profile_images/1644546310501015554/jLMpqfBa_normal.jpg</t>
  </si>
  <si>
    <t>1933187410415718546</t>
  </si>
  <si>
    <t>https://x.com/crepch/status/1933187410415718546</t>
  </si>
  <si>
    <t>Pessoas TDAHs são mais criativas, geralmente tentam surpreender com gestos que mostram quanto amamos e nos importamos com as pessoas à nossa volta.
Somos mais carinhosos e empáticos 
Somos ótimos amigos e parceiros, mesmo com algumas questões próprias ao transtorno.
Tenha empatia</t>
  </si>
  <si>
    <t>https://pbs.twimg.com/profile_banners/113445938/1639527988</t>
  </si>
  <si>
    <t>1466842680504328199</t>
  </si>
  <si>
    <t>https://x.com/TriboTDAH/status/1466842680504328199</t>
  </si>
  <si>
    <t>No hay respuestas correctas e incorrectas.
#terapiamultisensorialsimbólica #terapialenguaje #autismo #depresión #ansiedad #TDAh #adulto #adolescentes #psicologia #terapiapsicologica #terapiaonline #terapiaenlínea #tdaa #FelizJueves #caminitoalaescuela https://t.co/QVOwJ2A1uT</t>
  </si>
  <si>
    <t>Ser TDAH é estar constantemente entre comportamentos da sua idade, alguns até parecidos com pessoas mais velhas, e ainda parecer que há certas situações quando nos sentimos e agimos como décadas mais novos e imaturos.
Mesmo nossa própria idade podemos esquecer e sentir mais novos</t>
  </si>
  <si>
    <t>TDAHadulto,thisiswhatADHDlookslike</t>
  </si>
  <si>
    <t>https://plumassororas.com/2020/09/25/el-fracaso-cotidiano/</t>
  </si>
  <si>
    <t>terapiamultisensorialsimbólica,terapialenguaje,autismo,depresión,ansiedad,TDAh,adulto,adolescentes,psicologia,terapiapsicologica,terapiaonline,terapiaenlínea,tdaa,FelizJueves,caminitoalaescuela</t>
  </si>
  <si>
    <t>https://pbs.twimg.com/media/GtQITJaWcAEp5cI.jpg</t>
  </si>
  <si>
    <t>1466233771183820800</t>
  </si>
  <si>
    <t>circesongs</t>
  </si>
  <si>
    <t>TDAHs, vocês sentem que mesmo que amadurecendo, vocês ainda são um pouco infantis, tipo em comportamentos e hábitos?
Isso é meio 8 ou 80 para mim, pq eu as vezes tenho bons momentos por causa disso, mas eu tbm sou muito julgada</t>
  </si>
  <si>
    <t>1442289739240026112</t>
  </si>
  <si>
    <t>https://x.com/TriboTDAH/status/1442289739240026112</t>
  </si>
  <si>
    <t>As manifestações do TDAH vão nos componhamos conforme a idade.
Continuamos com os sintomas mesmo adolescentes, adultos e idosos, mas aprendemos a lidar com eles conforme vamos crescendo e tentando conviver melhor em sociedade pelo que é esperado de nós.
Nós mascaramos nosso TDAH.</t>
  </si>
  <si>
    <t>wordpressdotcom</t>
  </si>
  <si>
    <t>1309548245207707653</t>
  </si>
  <si>
    <t>1932862802127171822</t>
  </si>
  <si>
    <t>https://x.com/afonsoribeiro/status/1309548245207707653</t>
  </si>
  <si>
    <t>https://x.com/tammyneuro/status/1932862802127171822</t>
  </si>
  <si>
    <t>1442289741085483010</t>
  </si>
  <si>
    <t>https://x.com/TriboTDAH/status/1442289741085483010</t>
  </si>
  <si>
    <t>Venvanse é vida. 
#TDAH #tdahadulto</t>
  </si>
  <si>
    <t>6 perguntas que eu faria em um caso de suspeita de TDAH adulto:
1. Como você se organiza?
2. Você esquece coisas simples?
3. O que te distrai?
4. Como lida com prazos? Procrastina?
5. Percebe com frequência desregulação emocional?
6. Como lida com (des)controle de impulsos?</t>
  </si>
  <si>
    <t>afonsoribeiro</t>
  </si>
  <si>
    <t>tammyneuro</t>
  </si>
  <si>
    <t>Afonso Ribeiro Advogado</t>
  </si>
  <si>
    <t>Tammy Marchiori</t>
  </si>
  <si>
    <t>1495809315394961415</t>
  </si>
  <si>
    <t>https://pbs.twimg.com/profile_images/1579650128755007489/s4EtWKSQ_normal.jpg</t>
  </si>
  <si>
    <t>https://pbs.twimg.com/profile_images/1930734996672643072/AnKcSce4_normal.jpg</t>
  </si>
  <si>
    <t>Uma criança TDAH pode ser mais agitada e crescer parecendo até mais calma na adolescência e vida adulta, mas aquela hiperatividade continua lá, muitas vezes com um turbilhão de pensamentos ou estereotipias (como mexer em objetos, cabelo, rabiscar cadernos, roer unhas, etc.)</t>
  </si>
  <si>
    <t>1595094406478061571</t>
  </si>
  <si>
    <t>https://x.com/DrSylveonPsyq/status/1595094406478061571</t>
  </si>
  <si>
    <t>https://pbs.twimg.com/profile_banners/1495809315394961415/1738338462</t>
  </si>
  <si>
    <t>https://pbs.twimg.com/profile_banners/20412939/1461433225</t>
  </si>
  <si>
    <t>Uno de los problemas más comunes que comunican los adultos con TDAH son los problemas de pareja o en el matrimonio.
Los adultos con TDAH tienen un mayor índice de separación y divorcio que aquellos que no.
(doi: 10.1176/ajp.150.12.1792) Aquí no somos inventadas.</t>
  </si>
  <si>
    <t>1987356308916388284</t>
  </si>
  <si>
    <t>1987356286476804486</t>
  </si>
  <si>
    <t>https://x.com/dante_moliterni/status/1987356308916388284</t>
  </si>
  <si>
    <t>1932855425193369787</t>
  </si>
  <si>
    <t>https://x.com/crepch/status/1932855425193369787</t>
  </si>
  <si>
    <t>A la vida adulta JSJSJSJS, es un gran pasó, es como que no se nota tanto la diferencia y a la vez sí)?
Pero bueno, FELIZ CUMPLEAÑOS AMIGOOOO 🫂🩷🥳🎈🎂 https://t.co/wkeNrV3JcL</t>
  </si>
  <si>
    <t>dante_moliterni</t>
  </si>
  <si>
    <t>Dante_Moliterni</t>
  </si>
  <si>
    <t>1531425782429515777</t>
  </si>
  <si>
    <t>1304412768318103553</t>
  </si>
  <si>
    <t>https://pbs.twimg.com/profile_images/1985552355333414913/Om2iM9pn_normal.jpg</t>
  </si>
  <si>
    <t>https://x.com/unidadfocus/status/1304412768318103553</t>
  </si>
  <si>
    <t>No enseñes a tus hijos a agradar a los demás, ayúdales a aceptarse a ellos mismos.
#terapiamultisensorialsimbólica #terapialenguaje #autismo #depresión #ansiedad #TDAh #adulto #adolescentes #psicologia #terapiapsicologica #terapiaonline #terapiaenlínea #tdaa #FelizMiércoles https://t.co/XJQ09oregj</t>
  </si>
  <si>
    <t>https://pbs.twimg.com/profile_banners/1531425782429515777/1748395146</t>
  </si>
  <si>
    <t>Qué bien pintan esos planes en nuestra cabeza, pero como hacen aguas cuando los empezamos a ejecutar #tdah #tdahadulto #psicologia #hiperactividad #unidadfocus #coruña https://t.co/XXA8ozHMT2</t>
  </si>
  <si>
    <t>terapiamultisensorialsimbólica,terapialenguaje,autismo,depresión,ansiedad,TDAh,adulto,adolescentes,psicologia,terapiapsicologica,terapiaonline,terapiaenlínea,tdaa,FelizMiércoles</t>
  </si>
  <si>
    <t>https://pbs.twimg.com/amplify_video_thumb/1932855273200271360/img/dOEpFluzLXa1YxsG.jpg</t>
  </si>
  <si>
    <t>tdah,tdahadulto,psicologia,hiperactividad,unidadfocus,coruña</t>
  </si>
  <si>
    <t>https://www.instagram.com/p/CE_4HLAlZ6E/?igshid=15b8ya60iculi</t>
  </si>
  <si>
    <t>https://pbs.twimg.com/media/G5SCB8GXcAAFloH.jpg,https://pbs.twimg.com/media/G5SCB7_XsAA-Usx.jpg,https://pbs.twimg.com/media/G5SCB7sXIAAzDEx.jpg</t>
  </si>
  <si>
    <t>https://video.twimg.com/amplify_video/1932855273200271360/vid/avc1/858x720/35wFdI-sCHP-GE7q.mp4?tag=14</t>
  </si>
  <si>
    <t>1302979316268097536</t>
  </si>
  <si>
    <t>1405347590909071363</t>
  </si>
  <si>
    <t>https://x.com/tdahajedrez/status/1302979316268097536</t>
  </si>
  <si>
    <t>https://x.com/tatianotzin/status/1405347590909071363</t>
  </si>
  <si>
    <t>1932812006844948529</t>
  </si>
  <si>
    <t>https://x.com/apnadah/status/1932812006844948529</t>
  </si>
  <si>
    <t>Ser adulto básicamente consiste en pagar cuentas y llorar en silencio en el baño, secar tus lagrimitas y para los que tenemos hijos, salir sonriente como si nada hubiera pasado.</t>
  </si>
  <si>
    <t>Los profesores deben ser conscientes y estar informados sobre el trastorno y sus consecuencias para aplicar los ajustes más precisos con el fin de mejorar el rendimiento del niño en la escuela. Visita https://t.co/6ESYKaULb1 #TDAH #Ajedrez #TDAHadulto #TDAHylaescuela #TDAHniños https://t.co/n6lNgsp74b</t>
  </si>
  <si>
    <t>tdahajedrez</t>
  </si>
  <si>
    <t>1230435593148096513</t>
  </si>
  <si>
    <t>https://pbs.twimg.com/profile_images/1230435744386179072/ejWQu574_normal.png</t>
  </si>
  <si>
    <t>21 de junio: Escuela de Familias orientada a adultos:
 “PSICOTERAPIA EN EL ADULTO CON TDAH", impartida por Carlos López, de Apunt Psicólegs
⌚ A las 10 h.
📍 Sede a Apnadah u on line
 Inscripciones: https://t.co/gK2JvwQhrA
Actividad subvencionada por @AjuntamentVLC</t>
  </si>
  <si>
    <t>918962554248073217</t>
  </si>
  <si>
    <t>https://x.com/TWLOHA/status/918962554248073217</t>
  </si>
  <si>
    <t>https://pbs.twimg.com/profile_banners/1230435593148096513/1582193926</t>
  </si>
  <si>
    <t>"15 'Adulting' Truths You May Relate to If You Struggle With Mental Illness"
https://t.co/VwxO0R2znv</t>
  </si>
  <si>
    <t>TWLOHA</t>
  </si>
  <si>
    <t>https://pbs.twimg.com/profile_images/1712460340603006976/m37yryMy_normal.jpg</t>
  </si>
  <si>
    <t>https://pbs.twimg.com/profile_banners/15099384/1697117336</t>
  </si>
  <si>
    <t>TDAH,Ajedrez,TDAHadulto,TDAHylaescuela,TDAHniños</t>
  </si>
  <si>
    <t>http://tdah-ajedrez.com</t>
  </si>
  <si>
    <t>https://forms.gle/7b5GucXLK3Vmg2v36</t>
  </si>
  <si>
    <t>Buffer App</t>
  </si>
  <si>
    <t>https://themighty.com/2017/09/being-an-adult-adulting-struggle-with-mental-illness/?utm_source=Facebook&amp;utm_medium=NP&amp;utm_campaign=TWLOHA</t>
  </si>
  <si>
    <t>AjuntamentVLC</t>
  </si>
  <si>
    <t>1932503881583354042</t>
  </si>
  <si>
    <t>1932424067543351748</t>
  </si>
  <si>
    <t>https://x.com/danii_heell/status/1932503881583354042</t>
  </si>
  <si>
    <t>https://pbs.twimg.com/media/EhUcxyHWoAE9SwM.jpg</t>
  </si>
  <si>
    <t>@raiam700 Se for fumar, deixe pra quando for adulto.
Já vi muita gente se auto diagnosticando com TDAH mas quando tinha 15 anos não parava de fumar uma verdinha</t>
  </si>
  <si>
    <t>danii_heell</t>
  </si>
  <si>
    <t>malditoᶜʳᶠ</t>
  </si>
  <si>
    <t>https://pbs.twimg.com/profile_images/1917251068678856704/_DodtUyN_normal.jpg</t>
  </si>
  <si>
    <t>1302676167930109954</t>
  </si>
  <si>
    <t>https://x.com/PatriciaLopesT2/status/1302676167930109954</t>
  </si>
  <si>
    <t>https://pbs.twimg.com/profile_banners/2413171268/1746933780</t>
  </si>
  <si>
    <t>Meu próximo TCC será sobre Adultos autistas!!!
📄📑🖊✏
#autismoadulto
#tdahadulto 
#autistas
#aspie 
#aspergers 
#comorbidades 
#comorbidadesnoautismo 
💙💙💙💙💙💙💙💙💙💙 em Padre Miguel, Rio De Janeiro, Brazil https://t.co/YFtknV3BZ8</t>
  </si>
  <si>
    <t>PatriciaLopesT2</t>
  </si>
  <si>
    <t>Patricia Lopes Tito</t>
  </si>
  <si>
    <t>1252593520331890688</t>
  </si>
  <si>
    <t>https://pbs.twimg.com/profile_images/1252593795851583491/ArWlJ87Z_normal.jpg</t>
  </si>
  <si>
    <t>raiam700</t>
  </si>
  <si>
    <t>autismoadulto,tdahadulto,autistas,aspie,aspergers,comorbidades,comorbidadesnoautismo</t>
  </si>
  <si>
    <t>https://www.instagram.com/p/CEziZaFllU-/?igshid=sjpuxyulcg8v</t>
  </si>
  <si>
    <t>1595095374083260416</t>
  </si>
  <si>
    <t>https://x.com/DrSylveonPsyq/status/1595095374083260416</t>
  </si>
  <si>
    <t>Tanto los adolescentes como adultos con TDAH suelen presentar un déficit en el manejo de habilidades sociales y un bajo nivel de desarrollo de habilidades de comunicación.  Les resulta complicado entender e interpretar correctamente el lenguaje corporal o las expresiones faciales</t>
  </si>
  <si>
    <t>1986429938207953160</t>
  </si>
  <si>
    <t>1986257064646357404</t>
  </si>
  <si>
    <t>https://x.com/minarindies/status/1986429938207953160</t>
  </si>
  <si>
    <t>@sweetxssx te colocaram pra fazer em outra cidade?? se você for menor de idade, você tem que tá acompanhada de alguma forma. sobre o tdah, você vai ter mais tempo pra fazer a prova e vai ficar numa sala separada, além dos recursos de leitura.</t>
  </si>
  <si>
    <t>minarindies</t>
  </si>
  <si>
    <t>paçoca da emma - 𝐀𝐔𝐒 𝐍𝐎 📌</t>
  </si>
  <si>
    <t>1870867108046970880</t>
  </si>
  <si>
    <t>https://pbs.twimg.com/profile_images/1987324968082825216/SgbzB9x1_normal.jpg</t>
  </si>
  <si>
    <t>1300534268490285056</t>
  </si>
  <si>
    <t>https://x.com/byemme_/status/1300534268490285056</t>
  </si>
  <si>
    <t>https://pbs.twimg.com/profile_banners/1870867108046970880/1762650208</t>
  </si>
  <si>
    <t>1932134371127165290</t>
  </si>
  <si>
    <t>1932133998668509630</t>
  </si>
  <si>
    <t>https://x.com/cakebelz/status/1932134371127165290</t>
  </si>
  <si>
    <t>«Ty Pennington dice que la parte más difícil de tener TDAH era la misma escuela y en todas las tareas relacionadas, como la lectura, por ejemplo. Leyó un libro, pero no podía recordar lo que acababa de leer.»
#tdahadulto 
https://t.co/zmRMGZAECF</t>
  </si>
  <si>
    <t>sweetxssx</t>
  </si>
  <si>
    <t>Meninas com tdah e super dotação que nunca tiveram tantos problemas mas aí entram num mundo adulto mais flexível e perdem tudo oiiiiii 💚💚💚💚💚</t>
  </si>
  <si>
    <t>cakebelz</t>
  </si>
  <si>
    <t>Cake de bug</t>
  </si>
  <si>
    <t>1619415308543868929</t>
  </si>
  <si>
    <t>https://pbs.twimg.com/profile_images/1815418761060466688/l1iCEYFY_normal.jpg</t>
  </si>
  <si>
    <t>https://pbs.twimg.com/profile_banners/1619415308543868929/1702922623</t>
  </si>
  <si>
    <t>https://www.instagram.com/p/CEkUJiNCPd-/?igshid=1441hpoun9esr</t>
  </si>
  <si>
    <t>1931888565958676616</t>
  </si>
  <si>
    <t>https://x.com/vit_velasco/status/1931888565958676616</t>
  </si>
  <si>
    <t>1299202128859275264</t>
  </si>
  <si>
    <t>https://x.com/adamfrancoo/status/1299202128859275264</t>
  </si>
  <si>
    <t>Apliquei concurso hj pra um adulto com TDAH meu deus como foi penoso</t>
  </si>
  <si>
    <t>vit_velasco</t>
  </si>
  <si>
    <t>vit</t>
  </si>
  <si>
    <t>1121559863954427907</t>
  </si>
  <si>
    <t>https://pbs.twimg.com/profile_images/1665696424049164289/Ia1dKYRU_normal.jpg</t>
  </si>
  <si>
    <t>1433063541964263425</t>
  </si>
  <si>
    <t>As vezes me perguntam como é ter Tdah!? Então resolvi fazer essa imagem/meme pra mostrar um dos meus grandes problemas! 
#adhd #tdah #tdahadulto https://t.co/qvI6Zmu2Mo https://t.co/IvgOBMZJ4X</t>
  </si>
  <si>
    <t>https://pbs.twimg.com/profile_banners/1121559863954427907/1694158596</t>
  </si>
  <si>
    <t>adamfrancoo</t>
  </si>
  <si>
    <t>adam franco</t>
  </si>
  <si>
    <t>https://x.com/TriboTDAH/status/1433063541964263425</t>
  </si>
  <si>
    <t>https://pbs.twimg.com/profile_images/1477894576857915395/hffubEWb_normal.jpg</t>
  </si>
  <si>
    <t>O cérebro TDAH funciona diferente desde o nosso nascimento, tem um amadurecimento em um tempo próprio por isso é um Transtorno de Neurodesenvolvimento. O que acontece é que estamos tão acostumados com o TDAH que, ao longo da vida, encontramos estratégias que funcionam melhor</t>
  </si>
  <si>
    <t>1987598988858839289</t>
  </si>
  <si>
    <t>https://x.com/ttdatets/status/1987598988858839289</t>
  </si>
  <si>
    <t>https://pbs.twimg.com/profile_banners/4909051090/1593296024</t>
  </si>
  <si>
    <t>eu quando sou um mulherão adulta de 24 anos em um dia e uma adolescente bobinha de 24 anos no outro</t>
  </si>
  <si>
    <t>ttdatets</t>
  </si>
  <si>
    <t>tete</t>
  </si>
  <si>
    <t>1217301513539899392</t>
  </si>
  <si>
    <t>https://pbs.twimg.com/profile_images/1980861496574816257/oDwUtz9l_normal.jpg</t>
  </si>
  <si>
    <t>https://pbs.twimg.com/profile_banners/1217301513539899392/1762141461</t>
  </si>
  <si>
    <t>adhd,tdah,tdahadulto</t>
  </si>
  <si>
    <t>https://instagr.am/p/CEawHcqD8Zd/</t>
  </si>
  <si>
    <t>1569091023904571395</t>
  </si>
  <si>
    <t>https://x.com/loremimpsu/status/1569091023904571395</t>
  </si>
  <si>
    <t>O que ninguém te conta sobre tdah é que é muito dificil de se relacionar. Você esquece datas, esquece compromissos, esquece até de sentir saudade. Não nota traços de irritabilidade ou inconveniências que para alguns é natural. Não faz o mínimo sentido às vezes. E é apenas a gnt.</t>
  </si>
  <si>
    <t>loremimpsu</t>
  </si>
  <si>
    <t>https://pbs.twimg.com/media/Egexc6JXgAAhcOw.jpg</t>
  </si>
  <si>
    <t>Lorem Impsu 🛸</t>
  </si>
  <si>
    <t>1482054025113706502</t>
  </si>
  <si>
    <t>https://pbs.twimg.com/profile_images/1720805116733698048/5v_HUIso_normal.jpg</t>
  </si>
  <si>
    <t>1290308647051038720</t>
  </si>
  <si>
    <t>https://pbs.twimg.com/profile_banners/1482054025113706502/1695129378</t>
  </si>
  <si>
    <t>https://x.com/SiempreSiglo/status/1290308647051038720</t>
  </si>
  <si>
    <t>Si tocan el derecho a la #educación, tocan la #pedagogía
#tdahadulto #tdahinfantil #tdah #diversidad #atenciónaladiversidad https://t.co/X9vJ1zx8pQ</t>
  </si>
  <si>
    <t>SiempreSiglo</t>
  </si>
  <si>
    <t>1987891297189859419</t>
  </si>
  <si>
    <t>Pedagogía Siglo Siempre</t>
  </si>
  <si>
    <t>1263878991666176002</t>
  </si>
  <si>
    <t>https://x.com/DAYC4TCHER/status/1987891297189859419</t>
  </si>
  <si>
    <t>https://pbs.twimg.com/profile_images/1277482508108664833/bS_ia0ED_normal.jpg</t>
  </si>
  <si>
    <t>Uma tonhona de 50 anos agindo igual adolescente pqp minha filha vira gente</t>
  </si>
  <si>
    <t>DAYC4TCHER</t>
  </si>
  <si>
    <t>debs</t>
  </si>
  <si>
    <t>https://pbs.twimg.com/profile_images/1986102915824549888/LyYUrk-L_normal.jpg</t>
  </si>
  <si>
    <t>https://pbs.twimg.com/profile_banners/1263878991666176002/1592859373</t>
  </si>
  <si>
    <t>https://pbs.twimg.com/profile_banners/2455362086/1761369965</t>
  </si>
  <si>
    <t>educación,pedagogía,tdahadulto,tdahinfantil,tdah,diversidad,atenciónaladiversidad</t>
  </si>
  <si>
    <t>https://pbs.twimg.com/media/EegY3_yXYAEEz7F.jpg</t>
  </si>
  <si>
    <t>1466847050927165443</t>
  </si>
  <si>
    <t>https://x.com/TriboTDAH/status/1466847050927165443</t>
  </si>
  <si>
    <t>Nos TDAHs às vezes temos a sabedoria de uma pessoa com 60 anos, mas que ficou presa na 5ª série interior com atitudes impensadas que podem nos colocar em situações constrangedoras e de vez em quando precisamos calcular nossa idade para lembrar quanto anos realmente temos https://t.co/SrsYy9uy3q</t>
  </si>
  <si>
    <t>1282636622031282180</t>
  </si>
  <si>
    <t>https://x.com/PsicoToledo/status/1282636622031282180</t>
  </si>
  <si>
    <t>1707020968672010671</t>
  </si>
  <si>
    <t>1930466909830389997</t>
  </si>
  <si>
    <t>1930340557513207847</t>
  </si>
  <si>
    <t>https://x.com/UrbanaPlayFM/status/1707020968672010671</t>
  </si>
  <si>
    <t>https://x.com/profluciabo/status/1930466909830389997</t>
  </si>
  <si>
    <t>#tdah #tdahinfantil #tdahadulto #psicología #psicologo #toledo #toledoespaña #toledospain #cobisa #arges #layos #guadamur #polantoledo #burguillosdetoledo #nambroca #moradetoledo #sonseca #bargas #oliasdelrey… https://t.co/TwVJrzQ318</t>
  </si>
  <si>
    <t>PsicoToledo</t>
  </si>
  <si>
    <t>Psicólogo toledo</t>
  </si>
  <si>
    <t>914788294436716544</t>
  </si>
  <si>
    <t>https://pbs.twimg.com/profile_images/914789238289371136/42IwAk_0_normal.jpg</t>
  </si>
  <si>
    <t>"Adulto es toda aquella persona que sin importar su edad haya perdido algo importante", SÍ. LLEGÓ ROLÓN. https://t.co/8QgKhSxCRh</t>
  </si>
  <si>
    <t>UrbanaPlayFM</t>
  </si>
  <si>
    <t>Urbana Play 104.3 FM</t>
  </si>
  <si>
    <t>1354756064886009856</t>
  </si>
  <si>
    <t>https://pbs.twimg.com/profile_images/1970909096862740480/33tbxFwd_normal.jpg</t>
  </si>
  <si>
    <t>@perfildorochaa @oopsalyssabct @CamilaPitanga Eu sou todo fodido. Tdah que só comecei a tratar depois de adulto, tenho fobia social e por isso tenho muita dificuldade de sair de casa. Faço terapia, tomo medicação, melhorei bastante, mas ainda ta uma merda.</t>
  </si>
  <si>
    <t>profluciabo</t>
  </si>
  <si>
    <t>Comunista de Motorola</t>
  </si>
  <si>
    <t>1432397304338784257</t>
  </si>
  <si>
    <t>https://pbs.twimg.com/profile_images/1935337935567560704/Exs98O0m_normal.jpg</t>
  </si>
  <si>
    <t>https://pbs.twimg.com/profile_banners/914788294436716544/1506937867</t>
  </si>
  <si>
    <t>https://pbs.twimg.com/profile_banners/1354756064886009856/1750881542</t>
  </si>
  <si>
    <t>https://pbs.twimg.com/profile_banners/1432397304338784257/1742404315</t>
  </si>
  <si>
    <t>und</t>
  </si>
  <si>
    <t>tdah,tdahinfantil,tdahadulto,psicología,psicologo,toledo,toledoespaña,toledospain,cobisa,arges,layos,guadamur,polantoledo,burguillosdetoledo,nambroca,moradetoledo,sonseca,bargas,oliasdelrey</t>
  </si>
  <si>
    <t>https://www.instagram.com/p/CClJdwsBoKa/?igshid=138e6ep2l1ovi</t>
  </si>
  <si>
    <t>https://pbs.twimg.com/ext_tw_video_thumb/1707020844667490306/pu/img/6A5xCoWHdkhZdr7t.jpg</t>
  </si>
  <si>
    <t>perfildorochaa</t>
  </si>
  <si>
    <t>perfildorochaa,oopsalyssabct,CamilaPitanga</t>
  </si>
  <si>
    <t>https://video.twimg.com/ext_tw_video/1707020844667490306/pu/vid/avc1/1280x720/pY3NFG1SGL3XgWcJ.mp4?tag=12</t>
  </si>
  <si>
    <t>1278700140551966720</t>
  </si>
  <si>
    <t>https://x.com/LarahBezerra_/status/1278700140551966720</t>
  </si>
  <si>
    <t>https://pbs.twimg.com/profile_images/1990300681232683010/YszKZUvu_normal.jpg</t>
  </si>
  <si>
    <t>https://x.com/drauziovarella/status/1439763844826607619</t>
  </si>
  <si>
    <t>Cada vez que eu tiro um papelzinho desse, eu deveria ter a sensação de missão cumprida, de alívio... se eu não tirasse um e acrescentasse mais três. 😰 #minihabitos #diariotdah #tdahadulto #teacherlife #homeoffice #quarentinevibes https://t.co/DRLBAnLVUw</t>
  </si>
  <si>
    <t>https://pbs.twimg.com/profile_banners/220106733/1763359750</t>
  </si>
  <si>
    <t>O TDAH ainda é encarado como um transtorno da infância, mas é importante saber que adultos com TDAH existem e quase sempre enfrentam dificuldades no trabalho, estudo e relacionamentos pela falta de informação sobre a condição e a dificuldade de obter diagnóstico. Segue:</t>
  </si>
  <si>
    <t>1478635896811442177</t>
  </si>
  <si>
    <t>https://x.com/rosac3a/status/1478635896811442177</t>
  </si>
  <si>
    <t>minihabitos,diariotdah,tdahadulto,teacherlife,homeoffice,quarentinevibes</t>
  </si>
  <si>
    <t>https://pbs.twimg.com/media/Eb7a-x-XgAATMsr.jpg</t>
  </si>
  <si>
    <t>Si creen q ser una adolescente con tca es difícil esperen a ver lo que es ser una adulta con tca, vas a tener q trabajar mareada, con presion baja y un hambre q te perfora el cuerpo, no vas a poder culpar a nadie más que vos misma por comprar la comida con la que te atracas y +</t>
  </si>
  <si>
    <t>rosac3a</t>
  </si>
  <si>
    <t>Isabella (Soy una pelotuda)</t>
  </si>
  <si>
    <t>1115419883691479040</t>
  </si>
  <si>
    <t>https://pbs.twimg.com/profile_images/1788776623652651009/72EQmfmm_normal.jpg</t>
  </si>
  <si>
    <t>1277953021717118978</t>
  </si>
  <si>
    <t>https://pbs.twimg.com/profile_banners/1115419883691479040/1715312980</t>
  </si>
  <si>
    <t>https://x.com/marcussabry/status/1277953021717118978</t>
  </si>
  <si>
    <t>Vamos debater foco, objetivo, disciplina, métodos, déficit de atenção, entre outros temas relacionados a aprendizagem. 
@MEC_Comunicacao #ufpi #tdah #tdahadulto #produtividade #aprendizagem https://t.co/FoCCOKgvkg</t>
  </si>
  <si>
    <t>1930293991049719830</t>
  </si>
  <si>
    <t>marcussabry</t>
  </si>
  <si>
    <t>Sabry Centro Médico</t>
  </si>
  <si>
    <t>1755827020204827081</t>
  </si>
  <si>
    <t>https://x.com/crepch/status/1930293991049719830</t>
  </si>
  <si>
    <t>https://pbs.twimg.com/profile_images/1797832632119500800/NGZdcrrk_normal.jpg</t>
  </si>
  <si>
    <t>https://x.com/emma_sar/status/1755827020204827081</t>
  </si>
  <si>
    <t>La terapia y el ejercicio son una buena combinación para el adulto.
#terapiamultisensorialsimbólica #terapia #terapialenguaje #tdah #conducta #aprendizaje #adulto #adolescentes #tdaa #FelizMiercoles #DiaMundialDeLaBicicleta https://t.co/ghQG59I3tD</t>
  </si>
  <si>
    <t>Es importante tener en cuenta que los síntomas de TDAH en adultos se presentan de manera muy  diferente que en menores de edad. 
Los adultos suelen quejarse de actuar sin pensar, sentirse aburridos, dificultad para tomar decisiones, procrastinar, cambios repentinos de humor y</t>
  </si>
  <si>
    <t>https://pbs.twimg.com/profile_banners/80662610/1717471687</t>
  </si>
  <si>
    <t>terapiamultisensorialsimbólica,terapia,terapialenguaje,tdah,conducta,aprendizaje,adulto,adolescentes,tdaa,FelizMiercoles,DiaMundialDeLaBicicleta</t>
  </si>
  <si>
    <t>1380238860307865600</t>
  </si>
  <si>
    <t>https://pbs.twimg.com/amplify_video_thumb/1930292858772230144/img/vzkiIzE0pzVVrXtv.jpg</t>
  </si>
  <si>
    <t>1380237060649451520</t>
  </si>
  <si>
    <t>https://x.com/SUPERVUL9AR/status/1380238860307865600</t>
  </si>
  <si>
    <t>TDAH inclui se distrair e se incomodar MUITO por texturas e ruídos (blusa que pinica, brincos e pulseiras), é ter uma autoestima baixa que você tem que toda hora tratar, é ter uma memória disfuncional, é não conseguir acordar nem com 10 alarmes. É um transtorno muito serio.</t>
  </si>
  <si>
    <t>SUPERVUL9AR</t>
  </si>
  <si>
    <t>🩵</t>
  </si>
  <si>
    <t>1189471276261240832</t>
  </si>
  <si>
    <t>https://pbs.twimg.com/profile_images/1943828037620912129/wPyvpmWO_normal.jpg</t>
  </si>
  <si>
    <t>https://video.twimg.com/amplify_video/1930292858772230144/vid/avc1/720x720/50lEs-Zjo0I3gvGs.mp4?tag=14</t>
  </si>
  <si>
    <t>ufpi,tdah,tdahadulto,produtividade,aprendizagem</t>
  </si>
  <si>
    <t>https://pbs.twimg.com/media/EbwzfhOX0AAS4iG.jpg,https://pbs.twimg.com/media/EbwzfhNXQAQaJ7v.jpg</t>
  </si>
  <si>
    <t>https://pbs.twimg.com/profile_banners/1189471276261240832/1722432650</t>
  </si>
  <si>
    <t>1488862447821893648</t>
  </si>
  <si>
    <t>https://x.com/BlackAutie/status/1488862447821893648</t>
  </si>
  <si>
    <t>sec de saúde da coitadolândia</t>
  </si>
  <si>
    <t>1276887529279549441</t>
  </si>
  <si>
    <t>https://x.com/LeonasTdah/status/1276887529279549441</t>
  </si>
  <si>
    <t>Ser autista e Tdah é muito sobre se regular com algo que gosta e também se sobrecarregar se regulando com esse algo que gosta 🤡
#autism #adhd</t>
  </si>
  <si>
    <t>BlackAutie</t>
  </si>
  <si>
    <t>Alpin Montenegro</t>
  </si>
  <si>
    <t>1461276651262726146</t>
  </si>
  <si>
    <t>https://pbs.twimg.com/profile_images/1461280325150126085/LoOPVMLV_normal.jpg</t>
  </si>
  <si>
    <t>Hoy en vivo por Instagram vamos a estar charlando con Iván #tdahadulto !
Te esperamos en el IG de Familias Leonas TDAH.
#haciendovisibleelTDAH
#TDAH 
#ADHD https://t.co/UTJvwmyzbU</t>
  </si>
  <si>
    <t>tdahadulto,haciendovisibleelTDAH,TDAH,ADHD</t>
  </si>
  <si>
    <t>https://pbs.twimg.com/media/Ebhqb2qWkAEF0re.jpg</t>
  </si>
  <si>
    <t>https://pbs.twimg.com/profile_banners/1461276651262726146/1720525663</t>
  </si>
  <si>
    <t>1930251694748672350</t>
  </si>
  <si>
    <t>https://x.com/cabsswattr/status/1930251694748672350</t>
  </si>
  <si>
    <t>1274244422738345984</t>
  </si>
  <si>
    <t>https://x.com/apnadah/status/1274244422738345984</t>
  </si>
  <si>
    <t>autism,adhd</t>
  </si>
  <si>
    <t>tfw vc era criança prodígio e ai acabaram meio q nao te ensinando a estudar de uma forma "certa", so q na vdd vc so tinha tdah. E agr q vc é adulto e vc tá na faculdade, vc nao sabe como estudar direito, e mesmo q vc sempre tire notas boas vc se sente assim antes da prova: https://t.co/C2RfrDxzGJ</t>
  </si>
  <si>
    <t>769909888101212160</t>
  </si>
  <si>
    <t>cabsswattr</t>
  </si>
  <si>
    <t>Jeremy knox de calcinha</t>
  </si>
  <si>
    <t>1920650649156337664</t>
  </si>
  <si>
    <t>https://x.com/TonyGali/status/769909888101212160</t>
  </si>
  <si>
    <t>https://pbs.twimg.com/profile_images/1938538112688197632/ogRhfxMK_normal.jpg</t>
  </si>
  <si>
    <t>#TDAHadulto
Interesante como siempre escuchar  a @drajuncalTDAH</t>
  </si>
  <si>
    <t>En el #DíaDelAdultoMayor reitero mi compromiso para ofrecerles una atención integral que mejore su calidad de vida. https://t.co/o7j6oG7i2R</t>
  </si>
  <si>
    <t>TonyGali</t>
  </si>
  <si>
    <t>Tony Gali</t>
  </si>
  <si>
    <t>https://pbs.twimg.com/profile_images/1603286997019271168/tr75l8As_normal.jpg</t>
  </si>
  <si>
    <t>https://pbs.twimg.com/profile_banners/1920650649156337664/1752432099</t>
  </si>
  <si>
    <t>1274031711584747526</t>
  </si>
  <si>
    <t>Tarde en Galicia https://t.co/lGxQSCXYHs</t>
  </si>
  <si>
    <t>1273447099896598528</t>
  </si>
  <si>
    <t>https://x.com/eu_tdah/status/1273447099896598528</t>
  </si>
  <si>
    <t>https://pbs.twimg.com/profile_banners/847786501/1671090896</t>
  </si>
  <si>
    <t>#tdah #tdahinfantil #tdahadulto https://t.co/JtpHqztr66</t>
  </si>
  <si>
    <t>eu_tdah</t>
  </si>
  <si>
    <t>Só tenho mel 🍯 🐝</t>
  </si>
  <si>
    <t>1008879073739853824</t>
  </si>
  <si>
    <t>https://pbs.twimg.com/profile_images/1239380006511525889/cADTF2WX_normal.jpg</t>
  </si>
  <si>
    <t>https://pbs.twimg.com/media/GsmhrqgW8AACsm5.jpg</t>
  </si>
  <si>
    <t>DíaDelAdultoMayor</t>
  </si>
  <si>
    <t>https://pbs.twimg.com/media/Cq9E9JIUIAEuLZC.jpg</t>
  </si>
  <si>
    <t>https://pbs.twimg.com/profile_banners/1008879073739853824/1584326196</t>
  </si>
  <si>
    <t>1441575518898298884</t>
  </si>
  <si>
    <t>1930243438122852410</t>
  </si>
  <si>
    <t>1929946542971986293</t>
  </si>
  <si>
    <t>https://x.com/thesmallestboy/status/1441575518898298884</t>
  </si>
  <si>
    <t>https://x.com/arqvaninazamora/status/1930243438122852410</t>
  </si>
  <si>
    <t>creo que ser adulto nomas se trata de estar muy cansado: muy cansado para salir, muy cansado para ver a tus amigos, muy cansado para hacer las cosas que te gustan, muy cansado para entretenerte, muy cansado para vivir y hasta muy cansado para morir. no recomiendo.</t>
  </si>
  <si>
    <t>@gachilin @animartino El ha tenido múltiples diagnósticos, ahora es adulto, sin tratar hace más de 6 años. Para volver a empadronar en OS necesita el cud, pero se perdieron los informes... ese es de 2010, antes era TDAH</t>
  </si>
  <si>
    <t>arqvaninazamora</t>
  </si>
  <si>
    <t>VLZ</t>
  </si>
  <si>
    <t>https://pbs.twimg.com/media/EawxYmRXgAE74yw.jpg</t>
  </si>
  <si>
    <t>https://pbs.twimg.com/profile_images/1351727408752308225/LLWJt1zH_normal.jpg</t>
  </si>
  <si>
    <t>1702862448368169270</t>
  </si>
  <si>
    <t>https://x.com/tdmascrc/status/1702862448368169270</t>
  </si>
  <si>
    <t>1270736539174293505</t>
  </si>
  <si>
    <t>https://pbs.twimg.com/profile_banners/4606934056/1611112110</t>
  </si>
  <si>
    <t>El resumen se va a subir en horario para adultos https://t.co/csaAXXOAdD</t>
  </si>
  <si>
    <t>https://x.com/victoramat01/status/1270736539174293505</t>
  </si>
  <si>
    <t>https://pbs.twimg.com/media/F6HIXu2XkAAcNx-.jpg</t>
  </si>
  <si>
    <t>Pues yo vivo a mil por hora porque ya gasté más de media vida, amigos.
#tdahadulto #cincuentergilipollers</t>
  </si>
  <si>
    <t>victoramat01</t>
  </si>
  <si>
    <t>Víctor Amat</t>
  </si>
  <si>
    <t>https://pbs.twimg.com/profile_images/1982901806452576256/__5CcFkY_normal.jpg</t>
  </si>
  <si>
    <t>gachilin</t>
  </si>
  <si>
    <t>gachilin,animartino</t>
  </si>
  <si>
    <t>1981296059499626788</t>
  </si>
  <si>
    <t>-64.315889,-31.287568</t>
  </si>
  <si>
    <t>Villa Allende, Argentina</t>
  </si>
  <si>
    <t>https://x.com/GeorgeBagw41616/status/1981296059499626788</t>
  </si>
  <si>
    <t>Libro TDAH EN EL ADULTO Descargar PDF - Dra. Juncal Sevilla
➡ https://t.co/EcapNskpHf
Descargar o leer en línea TDAH EN EL ADULTO Libro gratuito (PDF ePub Mobi) de Dra. Juncal Sevilla.
TDAH EN EL ADULTO Dra. Juncal Sevilla PDF, TDAH EN EL ADULTO https://t.co/aHkW98pi7K</t>
  </si>
  <si>
    <t>GeorgeBagw41616</t>
  </si>
  <si>
    <t>George Bagwell</t>
  </si>
  <si>
    <t>1701772263320662016</t>
  </si>
  <si>
    <t>https://pbs.twimg.com/profile_images/1942253204810670081/xUupZZY6_normal.jpg</t>
  </si>
  <si>
    <t>https://pbs.twimg.com/profile_banners/2271551214/1741608348</t>
  </si>
  <si>
    <t>http://ebooksharez.info/x/libro/128180/1391</t>
  </si>
  <si>
    <t>tdahadulto,cincuentergilipollers</t>
  </si>
  <si>
    <t>https://pbs.twimg.com/media/G376LHLXwAArnb4.jpg</t>
  </si>
  <si>
    <t>1263950133349269504</t>
  </si>
  <si>
    <t>https://x.com/DNATalentqro/status/1263950133349269504</t>
  </si>
  <si>
    <t>561566811842707457</t>
  </si>
  <si>
    <t>555477000425439232</t>
  </si>
  <si>
    <t>https://x.com/RSantandreuOfic/status/561566811842707457</t>
  </si>
  <si>
    <t>Estos mensajes son mis vitaminas, lástima  que no puedo dedicarme a esto todo el día. Por que tengo que trabajar para mantenerme. Pero ya casi está lista la AC y ojalá con ayuda de Uds. pueda seguir dedicándome a esto de lleno.
Mil gracias ❤️#tdah #tdahadulto https://t.co/pYyIsT7j3P</t>
  </si>
  <si>
    <t>¿Sabías que hay adultos con #TDAH?  en @ParaTodosLa2 de @la2_tve 
http://t.co/opb2b3VkBJ http://t.co/RX3oR0jfAZ</t>
  </si>
  <si>
    <t>RSantandreuOfic</t>
  </si>
  <si>
    <t>https://pbs.twimg.com/profile_images/448485109973258240/oQgdPBSJ_normal.jpeg</t>
  </si>
  <si>
    <t>https://pbs.twimg.com/media/EYpz8YrXYAYn-cU.jpg</t>
  </si>
  <si>
    <t>https://pbs.twimg.com/profile_banners/2401547372/1395762051</t>
  </si>
  <si>
    <t>1263375675425206272</t>
  </si>
  <si>
    <t>https://x.com/apnadah/status/1263375675425206272</t>
  </si>
  <si>
    <t>#TDAHadulto</t>
  </si>
  <si>
    <t>la2_tve</t>
  </si>
  <si>
    <t>1263372254769020929</t>
  </si>
  <si>
    <t>http://rtve.es/v/2797855/</t>
  </si>
  <si>
    <t>Las dificultades de los adultos con TDAH para gestionar sus finanzas.
Los especialistas apuntan que estas personas viven el momento y les cuesta planificar y pensar en el futuro.
Información completa 👇
https://t.co/JcH9iN54kr</t>
  </si>
  <si>
    <t>1263134606800363520</t>
  </si>
  <si>
    <t>https://x.com/apnadah/status/1263134606800363520</t>
  </si>
  <si>
    <t>📆El próximo lunes 25, Amanda Meliá tendrá otra invitada de excepción: la Dra. Juncal Sevilla @drajuncalTDAH psiquiatra especialista en #TDAHadulto
Si te interesa el tema, puedes enviarnos tus preguntas ❓para que la Dra. Las responda en la sesión 🤗</t>
  </si>
  <si>
    <t>https://pbs.twimg.com/media/B7Pr5azCcAAGNDI.jpg</t>
  </si>
  <si>
    <t>1929970913685930315</t>
  </si>
  <si>
    <t>https://x.com/crepch/status/1929970913685930315</t>
  </si>
  <si>
    <t>ParaTodosLa2,la2_tve</t>
  </si>
  <si>
    <t>1761079864956702966</t>
  </si>
  <si>
    <t>1256949514096836612</t>
  </si>
  <si>
    <t>https://x.com/_LaraJenn/status/1761079864956702966</t>
  </si>
  <si>
    <t>Un buen diagnóstico y una acertada intervención hacen la diferencia entre un adulto frustrado y un adulto que puede alcanzar logros.
#terapiamultisensorialsimbólica #terapia #terapialenguaje #tdah #conducta #aprendizaje #adulto #adolescentes #tdaa #FelizMartesATodos https://t.co/28PTRL4FFp</t>
  </si>
  <si>
    <t>https://x.com/AndTdah/status/1256949514096836612</t>
  </si>
  <si>
    <t>Se virar "adulto" for deixar de gostar das coisas que você sempre gostou e ficar amargurado ao invés de começar a tomar atituddes responsáveis e ter maturidade emocional, não tá compensando virar adulto</t>
  </si>
  <si>
    <t>_LaraJenn</t>
  </si>
  <si>
    <t>Lara Jenn 🍉🐦‍⬛</t>
  </si>
  <si>
    <t>988469064837271557</t>
  </si>
  <si>
    <t>https://pbs.twimg.com/profile_images/1823718424704344064/nzz3Ey4f_normal.png</t>
  </si>
  <si>
    <t>Feliç dia de la Mare! Per totes aquestes mares súper campiones 🧡💪 #tdah #tdahadulto governandorra #andorra #andorralavella #escaldes #escaldesEngordany #encamp #ordino #canillo #lamassana #santjuliadeloria https://t.co/wiBWra39Ro</t>
  </si>
  <si>
    <t>AndTdah</t>
  </si>
  <si>
    <t>And_Tdah_Associacio_Albatros</t>
  </si>
  <si>
    <t>1064442379195830272</t>
  </si>
  <si>
    <t>https://pbs.twimg.com/profile_images/1321243396976054273/1R3rfIY9_normal.jpg</t>
  </si>
  <si>
    <t>https://pbs.twimg.com/profile_banners/988469064837271557/1758252341</t>
  </si>
  <si>
    <t>terapiamultisensorialsimbólica,terapia,terapialenguaje,tdah,conducta,aprendizaje,adulto,adolescentes,tdaa,FelizMartesATodos</t>
  </si>
  <si>
    <t>https://pbs.twimg.com/media/Gsih_xeWsAAIFiB.jpg</t>
  </si>
  <si>
    <t>tdah,tdahadulto,andorra,andorralavella,escaldes,escaldesEngordany,encamp,ordino,canillo,lamassana,santjuliadeloria</t>
  </si>
  <si>
    <t>https://www.instagram.com/p/B_uoUllJIEP/?igshid=zp30jg8whm8v</t>
  </si>
  <si>
    <t>1929949099786170674</t>
  </si>
  <si>
    <t>https://x.com/fiore_giorda/status/1929949099786170674</t>
  </si>
  <si>
    <t>1252570421649715201</t>
  </si>
  <si>
    <t>https://x.com/adahi_es/status/1252570421649715201</t>
  </si>
  <si>
    <t>D chiquita no paraba de llorar y hacer berrinches. Era hiperactiva, no tenía paciencia para nada, los hice parir a mis papás. Porque? No solo porque ERA UNA NIÑA SIN LAS HABILIDADES COGNOSCITIVAS DE UN ADULTO sino que tenía TDAH. No es por educar "bien". Falleció la empatía</t>
  </si>
  <si>
    <t>fiore_giorda</t>
  </si>
  <si>
    <t>Fiore☄️</t>
  </si>
  <si>
    <t>940464783609999361</t>
  </si>
  <si>
    <t>https://pbs.twimg.com/profile_images/1647327185957429249/2yTsKbEN_normal.jpg</t>
  </si>
  <si>
    <t>Esperando que estéis todos bien, os recordamos que @adahi_es continúa prestando servicio. #YaQuedaMenos #TDAH #TDAHadulto #coronavirus #COVIDー19 https://t.co/wh0h4Wv0GL</t>
  </si>
  <si>
    <t>https://pbs.twimg.com/profile_banners/940464783609999361/1650493344</t>
  </si>
  <si>
    <t>YaQuedaMenos,TDAH,TDAHadulto,coronavirus,COVIDー19</t>
  </si>
  <si>
    <t>https://pbs.twimg.com/media/EWIDfVMX0AEXij1.png</t>
  </si>
  <si>
    <t>1245306161936642048</t>
  </si>
  <si>
    <t>https://x.com/tdahajedrez/status/1245306161936642048</t>
  </si>
  <si>
    <t>1929858325908173057</t>
  </si>
  <si>
    <t>https://x.com/AytoMadridejos/status/1929858325908173057</t>
  </si>
  <si>
    <t>En TDAH &amp;amp; Ajedrez promovemos el uso del ajedrez para ayudar a mejorar las capacidades de las personas con TDAH u otros trastornos. Por eso os dejamos en esta publicación algunos de los beneficios de este deporte. 👉 https://t.co/6ESYKaULb1 #TDAH #TDAHsintomas #TDAHadulto #Ajedrez https://t.co/b2BIBeSj9h</t>
  </si>
  <si>
    <t>TDAH CAMUÑAS Y COMARCA informa:
Convivencia en el Aula de la Naturaleza de Madridejos.
📍 15 de junio 2025
Socio adulto: 8€ / Socio niño: 4€
No socio adulto y niño: 10€
Formulario inscripción: https://t.co/FQYu3c1ZUs
+INFO:
📧 tdah.camunias@gmail.com
📞 642 29 98 63 https://t.co/artb29aWjG</t>
  </si>
  <si>
    <t>AytoMadridejos</t>
  </si>
  <si>
    <t>Madridejos</t>
  </si>
  <si>
    <t>https://pbs.twimg.com/profile_images/1833036709295960064/_10VyDX9_normal.jpg</t>
  </si>
  <si>
    <t>TDAH,TDAHsintomas,TDAHadulto,Ajedrez</t>
  </si>
  <si>
    <t>https://pbs.twimg.com/media/EUguCoSXgAYSmKr.jpg</t>
  </si>
  <si>
    <t>https://pbs.twimg.com/profile_banners/1701635960/1763625150</t>
  </si>
  <si>
    <t>1244934340510965765</t>
  </si>
  <si>
    <t>https://x.com/AnittaBrito/status/1244934340510965765</t>
  </si>
  <si>
    <t>https://forms.gle/HVZoEEUoa3vuakb16</t>
  </si>
  <si>
    <t>Reposted from tea.cerena .
.
.
#tdah #tdahadulto #tdahinfantil 
#inclusão #saudemental #psiquiatria #neurologia 
#abpbrasil #tdahminas #psicologia 
#psicopedagogia #deficitdeatencao #hiperatividade… https://t.co/qveGm3sTsB</t>
  </si>
  <si>
    <t>AnittaBrito</t>
  </si>
  <si>
    <t>Anita Brito, PhD</t>
  </si>
  <si>
    <t>https://pbs.twimg.com/profile_images/1441988460/DSC04789_normal.JPG</t>
  </si>
  <si>
    <t>https://pbs.twimg.com/media/Gsg76q_XMAEPx_W.jpg</t>
  </si>
  <si>
    <t>https://pbs.twimg.com/profile_banners/159568467/1445777644</t>
  </si>
  <si>
    <t>1929637582570422330</t>
  </si>
  <si>
    <t>1929577084302528788</t>
  </si>
  <si>
    <t>https://x.com/NoraOlival/status/1929637582570422330</t>
  </si>
  <si>
    <t>tdah,tdahadulto,tdahinfantil,inclusão,saudemental,psiquiatria,neurologia,abpbrasil,tdahminas,psicologia,psicopedagogia,deficitdeatencao,hiperatividade</t>
  </si>
  <si>
    <t>https://www.instagram.com/p/B-ZQcrSlqQh/?igshid=rqybp9ugop9u</t>
  </si>
  <si>
    <t>1988708383692824594</t>
  </si>
  <si>
    <t>https://x.com/elsalvadorcom/status/1988708383692824594</t>
  </si>
  <si>
    <t>@victoranicio KKK
Sempre tive isso de ficar exausta em volta de muita gente. Chego em casa e parece q passei p/ uma guerra, mesmo reuniões menores com 6/10 pessoas
Barulho então, vivo de fone anti ruído, hoje em dia
Foi piorando bem c/ a idade
Já me disseram q é TDAH adulto q é o msm q autismo</t>
  </si>
  <si>
    <t>NoraOlival</t>
  </si>
  <si>
    <t>Nora O.</t>
  </si>
  <si>
    <t>https://pbs.twimg.com/profile_images/1683709895781101568/-2_Jb0kg_normal.jpg</t>
  </si>
  <si>
    <t>1244369367820832775</t>
  </si>
  <si>
    <t>#Vida | Aunque empieza en la infancia, el TDAH persiste en la vida adulta. Reconocerlo y tratarlo puede cambiarlo todo, como lo contó Rosalía hace unos años.
 https://t.co/dywMCismVu</t>
  </si>
  <si>
    <t>elsalvadorcom</t>
  </si>
  <si>
    <t>https://x.com/apnadah/status/1244369367820832775</t>
  </si>
  <si>
    <t>elsalvador.com</t>
  </si>
  <si>
    <t>Nueva entrega del blog de @drajuncalTDAH ¿Raro? ¿Quién dijo earo? #TDAHadulto</t>
  </si>
  <si>
    <t>https://pbs.twimg.com/profile_banners/27331413/1750803995</t>
  </si>
  <si>
    <t>1243965270504415233</t>
  </si>
  <si>
    <t>TDAH: somos nosotros los raros? https://t.co/RfacQy5Gfw https://t.co/pPLCsZQafp</t>
  </si>
  <si>
    <t>https://pbs.twimg.com/media/EUNz0jdXsAI0Rwq.jpg</t>
  </si>
  <si>
    <t>https://pbs.twimg.com/profile_images/1956339161088077829/xxAXeQze_normal.png</t>
  </si>
  <si>
    <t>1242574443999870981</t>
  </si>
  <si>
    <t>https://x.com/apnadah/status/1242574443999870981</t>
  </si>
  <si>
    <t>https://pbs.twimg.com/profile_banners/81986272/1755262577</t>
  </si>
  <si>
    <t>victoranicio</t>
  </si>
  <si>
    <t>1929577335101034774</t>
  </si>
  <si>
    <t>El blog de la @drajuncalTDAH nos recuerda que no debemos culparnos por nuestras emociones en esta situación nueva para todos
#tdahadulto</t>
  </si>
  <si>
    <t>https://x.com/crepch/status/1929577335101034774</t>
  </si>
  <si>
    <t>1242508263054336007</t>
  </si>
  <si>
    <t>No te culpes. Por favor https://t.co/CDL1Hys9X7</t>
  </si>
  <si>
    <t>1242380650801442817</t>
  </si>
  <si>
    <t>Haz consciente lo que sientes, gestiónalo y exprésalo.
No te lo guardes.
#inteligenciaemocional #desregulaciónemocional #trauma #FelizLunes #TDAH #autismo #terapia #crepch #lenguaje #conducta #adolescente #adulto #ansiedad #conducta #aprendizaje #terapiamultisensorialsimbólica https://t.co/KA22dvxp02</t>
  </si>
  <si>
    <t>https://x.com/psiquiatriacom/status/1242380650801442817</t>
  </si>
  <si>
    <t>Vida</t>
  </si>
  <si>
    <t>https://www.elsalvador.com/vida/cuerpo-y-mente/vivir-con-tdah-rosalia-adultos/1250730/2025/</t>
  </si>
  <si>
    <t>Esto es lo que pasa cuando te dicen que eres hiperactivo a los 40 años #TDAHadulto https://t.co/1HmHAEXF28 https://t.co/l10B0TdyW0</t>
  </si>
  <si>
    <t>psiquiatriacom</t>
  </si>
  <si>
    <t>Psiquiatria.com</t>
  </si>
  <si>
    <t>inteligenciaemocional,desregulaciónemocional,trauma,FelizLunes,TDAH,autismo,terapia,crepch,lenguaje,conducta,adolescente,adulto,ansiedad,conducta,aprendizaje,terapiamultisensorialsimbólica</t>
  </si>
  <si>
    <t>https://pbs.twimg.com/amplify_video_thumb/1929576881830944768/img/kipLb8ux1eORQrYd.jpg</t>
  </si>
  <si>
    <t>https://pbs.twimg.com/profile_images/1263022901680394242/IsM_QIKj_normal.jpg</t>
  </si>
  <si>
    <t>https://video.twimg.com/amplify_video/1929576881830944768/vid/avc1/720x898/xMMe0R7UsoBpX-7G.mp4?tag=14</t>
  </si>
  <si>
    <t>1539418584778162182</t>
  </si>
  <si>
    <t>https://x.com/ecalixto/status/1539418584778162182</t>
  </si>
  <si>
    <t>https://pbs.twimg.com/profile_banners/117036494/1424078731</t>
  </si>
  <si>
    <t>TDAH=Trastorno por Déficit de Atención e Hiperactividad se puede manifestar a través de:
impulsividad
distracción
irritación
impaciencia
aburrimiento
agresión
inatención
olvidos
se involucran diversos genes que en conjunto alteran el circuito de neurotransmisión de la dopamina. https://t.co/SjAJBT8brG</t>
  </si>
  <si>
    <t>1929575314822152236</t>
  </si>
  <si>
    <t>https://x.com/hrjlver/status/1929575314822152236</t>
  </si>
  <si>
    <t>https://pbs.twimg.com/media/FV0dB97XEAMjk1p.png</t>
  </si>
  <si>
    <t>existe uma "facilidade" de diagnóstico mt maior hj em dia, por isso que tanta gente tá sendo diagnóstica depois de adulto. agora assim, minha mãe é pedagoga e é perceptível que mta criança é diagnósticada com autismo/tdah pela falta de investigação pra outras neurodivergencias</t>
  </si>
  <si>
    <t>Hootsuite Inc.</t>
  </si>
  <si>
    <t>hrjlver</t>
  </si>
  <si>
    <t>nana ✮⋆˙ | h2h 🪡</t>
  </si>
  <si>
    <t>1872035516163452929</t>
  </si>
  <si>
    <t>https://pbs.twimg.com/profile_images/1994405846487351296/cjKz26aa_normal.jpg</t>
  </si>
  <si>
    <t>http://ow.ly/PXwq30qrOl9</t>
  </si>
  <si>
    <t>https://pbs.twimg.com/profile_banners/1872035516163452929/1763730097</t>
  </si>
  <si>
    <t>https://pbs.twimg.com/media/ET3SnjCWkAA4kHH.jpg</t>
  </si>
  <si>
    <t>1241159494853226496</t>
  </si>
  <si>
    <t>1929566005686096112</t>
  </si>
  <si>
    <t>1929566001789542797</t>
  </si>
  <si>
    <t>https://x.com/JulyN1978/status/1241159494853226496</t>
  </si>
  <si>
    <t>https://x.com/kiwihwg/status/1929566005686096112</t>
  </si>
  <si>
    <t>Aquele momento de distanciamento social, SÓ QUE NÃO!!! 😂😂😂 Sou TDAH, com tanta oferta, fica difícil decidir à qual live assistir... 
#distanciamentosocial 
#vivendocomtdah 
#tdahadulto https://t.co/cWEpv4yDR4</t>
  </si>
  <si>
    <t>agora adolescente/jovem adulto capacitista, que é ignorante pq quer, tem como pesquisar oq é determinada condição (seja autismo, tdah, etc) e prefere ser BURRO na internet, é pra rir mesmo, não é nem algo pra se irritar, é vexatório mesmo!!! tipo você é tão burro que da pena</t>
  </si>
  <si>
    <t>kiwihwg</t>
  </si>
  <si>
    <t>pam 𖦹 hexatombe</t>
  </si>
  <si>
    <t>1817713181105487873</t>
  </si>
  <si>
    <t>https://pbs.twimg.com/profile_images/1994978391041122304/b09YorP9_normal.jpg</t>
  </si>
  <si>
    <t>distanciamentosocial,vivendocomtdah,tdahadulto</t>
  </si>
  <si>
    <t>https://www.instagram.com/p/B9-b2k9nsff/?igshid=18qp37c2aaum1</t>
  </si>
  <si>
    <t>https://pbs.twimg.com/profile_banners/1817713181105487873/1764031820</t>
  </si>
  <si>
    <t>1231951855292493830</t>
  </si>
  <si>
    <t>https://x.com/ibarramundo/status/1231951855292493830</t>
  </si>
  <si>
    <t>1929557160037429474</t>
  </si>
  <si>
    <t>https://x.com/camimendessz/status/1929557160037429474</t>
  </si>
  <si>
    <t>#intoxicados 
#voicesofinstagram
#tdahadulto #fuckingtdah
https://t.co/v1O4Ui3r3j</t>
  </si>
  <si>
    <t>ibarramundo</t>
  </si>
  <si>
    <t>https://pbs.twimg.com/profile_images/1242176869677621253/pCJjIgh6_normal.jpg</t>
  </si>
  <si>
    <t>1988617905500573867</t>
  </si>
  <si>
    <t>https://x.com/neuroclass1/status/1988617905500573867</t>
  </si>
  <si>
    <t>me irrita demais gente se autodiagnosticando com tdah ou tea com base NENHUMA, apenas por achar engraçadinho ser um adulto disfuncional e irresponsável.</t>
  </si>
  <si>
    <t>camimendessz</t>
  </si>
  <si>
    <t>cami mendes</t>
  </si>
  <si>
    <t>1643764970381869058</t>
  </si>
  <si>
    <t>https://pbs.twimg.com/profile_images/1964529482208772096/TK67Vvad_normal.jpg</t>
  </si>
  <si>
    <t>https://pbs.twimg.com/profile_banners/284640458/1366873044</t>
  </si>
  <si>
    <t>Dado que el TDAH ha dejado de ser considerado exclusivamente una condición de la infancia, nace un nuevo consenso europeo sobre el diagnóstico y tratamiento en adultos💡
¿Cuáles son las claves para el abordaje en adultos?
https://t.co/qdokztr6ys</t>
  </si>
  <si>
    <t>https://pbs.twimg.com/profile_banners/1643764970381869058/1748397312</t>
  </si>
  <si>
    <t>https://neuro-class.com/nuevo-consenso-europeo-sobre-el-diagnostico-de-tdah-en-adultos/</t>
  </si>
  <si>
    <t>intoxicados,voicesofinstagram,tdahadulto,fuckingtdah</t>
  </si>
  <si>
    <t>https://www.instagram.com/p/B88AUBsJPj5/?igshid=t2385bv61798</t>
  </si>
  <si>
    <t>1929356035854090679</t>
  </si>
  <si>
    <t>1928911612695531860</t>
  </si>
  <si>
    <t>https://x.com/ogro2099/status/1929356035854090679</t>
  </si>
  <si>
    <t>1228226034912219136</t>
  </si>
  <si>
    <t>https://x.com/apnadah/status/1228226034912219136</t>
  </si>
  <si>
    <t>1379982137223483394</t>
  </si>
  <si>
    <t>@nobawara @Bidu0291 @Felps_mars @viciousSaturn O Cortex Pré-Frontal é responsável por funções como planejamento, organização, tomada d decisões, controle d impulsos e atenção. No TDAH, essa região apresenta menor atividade. Isso afeta a capacidade d manter o foco, controlar impulsos e etc. Não tem nada sobre ser adulto ou não</t>
  </si>
  <si>
    <t>ogro2099</t>
  </si>
  <si>
    <t>Marco Santiago</t>
  </si>
  <si>
    <t>https://x.com/TriboTDAH/status/1379982137223483394</t>
  </si>
  <si>
    <t>1142291096036347905</t>
  </si>
  <si>
    <t>https://pbs.twimg.com/profile_images/1812910935876464640/HZQAv9bv_normal.jpg</t>
  </si>
  <si>
    <t>#tdahadulto 
Juncal Sevilla: “Muchas veces el #TDAH se confunde con los trastornos depresivos y de ansiedad que lo acompañan. Entonces, los especialistas tratan el cuadro depresivo y el TDAH sigue sin diagnosticar ni tratar”.
https://t.co/PBzfb2B92N</t>
  </si>
  <si>
    <t>https://pbs.twimg.com/profile_banners/1142291096036347905/1721066637</t>
  </si>
  <si>
    <t>Bingo fake news do TDAH
TDAH é só desculpa 
TDAH tem cura
Todo mundo tem TDAH hoje em dia
TDAH é só muleta
Todo TDAH é agitado 
TDAH é coisa de criança
TDAH não tem sucesso 
TDAH é questão de dieta
Quem faz exercício não têm TDAH 
TDAH é falta de religião 
Comente seu favorito</t>
  </si>
  <si>
    <t>https://cuidateplus.marca.com/bienestar/2020/02/12/hiperactividad-cosa-adultos-172056.html</t>
  </si>
  <si>
    <t>1379980111261360130</t>
  </si>
  <si>
    <t>_victor_lemos</t>
  </si>
  <si>
    <t>da mesma criadora do açúcar é veneno agr ela inventou de falar de quem #TDAH na boa ela nem sabe o que é e fica dando pitaco, que ódio dela!!
olha isso que desinformação @TriboTDAH https://t.co/n4EwowgGuV</t>
  </si>
  <si>
    <t>https://pbs.twimg.com/media/EyasmQrXAAEfdMf.jpg</t>
  </si>
  <si>
    <t>nobawara</t>
  </si>
  <si>
    <t>nobawara,Bidu0291,Felps_mars,viciousSaturn</t>
  </si>
  <si>
    <t>1929079847634006222</t>
  </si>
  <si>
    <t>1928896289824993522</t>
  </si>
  <si>
    <t>https://x.com/Mueve_Esqueleto/status/1929079847634006222</t>
  </si>
  <si>
    <t>@Patty31599 @XQestendenciaMX Están pendejos, si ya eres un pinche adulto no puedes estar diciendo que tienes TDAH  cada vez que la cagas</t>
  </si>
  <si>
    <t>Mueve_Esqueleto</t>
  </si>
  <si>
    <t>Sir Anacleto</t>
  </si>
  <si>
    <t>https://pbs.twimg.com/profile_images/1810413010394984448/AMoGYaOW_normal.jpg</t>
  </si>
  <si>
    <t>1222938825581875202</t>
  </si>
  <si>
    <t>1700540178853408852</t>
  </si>
  <si>
    <t>1700469184889532871</t>
  </si>
  <si>
    <t>https://x.com/little_cNdy/status/1700540178853408852</t>
  </si>
  <si>
    <t>https://x.com/psiquiatriacom/status/1222938825581875202</t>
  </si>
  <si>
    <t>https://pbs.twimg.com/profile_banners/1428407634/1663734425</t>
  </si>
  <si>
    <t>Patrones longitudinales de tabaquismo: ¿predicen síntomas de TDAH en adultos? #tabaquismo #TDAHadulto
https://t.co/05OmwuriEL https://t.co/z7VH114ABb</t>
  </si>
  <si>
    <t>@grodriguess_ Seu corpo não se comporta como uma máquina e você sente exaustão??
Isso é um sintoma gravíssimo de tdah! Corra já para a farmácia mais próxima e se automedique</t>
  </si>
  <si>
    <t>little_cNdy</t>
  </si>
  <si>
    <t>osas</t>
  </si>
  <si>
    <t>1030989002470580225</t>
  </si>
  <si>
    <t>https://pbs.twimg.com/profile_images/1977204872488321024/c5ynA9g__normal.jpg</t>
  </si>
  <si>
    <t>tabaquismo,TDAHadulto</t>
  </si>
  <si>
    <t>http://ow.ly/qm1G30q7qn2</t>
  </si>
  <si>
    <t>Patty31599</t>
  </si>
  <si>
    <t>Patty31599,XQestendenciaMX</t>
  </si>
  <si>
    <t>1928909107068608664</t>
  </si>
  <si>
    <t>https://x.com/crepch/status/1928909107068608664</t>
  </si>
  <si>
    <t>https://pbs.twimg.com/media/EPjAYaSXkAMUU62.jpg</t>
  </si>
  <si>
    <t>Si bien el niño es adaptable y receptivo no todos tienen desarrolladas las capacidades para lograr un desempeño óptimo en cada propuesta terapéutica.
#terapiamultisensorialsimbólica #terapia #autismo #depresión #ansiedad #TDAH #conducta #aprendizaje 
#infante #adulto #YoDeseo https://t.co/dPOXadFQAy</t>
  </si>
  <si>
    <t>https://pbs.twimg.com/profile_banners/1030989002470580225/1742757575</t>
  </si>
  <si>
    <t>1217560790800064512</t>
  </si>
  <si>
    <t>https://x.com/DNATalentqro/status/1217560790800064512</t>
  </si>
  <si>
    <t>terapiamultisensorialsimbólica,terapia,autismo,depresión,ansiedad,TDAH,conducta,aprendizaje,infante,adulto,YoDeseo</t>
  </si>
  <si>
    <t>https://pbs.twimg.com/media/GsTcGVuXQAAZS66.jpg,https://pbs.twimg.com/media/GsTcGV0WkAA3wP5.jpg,https://pbs.twimg.com/media/GsTcGWCWUAAS3iA.jpg</t>
  </si>
  <si>
    <t>Ella se enteró a sus 46 años que sus síntomas tenían un nombre.#TDAH #TDAHadulto
Cada día leo más testomonios de personas como nos cambia la vida el diagnóstico. Nunca es tarde para el diagnóstico en trastornos del neurodesarrollo. 
https://t.co/3eAAbWCpPn</t>
  </si>
  <si>
    <t>1928686417313464340</t>
  </si>
  <si>
    <t>grodriguess_</t>
  </si>
  <si>
    <t>https://www.uppers.es/salud-bienestar/terapia-y-psicologia/descubrir-adultos-tdah-trastorno-deficit-atencion-hiperactividad_18_2883045089.html</t>
  </si>
  <si>
    <t>1205878865815461888</t>
  </si>
  <si>
    <t>https://x.com/cesarshanty/status/1928686417313464340</t>
  </si>
  <si>
    <t>https://x.com/MyTXTLatam_/status/1205878865815461888</t>
  </si>
  <si>
    <t>Ahora todos lo carajitos tienen (TDAH) y uno de adulto también y que tiene, hay veces es que simplemente nos aburren tus mierdas y tus métodos.</t>
  </si>
  <si>
    <t>cesarshanty</t>
  </si>
  <si>
    <t>Cesar Acosta 🌐 🇻🇪 🇨🇴 🇱🇻</t>
  </si>
  <si>
    <t>https://pbs.twimg.com/profile_images/1817702554219737088/6shJyILz_normal.jpg</t>
  </si>
  <si>
    <t>📽️ | @TXT_members
🐿: Me gusta, no pienses que estás envejeciendo (en cambio) piensa que estás creciendo. 
🐻: (asiente) Hmm, eso es correcto. 
Ajdhska es exactamente el consejo que necesitaba. 😭
©UnbotheredTH 
@TXT_bighit 
 https://t.co/FzQhCpJZFR</t>
  </si>
  <si>
    <t>MyTXTLatam_</t>
  </si>
  <si>
    <t>⋆˖ִ ࣪⛦ TXT Latino ⁵</t>
  </si>
  <si>
    <t>1083062703877427202</t>
  </si>
  <si>
    <t>https://pbs.twimg.com/profile_images/1986599880626675713/5CiuRpEs_normal.jpg</t>
  </si>
  <si>
    <t>1217456213761363990</t>
  </si>
  <si>
    <t>https://x.com/HypnoseG/status/1217456213761363990</t>
  </si>
  <si>
    <t>https://pbs.twimg.com/profile_banners/48170245/1762217597</t>
  </si>
  <si>
    <r>
      <rPr>
        <rFont val="Arial"/>
      </rPr>
      <t xml:space="preserve">Hyperactivité et déficit d’attention (TDA/H). Le neurofeedback est une solution. Conférence le 21 janvier prochain. #tdahadulto #tdah #concentration à Geneva, Switzerland </t>
    </r>
    <r>
      <rPr>
        <rFont val="Arial"/>
        <color rgb="FF1155CC"/>
        <u/>
      </rPr>
      <t>https://t.co/jt0SEFCg3F</t>
    </r>
  </si>
  <si>
    <t>https://pbs.twimg.com/profile_banners/1083062703877427202/1762467281</t>
  </si>
  <si>
    <t>1928643286526284022</t>
  </si>
  <si>
    <t>https://x.com/SelfishCig/status/1928643286526284022</t>
  </si>
  <si>
    <t>HypnoseG</t>
  </si>
  <si>
    <t>hypnose geneve</t>
  </si>
  <si>
    <t>1001234955102576641</t>
  </si>
  <si>
    <t>https://pbs.twimg.com/profile_images/1090500402037035009/aVoWVwaG_normal.jpg</t>
  </si>
  <si>
    <t>Minha mãe: *me da o maior sermão sobre responsabilidade, autonomia, vontade de aprender, ser adulto, tudo possível, esculachando todo mínimo progresso e esforço que eu tive durante todos esses anos de depressão, tdah e autismo não diagnosticados, porque se eu não tenho um +</t>
  </si>
  <si>
    <t>SelfishCig</t>
  </si>
  <si>
    <t>Selfish has no mouth and must scream || bmi 21</t>
  </si>
  <si>
    <t>1908520032084094976</t>
  </si>
  <si>
    <t>https://pbs.twimg.com/profile_images/1942455227845648384/hPXgMx2v_normal.jpg</t>
  </si>
  <si>
    <t>https://pbs.twimg.com/ext_tw_video_thumb/1205793487502708736/pu/img/iVH8na_Wj2pMvg0k.jpg</t>
  </si>
  <si>
    <t>https://pbs.twimg.com/profile_banners/1001234955102576641/1527548247</t>
  </si>
  <si>
    <t>https://pbs.twimg.com/profile_banners/1908520032084094976/1751952390</t>
  </si>
  <si>
    <t>fr</t>
  </si>
  <si>
    <t>tdahadulto,tdah,concentration</t>
  </si>
  <si>
    <t>https://video.twimg.com/ext_tw_video/1205793487502708736/pu/vid/968x720/QvHzNfd9FwX9icH1.mp4?tag=10</t>
  </si>
  <si>
    <t>https://www.instagram.com/p/B7WA2OThFUT/?igshid=1b28xbrquypk0</t>
  </si>
  <si>
    <t>1928562417606201352</t>
  </si>
  <si>
    <t>https://x.com/grilo_cremoso/status/1928562417606201352</t>
  </si>
  <si>
    <t>1211673287580884992</t>
  </si>
  <si>
    <t>https://x.com/Psicotogether_/status/1211673287580884992</t>
  </si>
  <si>
    <t>voces dizem: tenho TDAH
eu ouço: sou um adulto que não quer assumir responsabilidades e preciso de uma muleta😚😜🤪</t>
  </si>
  <si>
    <t>grilo_cremoso</t>
  </si>
  <si>
    <t>Espólio do Hugo</t>
  </si>
  <si>
    <t>https://pbs.twimg.com/profile_images/1797353491742003200/Cr-izOuq_normal.jpg</t>
  </si>
  <si>
    <t>TXT_members,TXT_bighit</t>
  </si>
  <si>
    <t>1484499395861172224</t>
  </si>
  <si>
    <t>https://x.com/taltalivan/status/1484499395861172224</t>
  </si>
  <si>
    <t>Informes psicopedagógicos para adultos con TDAH. Informes periciales judiciales.         Link in bio.     #adhd #tdah #tdahadulto https://t.co/ybjBKVqaoy</t>
  </si>
  <si>
    <t>https://pbs.twimg.com/profile_banners/235545679/1636919599</t>
  </si>
  <si>
    <t>Ser adulto es ser el mismo culicagado inmaduro de siempre pero con un poquito de plata para comer de vez en cuando lo que le gusta.</t>
  </si>
  <si>
    <t>taltalivan</t>
  </si>
  <si>
    <t>xxx</t>
  </si>
  <si>
    <t>https://pbs.twimg.com/profile_images/1980110875882057728/8CKr3dT4_normal.jpg</t>
  </si>
  <si>
    <t>https://www.instagram.com/p/B6s7ErXoWKV/?igshid=vwavqdqw7xhk</t>
  </si>
  <si>
    <t>1191722777004232705</t>
  </si>
  <si>
    <t>https://pbs.twimg.com/profile_banners/158784526/1751493830</t>
  </si>
  <si>
    <t>https://x.com/PsiquiatriaSE/status/1191722777004232705</t>
  </si>
  <si>
    <t>Muitas pessoas ainda não entendem que TDAH é uma doença, não significa falta de limites impostos pela família. 
Portanto, professores e escolas precisam começar a rever conceitos.
#tdah #tdahinfantil #tdahadulto… https://t.co/iuTQduKJrT</t>
  </si>
  <si>
    <t>PsiquiatriaSE</t>
  </si>
  <si>
    <t>EmPsiquiatria.com</t>
  </si>
  <si>
    <t>1040664872147722240</t>
  </si>
  <si>
    <t>https://pbs.twimg.com/profile_images/772267336493510656/XsGqengo_normal.jpg</t>
  </si>
  <si>
    <t>https://x.com/doctormacias/status/1040664872147722240</t>
  </si>
  <si>
    <t>La tos ferina es ahora un problema serio de los adultos pues la vacuna infantil (DTaP) pierde eficacia con los años. Por eso, en la adolescencia o después, hay que aplicarse una dosis de la vacuna de adultos (Tdap).</t>
  </si>
  <si>
    <t>doctormacias</t>
  </si>
  <si>
    <t>Alejandro Macias</t>
  </si>
  <si>
    <t>https://pbs.twimg.com/profile_images/1770642087718928384/HcDza4gQ_normal.jpg</t>
  </si>
  <si>
    <t>https://www.instagram.com/p/B4fKaV-BajW/?igshid=13rpyqbmxc2k3</t>
  </si>
  <si>
    <t>https://pbs.twimg.com/profile_banners/316273207/1399077493</t>
  </si>
  <si>
    <t>1928420405112357104</t>
  </si>
  <si>
    <t>1187930678060638208</t>
  </si>
  <si>
    <t>https://x.com/aixdynamic/status/1928420405112357104</t>
  </si>
  <si>
    <t>https://x.com/HenarCasal/status/1187930678060638208</t>
  </si>
  <si>
    <t>Hoy es el día del TDAH/ADHD. Por una mejora de los tratamientos en adultos, más visibilidad hacia nosotros y menos pamplinas cuñadas de que no existe. Y por un tratamiento adecuado en la SS (solo los niños lo tienen). #TADH #TDAHAdulto #ADHDAwarenessMonth</t>
  </si>
  <si>
    <t>¿Cómo saber si soy un adulto con TDAH?
https://t.co/v2KiTFLAiB</t>
  </si>
  <si>
    <t>HenarCasal</t>
  </si>
  <si>
    <t>aixdynamic</t>
  </si>
  <si>
    <t>🎨Henar Casal📚</t>
  </si>
  <si>
    <t>Aixdynamic_Entertainment</t>
  </si>
  <si>
    <t>https://pbs.twimg.com/profile_images/1931996170789756928/qS6Ljdk__normal.jpg</t>
  </si>
  <si>
    <t>https://pbs.twimg.com/profile_images/1932895006706089984/wbz8W1kt_normal.jpg</t>
  </si>
  <si>
    <t>1748420341796372570</t>
  </si>
  <si>
    <t>https://x.com/alltimecrisis/status/1748420341796372570</t>
  </si>
  <si>
    <t>https://pbs.twimg.com/profile_banners/72924205/1749673161</t>
  </si>
  <si>
    <t>https://pbs.twimg.com/profile_banners/488564310/1709597103</t>
  </si>
  <si>
    <t>la charla muy necesaria muy bien que por fin la hayan organizado etc pero podrían aclarar que el tdah no solo es que se te olviden cosas o que un día tengas más energía de lo normal?  me veo a unos cuantos autodiagnosticándose y es peligroso 
#OTDirecto19E</t>
  </si>
  <si>
    <t>alltimecrisis</t>
  </si>
  <si>
    <t>𝒄𝒓𝒊𝒔 ✧</t>
  </si>
  <si>
    <t>1558912358944235521</t>
  </si>
  <si>
    <t>https://pbs.twimg.com/profile_images/1933273327306473472/Oa8cL4Fc_normal.jpg</t>
  </si>
  <si>
    <t>TADH,TDAHAdulto,ADHDAwarenessMonth</t>
  </si>
  <si>
    <t>https://www.nytimes.com/es/2025/05/25/espanol/estilos-de-vida/tdah-adultos-senales.html?utm_source=firefox-newtab-es-es</t>
  </si>
  <si>
    <t>1181877793300324352</t>
  </si>
  <si>
    <t>https://x.com/adahi_es/status/1181877793300324352</t>
  </si>
  <si>
    <t>¡ATENCIÓN! 📢Reservad en vuestras agendas el sábado 9 de noviembre porque tendrá lugar nuestro evento más esperado. Este año, además, celebramos el #20aniversarioADAHI ¿os lo vais a perder? ¡¡Os esperamos!! #TDAH #TDAHadulto Más info: https://t.co/KuBz2OaR3G https://t.co/Ttmi9WEQ9r</t>
  </si>
  <si>
    <t>https://pbs.twimg.com/profile_banners/1558912358944235521/1749763266</t>
  </si>
  <si>
    <t>1927885810046488705</t>
  </si>
  <si>
    <t>1927515699095683488</t>
  </si>
  <si>
    <t>https://x.com/gumitog/status/1927885810046488705</t>
  </si>
  <si>
    <t>20aniversarioADAHI,TDAH,TDAHadulto</t>
  </si>
  <si>
    <t>http://www.adahi.es/vii-cena-benefica-juntos-por-adahi/</t>
  </si>
  <si>
    <t>@gordaerbakera Yo tuve que vivir toda la universidad con mi tdah que ahora de adulto recién pude tratar con mi plata ya que a mis viejos les valió pico, obvio fue un desastre aunque quisiera ser el mejor mi cerebro patinaba xd</t>
  </si>
  <si>
    <t>gumitog</t>
  </si>
  <si>
    <t>B</t>
  </si>
  <si>
    <t>https://pbs.twimg.com/profile_images/1868751531400421376/NDxtyL4K_normal.jpg</t>
  </si>
  <si>
    <t>OTDirecto19E</t>
  </si>
  <si>
    <t>https://pbs.twimg.com/media/EGbfldBW4AADKOB.jpg</t>
  </si>
  <si>
    <t>1987908733876474175</t>
  </si>
  <si>
    <t>1987762848806895925</t>
  </si>
  <si>
    <t>https://x.com/fulltimegodinez/status/1987908733876474175</t>
  </si>
  <si>
    <t>https://pbs.twimg.com/profile_banners/3364658277/1713724387</t>
  </si>
  <si>
    <t>1181292932407726088</t>
  </si>
  <si>
    <t>https://x.com/coisasdatha/status/1181292932407726088</t>
  </si>
  <si>
    <t>@diversasuke Aldo es un adulto pero... es muy influenciable por eso al naco de Poncho le URGE que tenga conflictos con terceras personas.</t>
  </si>
  <si>
    <t>fulltimegodinez</t>
  </si>
  <si>
    <t>based cinéphile🍉</t>
  </si>
  <si>
    <t>https://pbs.twimg.com/profile_images/1891516241095032832/PpEFCr_Q_normal.jpg</t>
  </si>
  <si>
    <t>Arrasta para o lado
➡️➡️➡️➡️➡️➡️
#tdah 
#tdahadulto 
#avaliacaopsicologica #tdahdescomplicado #conscientizacaotdah #tdahpragentegrande</t>
  </si>
  <si>
    <t>coisasdatha</t>
  </si>
  <si>
    <t>Epifanias da Tha 🤔</t>
  </si>
  <si>
    <t>https://pbs.twimg.com/profile_images/1484326914667868161/K1Q9BtGb_normal.jpg</t>
  </si>
  <si>
    <t>gordaerbakera</t>
  </si>
  <si>
    <t>1927473949295710216</t>
  </si>
  <si>
    <t>https://x.com/RogerioSkylabJr/status/1927473949295710216</t>
  </si>
  <si>
    <t>https://pbs.twimg.com/profile_banners/39437691/1737055410</t>
  </si>
  <si>
    <t>https://pbs.twimg.com/profile_banners/95496118/1646625534</t>
  </si>
  <si>
    <t>É tão bom voltar a ser um adulto funcional com humor regulado, é absurdo como o remédio me ajuda a ser apenas uma pessoa normal. É loucura o quanto esse transtorno afeta todos os pontos da vida de quem realmente tem e como hoje se banalizou isso.
Sempre falo: não queira ter TDAH</t>
  </si>
  <si>
    <t>RogerioSkylabJr</t>
  </si>
  <si>
    <t>Inigo Montoya</t>
  </si>
  <si>
    <t>https://pbs.twimg.com/profile_images/1912297989101572096/9xluP7f-_normal.jpg</t>
  </si>
  <si>
    <t>Facebook</t>
  </si>
  <si>
    <t>diversasuke</t>
  </si>
  <si>
    <t>tdah,tdahadulto,avaliacaopsicologica,tdahdescomplicado,conscientizacaotdah,tdahpragentegrande</t>
  </si>
  <si>
    <t>1464999129336008708</t>
  </si>
  <si>
    <t>1464884912897638401</t>
  </si>
  <si>
    <t>1180936592833298436</t>
  </si>
  <si>
    <t>https://x.com/TipitoAlberdi/status/1464999129336008708</t>
  </si>
  <si>
    <t>https://x.com/adahi_es/status/1180936592833298436</t>
  </si>
  <si>
    <t>https://pbs.twimg.com/profile_banners/200916372/1743143519</t>
  </si>
  <si>
    <t>#Octubre Mes europeo de sensibilización sobre #TDAH #TDAHadulto. Este año se pone en marcha la campaña TDAH, Mitos y Realidades. Más info: https://t.co/b1gYD8yr0G</t>
  </si>
  <si>
    <t>@DanannOficial Tenía 40 años y planeaba pelearse en un cumpleaños ajeno por los memes que le hacían en Twitter 😂👌</t>
  </si>
  <si>
    <t>TipitoAlberdi</t>
  </si>
  <si>
    <t>🇦🇷 Tipito Alberdiano</t>
  </si>
  <si>
    <t>1003251793416122368</t>
  </si>
  <si>
    <t>https://pbs.twimg.com/profile_images/1673501217215897600/_BQMPYh2_normal.jpg</t>
  </si>
  <si>
    <t>Octubre,TDAH,TDAHadulto</t>
  </si>
  <si>
    <t>http://feaadah.org/es/difusion/850</t>
  </si>
  <si>
    <t>1927451645270732890</t>
  </si>
  <si>
    <t>https://x.com/liliMDeAngeles1/status/1927451645270732890</t>
  </si>
  <si>
    <t>https://pbs.twimg.com/profile_banners/1003251793416122368/1637452526</t>
  </si>
  <si>
    <t>1177511993508384769</t>
  </si>
  <si>
    <t>https://x.com/psiquiatriacom/status/1177511993508384769</t>
  </si>
  <si>
    <t>¿Cómo saber si soy un adulto con TDAH?
Fuente: La Nación
 https://t.co/YheE0kJqDp
Compartido a través de la app de Google</t>
  </si>
  <si>
    <t>liliMDeAngeles1</t>
  </si>
  <si>
    <t>𝐋𝐢𝐥𝐢.⋆*ೄ.•*¨*•.🌸💛🌼.⋆*ೄ.•*¨*•.</t>
  </si>
  <si>
    <t>746499019640180736</t>
  </si>
  <si>
    <t>https://pbs.twimg.com/profile_images/1480334796928831497/Fb4tJKF2_normal.jpg</t>
  </si>
  <si>
    <t>TDAH en adultos, todavía un problema invisible #tdahadulto https://t.co/7SuF8JYmYb https://t.co/sQl9fc0ilZ</t>
  </si>
  <si>
    <t>DanannOficial</t>
  </si>
  <si>
    <t>1558887458607079426</t>
  </si>
  <si>
    <t>1558886120024326144</t>
  </si>
  <si>
    <t>https://pbs.twimg.com/profile_banners/746499019640180736/1591848151</t>
  </si>
  <si>
    <t>https://x.com/dra_regenmedica/status/1558887458607079426</t>
  </si>
  <si>
    <t>http://ow.ly/O9yG30pyQhD</t>
  </si>
  <si>
    <t>https://pbs.twimg.com/media/EFdc6uYUwAE_jNl.jpg</t>
  </si>
  <si>
    <t>El problema de los TDAH es con la función ejecutiva, es cuando por ejemplo acatar órdenes verbalmente. A mí se me hacía y se me hace difícil esto. Lo podemos hacer pero nos cuesta. Lo mismo que estudiar. Nos cuesta más tiempo, pero lo logramos cuando queremos.</t>
  </si>
  <si>
    <t>dra_regenmedica</t>
  </si>
  <si>
    <t>Ariana Baptista da Cunha 🧬👩‍⚕️🔬</t>
  </si>
  <si>
    <t>1213490853584392193</t>
  </si>
  <si>
    <t>https://pbs.twimg.com/profile_images/1984680252635803648/bBXn06nz_normal.jpg</t>
  </si>
  <si>
    <t>1176970653708234753</t>
  </si>
  <si>
    <t>https://x.com/adahigi/status/1176970653708234753</t>
  </si>
  <si>
    <t>https://search.app/JB4ok</t>
  </si>
  <si>
    <t>https://pbs.twimg.com/profile_banners/1213490853584392193/1759694114</t>
  </si>
  <si>
    <t>X Jornada Formativa ADAHIGI. El TDAH en el adulto. #tdahadulto #27OTDAH
El 26 de octubre dentro del mes de Concienciación Europeo del TDAH #ADHDEUROPE https://t.co/IiEazvUfnK</t>
  </si>
  <si>
    <t>tdahadulto,27OTDAH,ADHDEUROPE</t>
  </si>
  <si>
    <t>1927368837671833901</t>
  </si>
  <si>
    <t>https://pbs.twimg.com/media/EFVwkJIX4AEYSVN.jpg</t>
  </si>
  <si>
    <t>https://x.com/yagonavoz/status/1927368837671833901</t>
  </si>
  <si>
    <t>1988003700992864760</t>
  </si>
  <si>
    <t>1987938268122353731</t>
  </si>
  <si>
    <t>https://x.com/Ana1uSalazar/status/1988003700992864760</t>
  </si>
  <si>
    <t>1166352921778413569</t>
  </si>
  <si>
    <t>Coisa mais broxante uma pessoa (geralmente um macho) adulto e toda besteira que faz manda: “hehe é o TDAH” https://t.co/Y1HazCaAL9</t>
  </si>
  <si>
    <t>yagonavoz</t>
  </si>
  <si>
    <t>https://x.com/Psicologas/status/1166352921778413569</t>
  </si>
  <si>
    <t>Y Λ G Ô</t>
  </si>
  <si>
    <t>https://pbs.twimg.com/profile_images/1937526261506560000/GMGtQstn_normal.jpg</t>
  </si>
  <si>
    <t>@CatadorFutMx @dimeperra @iCrisCid El tdah tiene 3 tipos no niveles!
Y autismo tiene 3 niveles de apoyo 
Ambos son espectros, si van a citar el el DSM5 chequenlo que si les hablo de esto es porque en mi familia hay personas autistas y yo misma vivo con tdah del tipo combinado.
A lo que ustedes llaman severidad</t>
  </si>
  <si>
    <t>Ana1uSalazar</t>
  </si>
  <si>
    <t>Analu Salazar</t>
  </si>
  <si>
    <t>https://pbs.twimg.com/profile_images/1977873986282307584/13-YTBtK_normal.jpg</t>
  </si>
  <si>
    <t>Te invitamos a visualizar nuestro blogger  donde hablará una experta sobre TDAH 
Link: https://t.co/MKECtbZM9m
Contáctanos:
https://t.co/ZImMt5s0Tb 
#tdahadulto #tdah #tda #tdaadulto #trastornodecitatencionehiperactividad 
#díainternacionaldelaspersonascondiscapacidad</t>
  </si>
  <si>
    <t>Psicologas</t>
  </si>
  <si>
    <t>Equilibrio Emocional</t>
  </si>
  <si>
    <t>https://pbs.twimg.com/profile_images/378800000078992719/274df95a292d1b1e5c796ed25afa3d99_normal.jpeg</t>
  </si>
  <si>
    <t>https://pbs.twimg.com/profile_banners/2301649502/1630428249</t>
  </si>
  <si>
    <t>https://pbs.twimg.com/profile_banners/218224825/1559572983</t>
  </si>
  <si>
    <t>https://pbs.twimg.com/profile_banners/312913592/1520025607</t>
  </si>
  <si>
    <t>1927320859451994383</t>
  </si>
  <si>
    <t>1926780692857249836</t>
  </si>
  <si>
    <t>https://x.com/Johnwillpix/status/1927320859451994383</t>
  </si>
  <si>
    <t>CatadorFutMx</t>
  </si>
  <si>
    <t>CatadorFutMx,dimeperra,iCrisCid</t>
  </si>
  <si>
    <t>1988667271993258439</t>
  </si>
  <si>
    <t>tdahadulto,tdah,tda,tdaadulto,trastornodecitatencionehiperactividad,díainternacionaldelaspersonascondiscapacidad</t>
  </si>
  <si>
    <t>https://psicologasclinicas.blogspot.com/2019/08/trastorno-de-deficit-de-atencion-con.html,http://www.equilibrioemocionalpsicologia.com</t>
  </si>
  <si>
    <t>https://x.com/Chaosneto/status/1988667271993258439</t>
  </si>
  <si>
    <t>@FernandoS117078 @Fernand04034807 @ItaloMarsinh0 A modinha é essa agora.. jogando a culpa no autismo e adulto fingindo ter TDAH</t>
  </si>
  <si>
    <t>Johnwillpix</t>
  </si>
  <si>
    <t>john</t>
  </si>
  <si>
    <t>1637300881434591232</t>
  </si>
  <si>
    <t>https://pbs.twimg.com/profile_images/1844022393146122240/aRhdHgYG_normal.jpg</t>
  </si>
  <si>
    <t>Eu amo ter tdah e comer o queijo fora de validade por 1 dia, e por isso pagar pelo meu pecado de ser tdah durante a madrugada. É divertido.</t>
  </si>
  <si>
    <t>Chaosneto</t>
  </si>
  <si>
    <t>Atlas.</t>
  </si>
  <si>
    <t>https://pbs.twimg.com/profile_images/1508447125876711438/UqJuv0ZA_normal.jpg</t>
  </si>
  <si>
    <t>1161252589360619520</t>
  </si>
  <si>
    <t>https://x.com/Psicologas/status/1161252589360619520</t>
  </si>
  <si>
    <t>https://pbs.twimg.com/profile_banners/459686150/1600870767</t>
  </si>
  <si>
    <t>FernandoS117078</t>
  </si>
  <si>
    <t>Te invitamos a visualizar nuestro blogger  donde hablarán expertos sobre TDA en adultos
Link: https://t.co/yTJKo0KIeJ
Contáctanos:
https://t.co/ZImMt5s0Tb 
#tdahadulto #tdah #tda #tdaadulto #trastornodecitatencionehiperactividad 
#díainternacionaldelaspersonascondiscapacidad https://t.co/P0ND4JN3Jr</t>
  </si>
  <si>
    <t>FernandoS117078,Fernand04034807</t>
  </si>
  <si>
    <t>1927051170054345084</t>
  </si>
  <si>
    <t>https://x.com/diariochihuahua/status/1927051170054345084</t>
  </si>
  <si>
    <t>https://psicologasclinicas.blogspot.com/2019/08/el-tda-en-adultos.html,http://www.equilibrioemocionalpsicologia.com</t>
  </si>
  <si>
    <t>1552040929867046912</t>
  </si>
  <si>
    <t>https://x.com/OFM2020/status/1552040929867046912</t>
  </si>
  <si>
    <t>#Salud #TDAH El trastorno por déficit de atención con hiperactividad es una de las afecciones mentales más frecuentes. Te decimos las señales de que podrías necesitar una evaluación
https://t.co/z8yeE1W02t</t>
  </si>
  <si>
    <t>diariochihuahua</t>
  </si>
  <si>
    <t>El Diario de Chihuahua</t>
  </si>
  <si>
    <t>https://pbs.twimg.com/profile_images/1143584649182154755/lQ5qC4AJ_normal.png</t>
  </si>
  <si>
    <t>Adulto : aquel ser que vive para trabajar y trabaja para vivir. Paga cuentas mensuales, obtiene pocos beneficios y se endeuda con imprevistos.
Para que queríamos ser adultos de niños ?</t>
  </si>
  <si>
    <t>OFM2020</t>
  </si>
  <si>
    <t>OtTo</t>
  </si>
  <si>
    <t>1252045115260100609</t>
  </si>
  <si>
    <t>https://pbs.twimg.com/profile_images/1764657425414586368/iEEhzAk5_normal.jpg</t>
  </si>
  <si>
    <t>https://pbs.twimg.com/media/EB2ZEy-WkAA8KXH.jpg</t>
  </si>
  <si>
    <t>https://pbs.twimg.com/profile_banners/107224800/1561486785</t>
  </si>
  <si>
    <t>1159949266644852746</t>
  </si>
  <si>
    <t>https://pbs.twimg.com/profile_banners/1252045115260100609/1655850139</t>
  </si>
  <si>
    <t>https://x.com/Carla_Salinas_/status/1159949266644852746</t>
  </si>
  <si>
    <t>Me compré este libro. Super bueno
 Te enseña muchas estrategias y en diferentes ámbitos: economía, conflictos, medicamento, día a día, pareja, hijos, etc. 100% recomendado. #Barkley #ADHD #TDAHAdulto #TDAH #hiperactividad https://t.co/oEuf8do8MN</t>
  </si>
  <si>
    <t>Carla_Salinas_</t>
  </si>
  <si>
    <t>Carla Salinas Martínez</t>
  </si>
  <si>
    <t>Salud,TDAH</t>
  </si>
  <si>
    <t>https://pbs.twimg.com/profile_images/1434002975660388352/_4NQyyqL_normal.jpg</t>
  </si>
  <si>
    <t>https://eldiariodechihuahua.mx/salud/2025/may/26/como-saber-si-soy-un-adulto-con-tdah-702750.html</t>
  </si>
  <si>
    <t>https://pbs.twimg.com/profile_banners/2843925852/1579475594</t>
  </si>
  <si>
    <t>1927030539376037952</t>
  </si>
  <si>
    <t>1926616740156617183</t>
  </si>
  <si>
    <t>https://x.com/DaviBraid/status/1927030539376037952</t>
  </si>
  <si>
    <t>Barkley,ADHD,TDAHAdulto,TDAH,hiperactividad</t>
  </si>
  <si>
    <t>https://pbs.twimg.com/media/EBj3sycWkAAuNC-.jpg</t>
  </si>
  <si>
    <t>@lancanal @Xgordaoucrania Mas adulto tem TDAH, ué.</t>
  </si>
  <si>
    <t>DaviBraid</t>
  </si>
  <si>
    <t>Davi Braid</t>
  </si>
  <si>
    <t>https://pbs.twimg.com/profile_images/1876507030585835520/MLLRbbiM_normal.jpg</t>
  </si>
  <si>
    <t>1159948886162714625</t>
  </si>
  <si>
    <t>https://x.com/PsicoLearn/status/1159948886162714625</t>
  </si>
  <si>
    <t>https://pbs.twimg.com/profile_banners/168548716/1736229116</t>
  </si>
  <si>
    <t>Os recomendamos este libro. Super bueno con muchas estrategias del día a día y de muchos ámbitos (economía, trabajo, pareja, conflictos, medicación, símptomas...). #Barkley #ADHD #TDAHAdulto #TDAH #hiperactividad https://t.co/MLP1gJTlI7</t>
  </si>
  <si>
    <t>PsicoLearn</t>
  </si>
  <si>
    <t>956520531209195520</t>
  </si>
  <si>
    <t>https://pbs.twimg.com/profile_images/1178747573743624195/kaOJjXih_normal.jpg</t>
  </si>
  <si>
    <t>lancanal</t>
  </si>
  <si>
    <t>lancanal,Xgordaoucrania</t>
  </si>
  <si>
    <t>1926858282607538272</t>
  </si>
  <si>
    <t>1926678264124207604</t>
  </si>
  <si>
    <t>https://x.com/abacate_dasilva/status/1926858282607538272</t>
  </si>
  <si>
    <t>https://pbs.twimg.com/profile_banners/956520531209195520/1569870405</t>
  </si>
  <si>
    <t>@Chareidelas @nerdiariobr mas foi um besteirol forçado demais, a interpretação  do Zachary Levi ficou muito infantilizada.
Eu sei que a idéia do Shazam é de um garoto no corpo de um adulto, mas o Billy Baston é um pré-adolescente comum de 13 anos
e o Shazam ficou como um pirralho de 7 anos com TDAH</t>
  </si>
  <si>
    <t>abacate_dasilva</t>
  </si>
  <si>
    <t>Comandante Abacate 🥑☠️</t>
  </si>
  <si>
    <t>1483079419421986818</t>
  </si>
  <si>
    <t>https://pbs.twimg.com/profile_images/1966355100755980288/UV3UzUl0_normal.jpg</t>
  </si>
  <si>
    <t>1941698825984319683</t>
  </si>
  <si>
    <t>1941676867796238754</t>
  </si>
  <si>
    <t>https://x.com/Tazdingo23/status/1941698825984319683</t>
  </si>
  <si>
    <t>https://pbs.twimg.com/media/EBj3WxyXoAYWV8M.jpg</t>
  </si>
  <si>
    <t>https://pbs.twimg.com/profile_banners/1483079419421986818/1758234092</t>
  </si>
  <si>
    <t>@blackpescado26 No banca que un adulto se vista cómo adulto.
Porque ella es una treintona reventada que sigue queriendo jugar a la adolescencia.</t>
  </si>
  <si>
    <t>Tazdingo23</t>
  </si>
  <si>
    <t>Tazdingo</t>
  </si>
  <si>
    <t>https://pbs.twimg.com/profile_images/1469723593667923976/ir7yllhH_normal.jpg</t>
  </si>
  <si>
    <t>1150040207741333504</t>
  </si>
  <si>
    <t>https://x.com/AndTdah/status/1150040207741333504</t>
  </si>
  <si>
    <t>Ja estem a l’estan, si voleu colaborar amb nosaltres son 3€ i us donem un clauer. Estem de 15:00 a 21:00 #tdah #tdahadulto #lamassana #escaldes #andorra #ordino #canillo #encamp… https://t.co/zVpa3FCDIa</t>
  </si>
  <si>
    <t>Chareidelas</t>
  </si>
  <si>
    <t>https://pbs.twimg.com/profile_banners/562484858/1732407162</t>
  </si>
  <si>
    <t>Chareidelas,nerdiariobr</t>
  </si>
  <si>
    <t>1926749150042894380</t>
  </si>
  <si>
    <t>https://x.com/elrick111/status/1926749150042894380</t>
  </si>
  <si>
    <t>tdah,tdahadulto,lamassana,escaldes,andorra,ordino,canillo,encamp</t>
  </si>
  <si>
    <t>https://www.instagram.com/p/Bz2_mHbFPdvlf1zHk6s2jhE-1ZaQ4vsm9z5KCM0/?igshid=dpgvrhgfjl5f</t>
  </si>
  <si>
    <t>¿Cómo saber si soy un adulto con TDAH? El trastorno por déficit de atención con hiperactividad es una de las afecciones mentales más frecuentes. Te decimos las señales de que podrías necesitar una evaluación. vía NY Times #TDAH #TrastornoPorDeficitDeAtencion #NYTimes #SaludMental https://t.co/qjI539NYJ7</t>
  </si>
  <si>
    <t>elrick111</t>
  </si>
  <si>
    <t>👁️‍🗨️SigWar_OpX📡Δ</t>
  </si>
  <si>
    <t>https://pbs.twimg.com/profile_images/1939755901646159873/Be3_VsJE_normal.jpg</t>
  </si>
  <si>
    <t>blackpescado26</t>
  </si>
  <si>
    <t>1986451470032449603</t>
  </si>
  <si>
    <t>https://x.com/Niet_sapo/status/1986451470032449603</t>
  </si>
  <si>
    <t>https://pbs.twimg.com/profile_banners/422074420/1751308607</t>
  </si>
  <si>
    <t>1140876855240798209</t>
  </si>
  <si>
    <t>https://x.com/apnadah/status/1140876855240798209</t>
  </si>
  <si>
    <t>acho q o momento mais vergonhoso q o tdah já me proporcionou foi quando eu tava numa festinha e tinha 4 pessoas ficando na frente do UNICO banheiro e eu simplesmente ESQUECI e 5 min dps de saber q tinha gente lá e fui mijar e dei de cara com uma semi orgia</t>
  </si>
  <si>
    <t>Niet_sapo</t>
  </si>
  <si>
    <t>Niet 🐸</t>
  </si>
  <si>
    <t>1329806427448369153</t>
  </si>
  <si>
    <t>https://pbs.twimg.com/profile_images/1977471749403901952/KVgyPkJa_normal.jpg</t>
  </si>
  <si>
    <t>#EscuelaDePadresJunio2019
"Tratamiento  psicológico de los síntomas  comórbidos internalizados en adultos con #TDAH"
Carlos Pinar, psicólogo
Sábado 29, de 10 a 12 h.
Hospital General
Información e inscripciones: 96 293 494 o en asociacion@apnadah.org
#TDAHAdulto https://t.co/Rc1gXdv8Zq</t>
  </si>
  <si>
    <t>ConnTelegram</t>
  </si>
  <si>
    <t>TDAH,TrastornoPorDeficitDeAtencion,NYTimes,SaludMental</t>
  </si>
  <si>
    <t>https://pbs.twimg.com/media/Gr0wI_zW4AAK6o6.jpg</t>
  </si>
  <si>
    <t>EscuelaDePadresJunio2019,TDAH,TDAHAdulto</t>
  </si>
  <si>
    <t>https://pbs.twimg.com/media/D9U1cwSXYAAdwE0.jpg</t>
  </si>
  <si>
    <t>https://pbs.twimg.com/profile_banners/1329806427448369153/1755398488</t>
  </si>
  <si>
    <t>1139283857235226625</t>
  </si>
  <si>
    <t>1926740550629110119</t>
  </si>
  <si>
    <t>https://x.com/mirelacardoso/status/1139283857235226625</t>
  </si>
  <si>
    <t>https://x.com/lancanal/status/1926740550629110119</t>
  </si>
  <si>
    <t>1511629308523171840</t>
  </si>
  <si>
    <t>https://x.com/conectapaciente/status/1511629308523171840</t>
  </si>
  <si>
    <t>Desde 1994, sem paciência pra cerimônias!! #tbt #tdahadulto #pacienciazero #euri em Escola de Direito da PUCRS https://t.co/m3rPIkMj3O</t>
  </si>
  <si>
    <t>mirelacardoso</t>
  </si>
  <si>
    <t>Mirela Cardoso</t>
  </si>
  <si>
    <t>https://pbs.twimg.com/profile_images/1701285525976461312/nmkcHmm-_normal.jpg</t>
  </si>
  <si>
    <t>@Xgordaoucrania Esse papinho de adulto com tdah é de fuder</t>
  </si>
  <si>
    <t>Allan</t>
  </si>
  <si>
    <t>1011401515301527553</t>
  </si>
  <si>
    <t>https://pbs.twimg.com/profile_images/1867247845213962242/PWUon7TO_normal.jpg</t>
  </si>
  <si>
    <t>A pesar de que el #TDAH es un #trastorno que se diagnostica frecuentemente en la niñez, en un porcentaje del 30 al 50% de las ocasiones persiste en la edad adulta. Descubre cómo se manifiesta este trastorno en los #adultos y qué tratamientos existen.
https://t.co/gqD8EalLza</t>
  </si>
  <si>
    <t>conectapaciente</t>
  </si>
  <si>
    <t>Conectando Pacientes</t>
  </si>
  <si>
    <t>778510143503867904</t>
  </si>
  <si>
    <t>https://pbs.twimg.com/profile_banners/35372385/1673107849</t>
  </si>
  <si>
    <t>https://pbs.twimg.com/profile_images/902500749506211840/Ozj1cbaK_normal.jpg</t>
  </si>
  <si>
    <t>https://pbs.twimg.com/profile_banners/1011401515301527553/1529977903</t>
  </si>
  <si>
    <t>https://pbs.twimg.com/profile_banners/778510143503867904/1727810602</t>
  </si>
  <si>
    <t>tbt,tdahadulto,pacienciazero,euri</t>
  </si>
  <si>
    <t>https://www.instagram.com/mirelabcardoso/p/ByqkLTZgJFJDTe1I-XJ5FNG1dx2xlPewVQU7qI0/?igshid=17nwssfkp6xr</t>
  </si>
  <si>
    <t>Xgordaoucrania</t>
  </si>
  <si>
    <t>1925952748022878341</t>
  </si>
  <si>
    <t>https://x.com/crepch/status/1925952748022878341</t>
  </si>
  <si>
    <t>TDAH,trastorno,adultos</t>
  </si>
  <si>
    <t>https://www.conectandopacientes.es/blog/tdah/tdah-los-adultos</t>
  </si>
  <si>
    <t>1131973044354932737</t>
  </si>
  <si>
    <t>https://x.com/catia_pipoca/status/1131973044354932737</t>
  </si>
  <si>
    <t>¡Feliz #DíaDelEstudiante!
#terapiamultisensorialsimbólica #terapia #autismo #depresión #ansiedad #tdah #conducta #aprendizaje #infantil #adulto #adolescentes #FelizViernesATodos #Estudiantes https://t.co/cCAeOa3mIx</t>
  </si>
  <si>
    <t>Estudar e adaptar o método de flashcard mais gamificação para memorizar 
.
.
.
.
#tdahdescomplicado #tdah #tdahadulto #disciplinapositiva #estudar #concursos #enem2019 #oab #concursospublicos #vestibulares https://t.co/IWLL8ywtml</t>
  </si>
  <si>
    <t>catia_pipoca</t>
  </si>
  <si>
    <t>CatiaPipoca</t>
  </si>
  <si>
    <t>https://pbs.twimg.com/profile_images/1598333301860843520/gJH29YjF_normal.jpg</t>
  </si>
  <si>
    <t>DíaDelEstudiante,terapiamultisensorialsimbólica,terapia,autismo,depresión,ansiedad,tdah,conducta,aprendizaje,infantil,adulto,adolescentes,FelizViernesATodos,Estudiantes</t>
  </si>
  <si>
    <t>https://pbs.twimg.com/media/GrpbzT2WYAE_4zu.jpg</t>
  </si>
  <si>
    <t>https://pbs.twimg.com/profile_banners/194657190/1582063989</t>
  </si>
  <si>
    <t>1925825202119676163</t>
  </si>
  <si>
    <t>1925823589866995886</t>
  </si>
  <si>
    <t>https://x.com/fernetyfranui/status/1925825202119676163</t>
  </si>
  <si>
    <t>tdahdescomplicado,tdah,tdahadulto,disciplinapositiva,estudar,concursos,enem2019,oab,concursospublicos,vestibulares</t>
  </si>
  <si>
    <t>https://www.instagram.com/p/Bx2nk5MFtCW/?igshid=y96c0u3ply9j</t>
  </si>
  <si>
    <t>@naira_kghn Igual tenés razón tipo gracias a eso en teoría pude poner en palabras lo que estaba pensando y se lo pude hacer entender, también llame a mi psicóloga pq tengo TDAH diagnosticado desde los 7 pero ahora de adulto lo estoy tratando y bueno me cuestan muchas cosas 😞</t>
  </si>
  <si>
    <t>fernetyfranui</t>
  </si>
  <si>
    <t>𝜗ৎᴄʜɪɴᴏ SAW PIWON 🇦🇷♡</t>
  </si>
  <si>
    <t>1923104317147353089</t>
  </si>
  <si>
    <t>https://pbs.twimg.com/profile_images/1982241013188935680/NZGzORW__normal.jpg</t>
  </si>
  <si>
    <t>1130954697311969282</t>
  </si>
  <si>
    <t>https://x.com/catia_pipoca/status/1130954697311969282</t>
  </si>
  <si>
    <t>🗣👩‍🏫
.
.
.
.
.
.
#tdahdescomplicado #tdahadulto #tdah #concursospublicos #oab #psi #depressao #ansiedade #enem2019 #concurseirosofre #vestibular https://t.co/AFmTIK5YGx</t>
  </si>
  <si>
    <t>https://pbs.twimg.com/profile_banners/1923104317147353089/1761438061</t>
  </si>
  <si>
    <t>1987890488951648642</t>
  </si>
  <si>
    <t>tdahdescomplicado,tdahadulto,tdah,concursospublicos,oab,psi,depressao,ansiedade,enem2019,concurseirosofre,vestibular</t>
  </si>
  <si>
    <t>https://x.com/neuroclass1/status/1987890488951648642</t>
  </si>
  <si>
    <t>https://www.instagram.com/p/BxvYb0eF0kF/?igshid=1fu5cm7n64kzc</t>
  </si>
  <si>
    <t>El Trastorno por Déficit de Atención con Hiperactividad (TDAH) ha cobrado mayor visibilidad en la adultez y las redes sociales se han consolidado como fuente de información y autorreferencia📲
¿Aumenta la conciencia o genera más confusión?
https://t.co/dfPC6Hxm3q</t>
  </si>
  <si>
    <t>1130148768756715522</t>
  </si>
  <si>
    <t>naira_kghn</t>
  </si>
  <si>
    <t>https://x.com/SketchTono/status/1130148768756715522</t>
  </si>
  <si>
    <t>https://neuro-class.com/redes-sociales-y-tdah-en-adultos-impacto-del-contenido-digital/</t>
  </si>
  <si>
    <t>#tdah #tdahadulto #dibujos #Sketching https://t.co/tWHyAF9kTh</t>
  </si>
  <si>
    <t>SketchTono</t>
  </si>
  <si>
    <t>TonoSketch</t>
  </si>
  <si>
    <t>1041362501248708608</t>
  </si>
  <si>
    <t>https://pbs.twimg.com/profile_images/1041363799335419905/reWeMxmw_normal.jpg</t>
  </si>
  <si>
    <t>tdah,tdahadulto,dibujos,Sketching</t>
  </si>
  <si>
    <t>https://pbs.twimg.com/media/D68YTyhW0AA94Kb.jpg</t>
  </si>
  <si>
    <t>1130148411305541633</t>
  </si>
  <si>
    <t>https://x.com/SketchTono/status/1130148411305541633</t>
  </si>
  <si>
    <t>#tdah #tdahadulto
 @dbollero 
@tdah 
@TDAHMadrid 
@Educ_at 
@fundacioncadah https://t.co/q63Kjdu7l0</t>
  </si>
  <si>
    <t>1925612162040390031</t>
  </si>
  <si>
    <t>https://pbs.twimg.com/media/D68X-8OXkAEZXXi.jpg</t>
  </si>
  <si>
    <t>https://x.com/crepch/status/1925612162040390031</t>
  </si>
  <si>
    <t>dbollero,tdah,Educ_at,fundacioncadah</t>
  </si>
  <si>
    <t>1126045131373674496</t>
  </si>
  <si>
    <t>https://x.com/jbernacer/status/1126045131373674496</t>
  </si>
  <si>
    <t>Niños Autistas
#terapiamultisensorialsimbólica #terapia #autismo #depresión #ansiedad #tdah #conducta #aprendizaje #infantil #adulto #adolescentes #FelizJueves https://t.co/Avk9bgo7cv</t>
  </si>
  <si>
    <t>"Nos ha costado ver el #tdahadulto por las limitaciones técnicas para conocer el cerebro", dice Rafael Benito @CivicanFCN @ICS_unav @ICS_unav @unedpamplona @edupsicoUNAV</t>
  </si>
  <si>
    <t>jbernacer</t>
  </si>
  <si>
    <t>Javier Bernácer</t>
  </si>
  <si>
    <t>https://pbs.twimg.com/profile_images/1295974167762948103/XwObAGFo_normal.jpg</t>
  </si>
  <si>
    <t>terapiamultisensorialsimbólica,terapia,autismo,depresión,ansiedad,tdah,conducta,aprendizaje,infantil,adulto,adolescentes,FelizJueves</t>
  </si>
  <si>
    <t>https://pbs.twimg.com/media/Grkl8m6W0AA6XfO.jpg</t>
  </si>
  <si>
    <t>https://pbs.twimg.com/profile_banners/227281813/1597819295</t>
  </si>
  <si>
    <t>1925242256287535222</t>
  </si>
  <si>
    <t>https://x.com/crepch/status/1925242256287535222</t>
  </si>
  <si>
    <t>CivicanFCN,ICS_unav,ICS_unav,unedpamplona,edupsicoUNAV</t>
  </si>
  <si>
    <t>1126043538104487936</t>
  </si>
  <si>
    <t>https://x.com/jbernacer/status/1126043538104487936</t>
  </si>
  <si>
    <t>Convivir con un niño Neurodivergente nos puede provocar
#terapiamultisensorialsimbólica #terapia #autismo #depresión #ansiedad #tdah #conducta #aprendizaje #infantil #adulto #adolescentes #neurodivergentes #FelizMiercoles https://t.co/VhVZYECz3I</t>
  </si>
  <si>
    <t>"Un 4% de adultos padece tdah" #tdahadulto @CivicanFCN @ICS_unav @ICS_unav @unedpamplona @edupsicoUNAV</t>
  </si>
  <si>
    <t>terapiamultisensorialsimbólica,terapia,autismo,depresión,ansiedad,tdah,conducta,aprendizaje,infantil,adulto,adolescentes,neurodivergentes,FelizMiercoles</t>
  </si>
  <si>
    <t>1126039143648301056</t>
  </si>
  <si>
    <t>https://pbs.twimg.com/media/GrfUt7aWcAAUJ7-.jpg</t>
  </si>
  <si>
    <t>https://x.com/jbernacer/status/1126039143648301056</t>
  </si>
  <si>
    <t>Rafael Benito Moraga nos hace un resumen de neurobiología para hablar del #tdahadulto @CivicanFCN @ICS_unav @ICS_unav @unedpamplona @edupsicoUNAV</t>
  </si>
  <si>
    <t>1126027675708153856</t>
  </si>
  <si>
    <t>https://x.com/jbernacer/status/1126027675708153856</t>
  </si>
  <si>
    <t>"Discutir si el TDAH existe o no es un debate baldío", dice Gonzalo Arrondo. La "etiqueta" es una forma de conocerte mejor #tdahadulto
@CivicanFCN @ICS_unav @ICS_unav @unedpamplona @edupsicoUNAV</t>
  </si>
  <si>
    <t>1125789503019335686</t>
  </si>
  <si>
    <t>https://x.com/PenaciniSeba/status/1125789503019335686</t>
  </si>
  <si>
    <t>1924515863354364101</t>
  </si>
  <si>
    <t>Super contentos de aportar nuestro granito de arena. @unidasporeltdah mpdoradillo ferreyra_brenda #tdah #tdahinfantil #tdahadulto #atención #prestaatencion #canon @canonusaimaging… https://t.co/aNZ79mwET4</t>
  </si>
  <si>
    <t>https://x.com/crepch/status/1924515863354364101</t>
  </si>
  <si>
    <t>PenaciniSeba</t>
  </si>
  <si>
    <t>Sebastián Penacini</t>
  </si>
  <si>
    <t>https://pbs.twimg.com/profile_images/1381049823/Seba2_normal.jpg</t>
  </si>
  <si>
    <t>Atención con la Salud Mental de los niños
#terapiamultisensorialsimbólica #terapia #autismo #depresión #ansiedad #tdah #conducta #aprendizaje #infantil #adulto #adolescentes #neurodivergentes #FelizLunes #SaludMental https://t.co/KSiL30nx4y</t>
  </si>
  <si>
    <t>https://pbs.twimg.com/profile_banners/310674189/1398171530</t>
  </si>
  <si>
    <t>terapiamultisensorialsimbólica,terapia,autismo,depresión,ansiedad,tdah,conducta,aprendizaje,infantil,adulto,adolescentes,neurodivergentes,FelizLunes,SaludMental</t>
  </si>
  <si>
    <t>https://pbs.twimg.com/media/GrVAQvAWUAAWKG-.jpg</t>
  </si>
  <si>
    <t>1924507579130012138</t>
  </si>
  <si>
    <t>https://x.com/crepch/status/1924507579130012138</t>
  </si>
  <si>
    <t>tdah,tdahinfantil,tdahadulto,atención,prestaatencion,canon</t>
  </si>
  <si>
    <t>https://www.instagram.com/p/BxKrpwGArnR/?utm_source=ig_twitter_share&amp;igshid=17m0hc9kja6zg</t>
  </si>
  <si>
    <t>Si tienes un niño neurodivergente te podemos ayudar. Contamos con 51 años de experiencia en el área.
#terapiamultisensorialsimbólica #terapia #autismo #depresión #ansiedad #tdah #conducta #aprendizaje #infantil #adulto #adolescentes #neurodivergentes #FelizLunes https://t.co/BcZYKswhuh</t>
  </si>
  <si>
    <t>unidasporeltdah,canonusaimaging</t>
  </si>
  <si>
    <t>terapiamultisensorialsimbólica,terapia,autismo,depresión,ansiedad,tdah,conducta,aprendizaje,infantil,adulto,adolescentes,neurodivergentes,FelizLunes</t>
  </si>
  <si>
    <t>1120558713478307841</t>
  </si>
  <si>
    <t>https://pbs.twimg.com/amplify_video_thumb/1924507555717419008/img/50YxrMEDJTL3f8iB.jpg</t>
  </si>
  <si>
    <t>https://x.com/KarenVillafuer2/status/1120558713478307841</t>
  </si>
  <si>
    <t>#tdahadulto 
#déficitdeatención 
#atenciondispersa 
De las dos ,no se hace una 🤣🤣🤣🤣🙃🙃🙃 en San Juan De Aragón, Distrito Federal, Mexico https://t.co/7FxlMTCXII</t>
  </si>
  <si>
    <t>KarenVillafuer2</t>
  </si>
  <si>
    <t>https://video.twimg.com/amplify_video/1924507555717419008/vid/avc1/720x898/R1C6snLmqcLh1JYf.mp4?tag=14</t>
  </si>
  <si>
    <t>Karen Ruiz</t>
  </si>
  <si>
    <t>https://pbs.twimg.com/profile_images/1168111272522637313/8tUZeCIS_normal.jpg</t>
  </si>
  <si>
    <t>https://pbs.twimg.com/profile_banners/440318017/1575163414</t>
  </si>
  <si>
    <t>tdahadulto,déficitdeatención,atenciondispersa</t>
  </si>
  <si>
    <t>https://www.instagram.com/p/Bwlg928g2u1E8UZa9C9Bmal_GvVO2G3kAbsm6w0/?utm_source=ig_twitter_share&amp;igshid=evx2jw7xs6tg</t>
  </si>
  <si>
    <t>-99.180678,19.518656</t>
  </si>
  <si>
    <t>Gustavo A. Madero, Distrito Federal</t>
  </si>
  <si>
    <t>1119629999198306304</t>
  </si>
  <si>
    <t>https://x.com/catia_pipoca/status/1119629999198306304</t>
  </si>
  <si>
    <t>Daqui a pouco no YouTube (Cátia pipoca) 
.
.
#estudaqueavidamuda #dislexia #tdahadulto #tdah #concursospublicos #concurseiros #concurfriends #planejamento #planner #papelmagia… https://t.co/EXSpDsDaYv</t>
  </si>
  <si>
    <t>estudaqueavidamuda,dislexia,tdahadulto,tdah,concursospublicos,concurseiros,concurfriends,planejamento,planner,papelmagia</t>
  </si>
  <si>
    <t>https://www.instagram.com/catiapipoca2/p/Bwe6os3F7Kb/?utm_source=ig_twitter_share&amp;igshid=yse23wokt366</t>
  </si>
  <si>
    <t>1119588471985901568</t>
  </si>
  <si>
    <t>https://x.com/AndTdah/status/1119588471985901568</t>
  </si>
  <si>
    <t>Avui us parlarem de les Funcions Executives, ubicades en la zona prefrontal del cervell que es la part afectada del cervell de un TDAH. #TDAH #tdahadulto #funcionesejecutivas #andorra… https://t.co/oB5P8FSP3S</t>
  </si>
  <si>
    <t>TDAH,tdahadulto,funcionesejecutivas,andorra</t>
  </si>
  <si>
    <t>https://www.instagram.com/p/BwenwCqgxB_/?utm_source=ig_twitter_share&amp;igshid=1dvd5ag0q3c69</t>
  </si>
  <si>
    <t>1119263353111830534</t>
  </si>
  <si>
    <t>https://x.com/catia_pipoca/status/1119263353111830534</t>
  </si>
  <si>
    <t>🗣Quem faz o diagnóstico
 do #tdah 
.
.
#tdahadulto #tdahinfantil #tdahdescomplicado #concurfriends #estuda #psi #psicanalise nalise https://t.co/I0WISbnOBX</t>
  </si>
  <si>
    <t>1924120856923435235</t>
  </si>
  <si>
    <t>tdah,tdahadulto,tdahinfantil,tdahdescomplicado,concurfriends,estuda,psi,psicanalise</t>
  </si>
  <si>
    <t>https://www.instagram.com/catiapipoca2/p/BwcT55JFakc/?utm_source=ig_twitter_share&amp;igshid=1pe05ylhyyuy0</t>
  </si>
  <si>
    <t>https://x.com/gabrielafmars/status/1924120856923435235</t>
  </si>
  <si>
    <t>um monte de adulto sendo diagnosticado com TDAH mas a maioria é só excesso de telas e vicio em dopamina barata</t>
  </si>
  <si>
    <t>gabrielafmars</t>
  </si>
  <si>
    <t>gabriela mars</t>
  </si>
  <si>
    <t>1829334451777654784</t>
  </si>
  <si>
    <t>https://pbs.twimg.com/profile_images/1993104618021085184/u2fhCStC_normal.jpg</t>
  </si>
  <si>
    <t>1114811100397223936</t>
  </si>
  <si>
    <t>https://x.com/apnadah/status/1114811100397223936</t>
  </si>
  <si>
    <t>https://pbs.twimg.com/profile_banners/1829334451777654784/1759949388</t>
  </si>
  <si>
    <t>Buenos #consejos para enfocarte en tus tareas si eres #TDAHadulto
https://t.co/gYWBbELWto</t>
  </si>
  <si>
    <t>1924069360483643518</t>
  </si>
  <si>
    <t>1924018718801051775</t>
  </si>
  <si>
    <t>https://x.com/Eowynth/status/1924069360483643518</t>
  </si>
  <si>
    <t>consejos,TDAHadulto</t>
  </si>
  <si>
    <t>https://www.revistamercado.do/cinco-maneras-de-enfocarse-de-un-ejecutivo-que-sufrio-de-tdah/</t>
  </si>
  <si>
    <t>@MAR222001 @Neurorandom sí, eso mismo, yo sé que si regalo un peluche a una mujer, suele gustar, pero si se lo regalas a un hombre, aunque le venga bien, no sabe si lo estás ayudando o insultando (norma social). Yo el tema de sesgo en TDAH adulto (parece que se volatilizan cuando son adultos o qué)...</t>
  </si>
  <si>
    <t>Eowynth</t>
  </si>
  <si>
    <t>Elena</t>
  </si>
  <si>
    <t>https://pbs.twimg.com/profile_images/1790082049019203584/31iuO4ZQ_normal.jpg</t>
  </si>
  <si>
    <t>https://pbs.twimg.com/profile_banners/89716500/1646777617</t>
  </si>
  <si>
    <t>MAR222001</t>
  </si>
  <si>
    <t>MAR222001,Neurorandom</t>
  </si>
  <si>
    <t>1923423393916825884</t>
  </si>
  <si>
    <t>https://x.com/JomarioGama/status/1923423393916825884</t>
  </si>
  <si>
    <t>Na vida de um adulto, o TDAH pode atrapalhar em que circunstâncias:
 - Quando, por exemplo, sua energia pode ser cortada por falta de pagamento. Detalhe: vc tem energia solar. Sua conta é R$ 25. 
Rio ou choro?</t>
  </si>
  <si>
    <t>JomarioGama</t>
  </si>
  <si>
    <t>Jomário Gama</t>
  </si>
  <si>
    <t>https://pbs.twimg.com/profile_images/1416177969815490563/sZRd3TZq_normal.jpg</t>
  </si>
  <si>
    <t>https://pbs.twimg.com/profile_banners/54222594/1626478253</t>
  </si>
  <si>
    <t>1923240027359727694</t>
  </si>
  <si>
    <t>https://x.com/DiegoOl59382690/status/1923240027359727694</t>
  </si>
  <si>
    <t>Chale gfa, si me hubiera medicado de chavito , no está padre tener TDAH de adulto</t>
  </si>
  <si>
    <t>DiegoOl59382690</t>
  </si>
  <si>
    <t>JULIO CASA VERDE MENTA</t>
  </si>
  <si>
    <t>1500348991829127172</t>
  </si>
  <si>
    <t>https://pbs.twimg.com/profile_images/1897403059250110464/jNPEX6TV_normal.jpg</t>
  </si>
  <si>
    <t>https://pbs.twimg.com/profile_banners/1500348991829127172/1715578317</t>
  </si>
  <si>
    <t>1922773305611751571</t>
  </si>
  <si>
    <t>1922496578826162624</t>
  </si>
  <si>
    <t>https://x.com/MorphxMax06/status/1922773305611751571</t>
  </si>
  <si>
    <t>@kaydenbreakkkk @ccolumbiina Primeiro que qualquer adolescente é mais agitado que um adulto e é claro que vai prestar atenção em qualquer coisa considerada fora da norma e segundo eu tenho TDAH e realmente n consigo prestar atenção, então imagina duas amebas me atrapalhando pq querem se pegar</t>
  </si>
  <si>
    <t>MorphxMax06</t>
  </si>
  <si>
    <t>SpencerLover</t>
  </si>
  <si>
    <t>1753766579848761344</t>
  </si>
  <si>
    <t>https://pbs.twimg.com/profile_images/1923163197709721600/32z_HIi1_normal.jpg</t>
  </si>
  <si>
    <t>https://pbs.twimg.com/profile_banners/1753766579848761344/1747352810</t>
  </si>
  <si>
    <t>kaydenbreakkkk</t>
  </si>
  <si>
    <t>kaydenbreakkkk,ccolumbiina</t>
  </si>
  <si>
    <t>1922711017387106379</t>
  </si>
  <si>
    <t>https://x.com/Eu__Nane/status/1922711017387106379</t>
  </si>
  <si>
    <t>Vcs conhecem alguém(adulto) q é bem sucedida financeiramente, amorosamente, honesta, gente boa, etc. Falar q descobriu q tem TDAH ou Autismo? Pq eu só conheci gente lascada ou ruim vir agora c/ esses diagnósticos, parace confortável ter um diagnóstico p/ as 💩 que faz ou já fez</t>
  </si>
  <si>
    <t>Eu__Nane</t>
  </si>
  <si>
    <t>Nane</t>
  </si>
  <si>
    <t>1200186192425340929</t>
  </si>
  <si>
    <t>https://pbs.twimg.com/profile_images/1899284788134993920/3rq6aX3v_normal.jpg</t>
  </si>
  <si>
    <t>https://pbs.twimg.com/profile_banners/1200186192425340929/1700020284</t>
  </si>
  <si>
    <t>1922040141557727401</t>
  </si>
  <si>
    <t>https://x.com/whycbl/status/1922040141557727401</t>
  </si>
  <si>
    <t>Nas minhas férias escolares meu pai (p/ eu não ficar 24 horas jogando em completo silêncio) dizia que nós íamos desmontar e montar algo… E foi assim que ele ajudou (msm n fazendo ideia do pq eu era tão diferente) uma criança com tdah&amp;amp;outras coisas a ser um adulto mt funcional 👍🏻</t>
  </si>
  <si>
    <t>whycbl</t>
  </si>
  <si>
    <t>João Cabral</t>
  </si>
  <si>
    <t>1814356363138523136</t>
  </si>
  <si>
    <t>https://pbs.twimg.com/profile_images/1987900130423410688/Iv0kZ0Fk_normal.jpg</t>
  </si>
  <si>
    <t>https://pbs.twimg.com/profile_banners/1814356363138523136/1722263222</t>
  </si>
  <si>
    <t>1921410454078791833</t>
  </si>
  <si>
    <t>1921408055008207124</t>
  </si>
  <si>
    <t>https://x.com/maedasaena/status/1921410454078791833</t>
  </si>
  <si>
    <t>@lucaslinebr8 Ele me passa uma vibe de criança que faz tudo que quer e os pais passam a mão com justificativa que a criança tem TDAH, só que no caso ele é um adulto formado fdp e os pais são os fãs idiotas dele</t>
  </si>
  <si>
    <t>maedasaena</t>
  </si>
  <si>
    <t>*⋆｡🗯️ꪀׁׅana°⋆༘ | 𝗔⃥ׄ𝝗𝗟ֵ𝗨ׄ𝝡̶᤻𝝨ᯓꕤ🍎</t>
  </si>
  <si>
    <t>1904915735438041088</t>
  </si>
  <si>
    <t>https://pbs.twimg.com/profile_images/1988363062273818624/Gc_NZHa3_normal.jpg</t>
  </si>
  <si>
    <t>https://pbs.twimg.com/profile_banners/1904915735438041088/1764295724</t>
  </si>
  <si>
    <t>lucaslinebr8</t>
  </si>
  <si>
    <t>1920491230925934723</t>
  </si>
  <si>
    <t>1920210114608251257</t>
  </si>
  <si>
    <t>https://x.com/_Almendrx/status/1920491230925934723</t>
  </si>
  <si>
    <t>@anarcoarquitec @SoyChoby Soy un adulto autista+tdah que fue a una escuela normal (primaria privada, secundaria publica, actualmente estudio en la unlp)
Nunca tuve problemas de conducta, yo era quien sufria bullying
A mi no me hubiera servido ir a una escuela especial, a otras pcd seguramente si</t>
  </si>
  <si>
    <t>_Almendrx</t>
  </si>
  <si>
    <t>Eric</t>
  </si>
  <si>
    <t>1235079445632995328</t>
  </si>
  <si>
    <t>https://pbs.twimg.com/profile_images/1379727231979814916/IqCtgAl2_normal.jpg</t>
  </si>
  <si>
    <t>https://pbs.twimg.com/profile_banners/1235079445632995328/1583301796</t>
  </si>
  <si>
    <t>albertista69</t>
  </si>
  <si>
    <t>SoyChoby</t>
  </si>
  <si>
    <t>1920103551042224135</t>
  </si>
  <si>
    <t>https://x.com/ingridbxd/status/1920103551042224135</t>
  </si>
  <si>
    <t>tdah não tratado é o pior inferno na vida de um adulto, puta que pariu, eu precisava trocar de cérebro 
breve breve to me automedicando e fodasse</t>
  </si>
  <si>
    <t>ingridbxd</t>
  </si>
  <si>
    <t>🦋</t>
  </si>
  <si>
    <t>1732119554241757184</t>
  </si>
  <si>
    <t>https://pbs.twimg.com/profile_images/1990334313116614656/ubaTfUoP_normal.jpg</t>
  </si>
  <si>
    <t>https://pbs.twimg.com/profile_banners/1732119554241757184/1762829868</t>
  </si>
  <si>
    <t>1919817674093142182</t>
  </si>
  <si>
    <t>1917707426616467547</t>
  </si>
  <si>
    <t>https://x.com/esunbambi/status/1919817674093142182</t>
  </si>
  <si>
    <t>@Cattatweet1 @pelucaGLima @polariscopi0 Literal soy licenciada en psicología formada en tdah adulto</t>
  </si>
  <si>
    <t>esunbambi</t>
  </si>
  <si>
    <t>Bam Bi</t>
  </si>
  <si>
    <t>978485765020835840</t>
  </si>
  <si>
    <t>https://pbs.twimg.com/profile_images/1763371923206008832/AMRnDEbF_normal.jpg</t>
  </si>
  <si>
    <t>https://pbs.twimg.com/profile_banners/978485765020835840/1709255709</t>
  </si>
  <si>
    <t>Cattatweet1</t>
  </si>
  <si>
    <t>Cattatweet1,pelucaGLima</t>
  </si>
  <si>
    <t>1919777802091425883</t>
  </si>
  <si>
    <t>https://x.com/selffconscious/status/1919777802091425883</t>
  </si>
  <si>
    <t>Adulto com tdah, kkkkkkkkkkkkk</t>
  </si>
  <si>
    <t>selffconscious</t>
  </si>
  <si>
    <t>G</t>
  </si>
  <si>
    <t>1789401291950559232</t>
  </si>
  <si>
    <t>https://pbs.twimg.com/profile_images/1953293676337152000/UhKgIklY_normal.jpg</t>
  </si>
  <si>
    <t>https://pbs.twimg.com/profile_banners/1789401291950559232/1718938581</t>
  </si>
  <si>
    <t>1919523541067673687</t>
  </si>
  <si>
    <t>1919410747534098462</t>
  </si>
  <si>
    <t>https://x.com/lizzybdarcy28/status/1919523541067673687</t>
  </si>
  <si>
    <t>@AquelaLara @Steve_Banannon Ando meio cansada de ouvir: "meu filho é..." ou, "fui diagnosticada com"... como se fosse desculpa.
O espectro autista é observável. E conheço diversas pessoas portadoras do espectro. Mas é importante ter certeza.
Nem tudo é TDAH,  pois pode ser uma fase da criança ou do adulto.</t>
  </si>
  <si>
    <t>lizzybdarcy28</t>
  </si>
  <si>
    <t>Lizzy Maccarrone Darcy</t>
  </si>
  <si>
    <t>1365834084736520192</t>
  </si>
  <si>
    <t>https://pbs.twimg.com/profile_images/1986032114542706688/xCkK3NP9_normal.jpg</t>
  </si>
  <si>
    <t>https://pbs.twimg.com/profile_banners/1365834084736520192/1697065955</t>
  </si>
  <si>
    <t>AquelaLara</t>
  </si>
  <si>
    <t>AquelaLara,Steve_Banannon</t>
  </si>
  <si>
    <t>1919003976059560257</t>
  </si>
  <si>
    <t>1918828182741872781</t>
  </si>
  <si>
    <t>https://x.com/MariaCamposZTC/status/1919003976059560257</t>
  </si>
  <si>
    <t>@birthchartsage @barbararezzo Faz todo sentido não levar a criança na missa enquanto ela não conseguir ficar em absoluto silêncio mesmo. Inclusive adulto com TDAH também não deveria ir. Se tiver incontinência urinária e precisar sair pra ir no banheiro melhor não ir também.</t>
  </si>
  <si>
    <t>MariaCamposZTC</t>
  </si>
  <si>
    <t>Maria Campos</t>
  </si>
  <si>
    <t>1518254772696109056</t>
  </si>
  <si>
    <t>https://pbs.twimg.com/profile_images/1518254958847696897/Z-twE7cd_normal.png</t>
  </si>
  <si>
    <t>barbararezzo</t>
  </si>
  <si>
    <t>1918236204383822319</t>
  </si>
  <si>
    <t>1918070321552278004</t>
  </si>
  <si>
    <t>https://x.com/Moridimortem_/status/1918236204383822319</t>
  </si>
  <si>
    <t>@Caballero_FI @honrubiahurtado Tampoco quiere hacerme la actualización del TDAH, lo tengo diagnosticado y está en mi historia clínica pero cuando digo que quiero que me actualicen el diagnóstico porque soy adulto y cambia, me dan largas o me ignoran... ponen muy difícil lo de querer apoyar lo público</t>
  </si>
  <si>
    <t>Moridimortem_</t>
  </si>
  <si>
    <t>Xurde🏳️‍⚧️🍉</t>
  </si>
  <si>
    <t>1731664416356159488</t>
  </si>
  <si>
    <t>https://pbs.twimg.com/profile_images/1980637882122379264/10h9IR15_normal.jpg</t>
  </si>
  <si>
    <t>https://pbs.twimg.com/profile_banners/1731664416356159488/1701696262</t>
  </si>
  <si>
    <t>Caballero_FI</t>
  </si>
  <si>
    <t>Caballero_FI,honrubiahurtado</t>
  </si>
  <si>
    <t>1918012422373425264</t>
  </si>
  <si>
    <t>1918012405864644999</t>
  </si>
  <si>
    <t>https://x.com/ElPaido/status/1918012422373425264</t>
  </si>
  <si>
    <t>💡 Aplicaciones clínicas:
✅ Narcolepsia, apnea del sueño, otros trastornos del sueño. 
✅ Off-label:
Potenciador cognitivo en psicosis 
Adjunto en depresión resistente
Opcional en TDAH infantil y adulto
Apoyo en trastornos por uso de psicoestimulantes</t>
  </si>
  <si>
    <t>1917911626507800724</t>
  </si>
  <si>
    <t>https://x.com/esunbambi/status/1917911626507800724</t>
  </si>
  <si>
    <t>@Cattatweet1 @polariscopi0 Psicólogos, neuropsicologos y psiquiatras con formacion en tdah adulto también pueden hacer la evaluación. Saludos</t>
  </si>
  <si>
    <t>1917237124253745237</t>
  </si>
  <si>
    <t>1917236817838907856</t>
  </si>
  <si>
    <t>https://x.com/desthielray/status/1917237124253745237</t>
  </si>
  <si>
    <t>Pra adulto não é tão prejudicial, mas pra criança é muito, daqui 5 anos todos os enzos terão TDAH</t>
  </si>
  <si>
    <t>desthielray</t>
  </si>
  <si>
    <t>ray</t>
  </si>
  <si>
    <t>1593779897851432960</t>
  </si>
  <si>
    <t>https://pbs.twimg.com/profile_images/1975035459358126080/-9eapHaR_normal.jpg</t>
  </si>
  <si>
    <t>https://pbs.twimg.com/profile_banners/1593779897851432960/1734581963</t>
  </si>
  <si>
    <t>1917037801461240046</t>
  </si>
  <si>
    <t>1916848074208510220</t>
  </si>
  <si>
    <t>https://x.com/xxbadinfluence/status/1917037801461240046</t>
  </si>
  <si>
    <t>@xxbrena dos mesmos criadores do adulto que se auto diagnostica com tdah e só é impres***** mesmo kkkkkk</t>
  </si>
  <si>
    <t>xxbadinfluence</t>
  </si>
  <si>
    <t>thai</t>
  </si>
  <si>
    <t>1428065647242661889</t>
  </si>
  <si>
    <t>https://pbs.twimg.com/profile_images/1992603154441994241/P76XxXLi_normal.jpg</t>
  </si>
  <si>
    <t>https://pbs.twimg.com/profile_banners/1428065647242661889/1674695710</t>
  </si>
  <si>
    <t>xxbrena</t>
  </si>
  <si>
    <t>1916928417523794304</t>
  </si>
  <si>
    <t>https://x.com/tdahworld/status/1916928417523794304</t>
  </si>
  <si>
    <t>A medicação alivia sintomas, mas não garante adesão. #TDAH #MitosTDAH #Estimulantes #SaudeMental #tdahworld https://t.co/p2eeTR6D5k</t>
  </si>
  <si>
    <t>TDAH,MitosTDAH,Estimulantes,SaudeMental,tdahworld</t>
  </si>
  <si>
    <t>https://tdah.world/anfetaminas-tdah-adulto-venvanse-adderal-ciencia-diz/</t>
  </si>
  <si>
    <t>1916626008188322056</t>
  </si>
  <si>
    <t>1916506206685810782</t>
  </si>
  <si>
    <t>https://x.com/eduardocfaguiar/status/1916626008188322056</t>
  </si>
  <si>
    <t>@venlafaxina_150 Pô, deve ser foda 
Tenho TDAH, diagnosticado desde criança mas só fui tomar medicamento agora adulto mesmo. 
Psicoterapia e medicamentos psicotrópicos  são as melhores invenções da humanidade. Tem gente que só levanta da cama hoje graças a isso… porém, ainda existe estigma</t>
  </si>
  <si>
    <t>eduardocfaguiar</t>
  </si>
  <si>
    <t>Eduardo Aguiar ⚛️</t>
  </si>
  <si>
    <t>https://pbs.twimg.com/profile_images/1992702217913057280/XwuByE7I_normal.jpg</t>
  </si>
  <si>
    <t>https://pbs.twimg.com/profile_banners/106929764/1763942859</t>
  </si>
  <si>
    <t>venlafaxina_150</t>
  </si>
  <si>
    <t>1916242214709010591</t>
  </si>
  <si>
    <t>1915918883065893345</t>
  </si>
  <si>
    <t>https://x.com/transnarquista/status/1916242214709010591</t>
  </si>
  <si>
    <t>@gosminha2 @0nipuni TDAH não é só sobre atenção 
Impacta memória, raciocínio, motivação, compreensão das coisas, uma série de capacidades neurológicas 
Qualquer psiquiatra que se preze não vai enfiar tarja preta em alguém, seja adulto ou criança, por unicamente dificuldade de foco</t>
  </si>
  <si>
    <t>transnarquista</t>
  </si>
  <si>
    <t>dominique 🏳️‍⚧️🩸土</t>
  </si>
  <si>
    <t>1857478046489686016</t>
  </si>
  <si>
    <t>https://pbs.twimg.com/profile_images/1993083318137446400/ZWxj5p-z_normal.jpg</t>
  </si>
  <si>
    <t>https://pbs.twimg.com/profile_banners/1857478046489686016/1764023067</t>
  </si>
  <si>
    <t>gosminha2</t>
  </si>
  <si>
    <t>gosminha2,0nipuni</t>
  </si>
  <si>
    <t>1915929956254715975</t>
  </si>
  <si>
    <t>1915806035576602829</t>
  </si>
  <si>
    <t>https://x.com/DriSNperfil3/status/1915929956254715975</t>
  </si>
  <si>
    <t>@elyataidejr Adulto com TDAH.</t>
  </si>
  <si>
    <t>DriSNperfil3</t>
  </si>
  <si>
    <t>DriSN</t>
  </si>
  <si>
    <t>1106333919778099203</t>
  </si>
  <si>
    <t>https://pbs.twimg.com/profile_images/1594552329377824771/VxxaQSMC_normal.jpg</t>
  </si>
  <si>
    <t>https://pbs.twimg.com/profile_banners/1106333919778099203/1735338134</t>
  </si>
  <si>
    <t>elyataidejr</t>
  </si>
  <si>
    <t>1915909718259748999</t>
  </si>
  <si>
    <t>1915904426159542276</t>
  </si>
  <si>
    <t>https://x.com/theonefirelord/status/1915909718259748999</t>
  </si>
  <si>
    <t>@majusodre Adulto com tdah que ta vivo é pq era FRESCURA</t>
  </si>
  <si>
    <t>theonefirelord</t>
  </si>
  <si>
    <t>durigon ☽☾</t>
  </si>
  <si>
    <t>1583669238463709184</t>
  </si>
  <si>
    <t>https://pbs.twimg.com/profile_images/1993163630100013056/PsOzEXzn_normal.jpg</t>
  </si>
  <si>
    <t>https://pbs.twimg.com/profile_banners/1583669238463709184/1763000741</t>
  </si>
  <si>
    <t>majusodre</t>
  </si>
  <si>
    <t>1915872229596000521</t>
  </si>
  <si>
    <t>1915869658646819138</t>
  </si>
  <si>
    <t>https://x.com/martestrese/status/1915872229596000521</t>
  </si>
  <si>
    <t>@daphnexan Mi kiddo tiene TDAH y lo usa de excusa en la casa cuando se pone grosero y mal portado.
Obviamente sabe que eso no es excusa y se le castiga. Sí él que es un niño está claro que es un método (inútil) para tratar de zafar, un adulto debe estar triplemente claro.</t>
  </si>
  <si>
    <t>martestrese</t>
  </si>
  <si>
    <t>Zero Cool 🇵🇦</t>
  </si>
  <si>
    <t>734915181311037441</t>
  </si>
  <si>
    <t>https://pbs.twimg.com/profile_images/1990567386831806464/QWauQqZA_normal.jpg</t>
  </si>
  <si>
    <t>https://pbs.twimg.com/profile_banners/734915181311037441/1761434732</t>
  </si>
  <si>
    <t>daphnexan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</si>
</sst>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7">
    <font>
      <sz val="10.0"/>
      <color rgb="FF000000"/>
      <name val="Arial"/>
      <scheme val="minor"/>
    </font>
    <font>
      <color theme="1"/>
      <name val="Arial"/>
    </font>
    <font>
      <color theme="1"/>
      <name val="Arial"/>
      <scheme val="minor"/>
    </font>
    <font>
      <u/>
      <color rgb="FF1155CC"/>
      <name val="Arial"/>
    </font>
    <font>
      <u/>
      <color rgb="FF0000FF"/>
    </font>
    <font>
      <u/>
      <color rgb="FF0000FF"/>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shrinkToFit="0" wrapText="0"/>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2" numFmtId="164" xfId="0" applyAlignment="1" applyFont="1" applyNumberFormat="1">
      <alignment readingOrder="0"/>
    </xf>
    <xf borderId="0" fillId="0" fontId="3" numFmtId="0" xfId="0" applyAlignment="1" applyFont="1">
      <alignment vertical="bottom"/>
    </xf>
    <xf borderId="0" fillId="0" fontId="4" numFmtId="0" xfId="0" applyAlignment="1" applyFont="1">
      <alignment readingOrder="0"/>
    </xf>
    <xf borderId="0" fillId="0" fontId="1" numFmtId="0" xfId="0" applyAlignment="1" applyFont="1">
      <alignment horizontal="center" vertical="bottom"/>
    </xf>
    <xf borderId="0" fillId="0" fontId="2" numFmtId="164" xfId="0" applyAlignment="1" applyFont="1" applyNumberFormat="1">
      <alignment shrinkToFit="0" wrapText="0"/>
    </xf>
    <xf borderId="0" fillId="0" fontId="5" numFmtId="0" xfId="0" applyAlignment="1" applyFont="1">
      <alignment shrinkToFit="0" wrapText="0"/>
    </xf>
    <xf borderId="0" fillId="0" fontId="2" numFmtId="0" xfId="0" applyAlignment="1" applyFont="1">
      <alignment readingOrder="0"/>
    </xf>
    <xf borderId="0" fillId="0" fontId="6"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bs.twimg.com/profile_banners/2940020207/1726230679" TargetMode="External"/><Relationship Id="rId194" Type="http://schemas.openxmlformats.org/officeDocument/2006/relationships/hyperlink" Target="https://x.com/landysJairPsic/status/1961643249480683708" TargetMode="External"/><Relationship Id="rId193" Type="http://schemas.openxmlformats.org/officeDocument/2006/relationships/hyperlink" Target="https://pbs.twimg.com/profile_banners/988205513916772352/1760624484" TargetMode="External"/><Relationship Id="rId192" Type="http://schemas.openxmlformats.org/officeDocument/2006/relationships/hyperlink" Target="https://pbs.twimg.com/profile_images/1978827896895520768/kXlYAd5f_normal.jpg" TargetMode="External"/><Relationship Id="rId191" Type="http://schemas.openxmlformats.org/officeDocument/2006/relationships/hyperlink" Target="https://x.com/_jaureguipride/status/1988749442229411988" TargetMode="External"/><Relationship Id="rId187" Type="http://schemas.openxmlformats.org/officeDocument/2006/relationships/hyperlink" Target="https://x.com/i/broadcasts/1mrGmBADnwqJy" TargetMode="External"/><Relationship Id="rId186" Type="http://schemas.openxmlformats.org/officeDocument/2006/relationships/hyperlink" Target="https://pbs.twimg.com/profile_banners/2825615947/1674793295" TargetMode="External"/><Relationship Id="rId185" Type="http://schemas.openxmlformats.org/officeDocument/2006/relationships/hyperlink" Target="https://pbs.twimg.com/profile_images/1988347861507952640/MmBWSSun_normal.jpg" TargetMode="External"/><Relationship Id="rId184" Type="http://schemas.openxmlformats.org/officeDocument/2006/relationships/hyperlink" Target="https://x.com/MauricioLeija/status/1983221658258420052" TargetMode="External"/><Relationship Id="rId189" Type="http://schemas.openxmlformats.org/officeDocument/2006/relationships/hyperlink" Target="https://pbs.twimg.com/profile_images/1580910856233259012/q4nGbbdi_normal.jpg" TargetMode="External"/><Relationship Id="rId188" Type="http://schemas.openxmlformats.org/officeDocument/2006/relationships/hyperlink" Target="https://x.com/daniloo_ribass/status/1986990416533635354" TargetMode="External"/><Relationship Id="rId183" Type="http://schemas.openxmlformats.org/officeDocument/2006/relationships/hyperlink" Target="https://video.twimg.com/ext_tw_video/1673804614632710144/pu/vid/1024x576/NuaP8CbO4hcjo56Y.mp4?tag=12" TargetMode="External"/><Relationship Id="rId182" Type="http://schemas.openxmlformats.org/officeDocument/2006/relationships/hyperlink" Target="https://pbs.twimg.com/ext_tw_video_thumb/1673804614632710144/pu/img/KFucAJuqCTDkc-z2.jpg" TargetMode="External"/><Relationship Id="rId181" Type="http://schemas.openxmlformats.org/officeDocument/2006/relationships/hyperlink" Target="https://pbs.twimg.com/profile_banners/1385247206706401280/1762739168" TargetMode="External"/><Relationship Id="rId180" Type="http://schemas.openxmlformats.org/officeDocument/2006/relationships/hyperlink" Target="https://pbs.twimg.com/profile_images/1988011757357453312/ADfE50FA_normal.jpg" TargetMode="External"/><Relationship Id="rId176" Type="http://schemas.openxmlformats.org/officeDocument/2006/relationships/hyperlink" Target="https://x.com/Tissinha9328/status/1986466288588255525" TargetMode="External"/><Relationship Id="rId175" Type="http://schemas.openxmlformats.org/officeDocument/2006/relationships/hyperlink" Target="https://pbs.twimg.com/profile_banners/1651620461296353280/1682615786" TargetMode="External"/><Relationship Id="rId174" Type="http://schemas.openxmlformats.org/officeDocument/2006/relationships/hyperlink" Target="https://pbs.twimg.com/profile_images/1941857553815584768/bG-scmHU_normal.jpg" TargetMode="External"/><Relationship Id="rId173" Type="http://schemas.openxmlformats.org/officeDocument/2006/relationships/hyperlink" Target="https://x.com/QueerMarx_99/status/1971283366839513280" TargetMode="External"/><Relationship Id="rId179" Type="http://schemas.openxmlformats.org/officeDocument/2006/relationships/hyperlink" Target="https://x.com/tubesuva/status/1988086201774207006" TargetMode="External"/><Relationship Id="rId178" Type="http://schemas.openxmlformats.org/officeDocument/2006/relationships/hyperlink" Target="https://pbs.twimg.com/profile_banners/1562798153648467969/1753752983" TargetMode="External"/><Relationship Id="rId177" Type="http://schemas.openxmlformats.org/officeDocument/2006/relationships/hyperlink" Target="https://pbs.twimg.com/profile_images/1968352147734446080/UEP-Mffj_normal.jpg" TargetMode="External"/><Relationship Id="rId198" Type="http://schemas.openxmlformats.org/officeDocument/2006/relationships/hyperlink" Target="https://x.com/SedanoCalleja/status/1871857695059501439" TargetMode="External"/><Relationship Id="rId197" Type="http://schemas.openxmlformats.org/officeDocument/2006/relationships/hyperlink" Target="https://video.twimg.com/amplify_video/1961642981854793729/vid/avc1/720x1280/Y8KVumfQE_yIbvUd.mp4?tag=14" TargetMode="External"/><Relationship Id="rId196" Type="http://schemas.openxmlformats.org/officeDocument/2006/relationships/hyperlink" Target="https://pbs.twimg.com/amplify_video_thumb/1961642981854793729/img/nVpBd8b2ZtQgytmx.jpg" TargetMode="External"/><Relationship Id="rId195" Type="http://schemas.openxmlformats.org/officeDocument/2006/relationships/hyperlink" Target="https://pbs.twimg.com/profile_images/1745094281449103360/Len2zkMK_normal.jpg" TargetMode="External"/><Relationship Id="rId199" Type="http://schemas.openxmlformats.org/officeDocument/2006/relationships/hyperlink" Target="https://pbs.twimg.com/profile_images/1803399403908038656/bxn8ZUZQ_normal.jpg" TargetMode="External"/><Relationship Id="rId150" Type="http://schemas.openxmlformats.org/officeDocument/2006/relationships/hyperlink" Target="https://x.com/crepch/status/1978135531687989315" TargetMode="External"/><Relationship Id="rId392" Type="http://schemas.openxmlformats.org/officeDocument/2006/relationships/hyperlink" Target="https://x.com/MariolySosaP/status/1930802447087235369" TargetMode="External"/><Relationship Id="rId391" Type="http://schemas.openxmlformats.org/officeDocument/2006/relationships/hyperlink" Target="https://pbs.twimg.com/profile_banners/1779893821246951424/1754627781" TargetMode="External"/><Relationship Id="rId390" Type="http://schemas.openxmlformats.org/officeDocument/2006/relationships/hyperlink" Target="https://pbs.twimg.com/profile_images/1953676586839863296/92IR_tIS_normal.jpg" TargetMode="External"/><Relationship Id="rId1" Type="http://schemas.openxmlformats.org/officeDocument/2006/relationships/hyperlink" Target="https://x.com/offlutt/status/1980369299366899925" TargetMode="External"/><Relationship Id="rId2" Type="http://schemas.openxmlformats.org/officeDocument/2006/relationships/hyperlink" Target="https://pbs.twimg.com/profile_images/1967646759720460288/YdjMDEKZ_normal.jpg" TargetMode="External"/><Relationship Id="rId3" Type="http://schemas.openxmlformats.org/officeDocument/2006/relationships/hyperlink" Target="https://pbs.twimg.com/profile_banners/1967630715526512640/1759271328" TargetMode="External"/><Relationship Id="rId149" Type="http://schemas.openxmlformats.org/officeDocument/2006/relationships/hyperlink" Target="https://pbs.twimg.com/media/G5aN9bOX0AASFCD.jpg,https://pbs.twimg.com/media/G5aN9eFWsAAhWMP.jpg,https://pbs.twimg.com/media/G5aN9bkXwAEbSB6.jpg,https://pbs.twimg.com/media/G5aN9bFXYAAV5P2.jpg" TargetMode="External"/><Relationship Id="rId4" Type="http://schemas.openxmlformats.org/officeDocument/2006/relationships/hyperlink" Target="https://pbs.twimg.com/ext_tw_video_thumb/1621438878212100096/pu/img/9jxaoGcwPWvx_ywR.jpg" TargetMode="External"/><Relationship Id="rId148" Type="http://schemas.openxmlformats.org/officeDocument/2006/relationships/hyperlink" Target="https://neuro-class.com/cursos/tdah-en-adultos-abordaje/" TargetMode="External"/><Relationship Id="rId1090" Type="http://schemas.openxmlformats.org/officeDocument/2006/relationships/hyperlink" Target="https://pbs.twimg.com/profile_images/1936446647254294528/hktjcz2s_normal.jpg" TargetMode="External"/><Relationship Id="rId1091" Type="http://schemas.openxmlformats.org/officeDocument/2006/relationships/hyperlink" Target="https://pbs.twimg.com/profile_banners/450310216/1750519844" TargetMode="External"/><Relationship Id="rId1092" Type="http://schemas.openxmlformats.org/officeDocument/2006/relationships/hyperlink" Target="https://x.com/SUPERVUL9AR/status/1380238860307865600" TargetMode="External"/><Relationship Id="rId1093" Type="http://schemas.openxmlformats.org/officeDocument/2006/relationships/hyperlink" Target="https://pbs.twimg.com/profile_images/1943828037620912129/wPyvpmWO_normal.jpg" TargetMode="External"/><Relationship Id="rId1094" Type="http://schemas.openxmlformats.org/officeDocument/2006/relationships/hyperlink" Target="https://pbs.twimg.com/profile_banners/1189471276261240832/1722432650" TargetMode="External"/><Relationship Id="rId9" Type="http://schemas.openxmlformats.org/officeDocument/2006/relationships/hyperlink" Target="https://x.com/thaynazinhe/status/1988394655424393394" TargetMode="External"/><Relationship Id="rId143" Type="http://schemas.openxmlformats.org/officeDocument/2006/relationships/hyperlink" Target="https://pbs.twimg.com/ext_tw_video_thumb/1924178004101509120/pu/img/E0OzDqgMeljFYyCV.jpg" TargetMode="External"/><Relationship Id="rId385" Type="http://schemas.openxmlformats.org/officeDocument/2006/relationships/hyperlink" Target="https://pbs.twimg.com/profile_banners/1645354333322584065/1685452221" TargetMode="External"/><Relationship Id="rId1095" Type="http://schemas.openxmlformats.org/officeDocument/2006/relationships/hyperlink" Target="https://x.com/BlackAutie/status/1488862447821893648" TargetMode="External"/><Relationship Id="rId142" Type="http://schemas.openxmlformats.org/officeDocument/2006/relationships/hyperlink" Target="https://pbs.twimg.com/profile_banners/6068/1665387027" TargetMode="External"/><Relationship Id="rId384" Type="http://schemas.openxmlformats.org/officeDocument/2006/relationships/hyperlink" Target="https://pbs.twimg.com/profile_images/1651011889223155713/9_CcD8QF_normal.jpg" TargetMode="External"/><Relationship Id="rId1096" Type="http://schemas.openxmlformats.org/officeDocument/2006/relationships/hyperlink" Target="https://pbs.twimg.com/profile_images/1461280325150126085/LoOPVMLV_normal.jpg" TargetMode="External"/><Relationship Id="rId141" Type="http://schemas.openxmlformats.org/officeDocument/2006/relationships/hyperlink" Target="https://pbs.twimg.com/profile_images/1141030698947686400/QOH39mM0_normal.jpg" TargetMode="External"/><Relationship Id="rId383" Type="http://schemas.openxmlformats.org/officeDocument/2006/relationships/hyperlink" Target="https://x.com/Tdah_exprimido/status/1886116026376450320" TargetMode="External"/><Relationship Id="rId1097" Type="http://schemas.openxmlformats.org/officeDocument/2006/relationships/hyperlink" Target="https://pbs.twimg.com/profile_banners/1461276651262726146/1720525663" TargetMode="External"/><Relationship Id="rId140" Type="http://schemas.openxmlformats.org/officeDocument/2006/relationships/hyperlink" Target="https://x.com/pau/status/1924178252349718999" TargetMode="External"/><Relationship Id="rId382" Type="http://schemas.openxmlformats.org/officeDocument/2006/relationships/hyperlink" Target="https://pbs.twimg.com/profile_images/1902512796580892672/nFtfVq_A_normal.jpg" TargetMode="External"/><Relationship Id="rId1098" Type="http://schemas.openxmlformats.org/officeDocument/2006/relationships/hyperlink" Target="https://x.com/TonyGali/status/769909888101212160" TargetMode="External"/><Relationship Id="rId5" Type="http://schemas.openxmlformats.org/officeDocument/2006/relationships/hyperlink" Target="https://video.twimg.com/ext_tw_video/1621438878212100096/pu/vid/750x704/lJp_j8NnivilTrNX.mp4?tag=12" TargetMode="External"/><Relationship Id="rId147" Type="http://schemas.openxmlformats.org/officeDocument/2006/relationships/hyperlink" Target="https://pbs.twimg.com/profile_banners/1106885136048668672/1570908447" TargetMode="External"/><Relationship Id="rId389" Type="http://schemas.openxmlformats.org/officeDocument/2006/relationships/hyperlink" Target="https://x.com/talitahazevedo/status/1951710049060978945" TargetMode="External"/><Relationship Id="rId1099" Type="http://schemas.openxmlformats.org/officeDocument/2006/relationships/hyperlink" Target="https://pbs.twimg.com/profile_images/1603286997019271168/tr75l8As_normal.jpg" TargetMode="External"/><Relationship Id="rId6" Type="http://schemas.openxmlformats.org/officeDocument/2006/relationships/hyperlink" Target="https://x.com/botelhoapenas/status/1987064030192664827" TargetMode="External"/><Relationship Id="rId146" Type="http://schemas.openxmlformats.org/officeDocument/2006/relationships/hyperlink" Target="https://pbs.twimg.com/profile_images/1183101531261997058/iP253fmT_normal.jpg" TargetMode="External"/><Relationship Id="rId388" Type="http://schemas.openxmlformats.org/officeDocument/2006/relationships/hyperlink" Target="https://pbs.twimg.com/profile_banners/1686528835301330944/1762740541" TargetMode="External"/><Relationship Id="rId7" Type="http://schemas.openxmlformats.org/officeDocument/2006/relationships/hyperlink" Target="https://pbs.twimg.com/profile_images/1983521396295680000/FMtP8uF5_normal.jpg" TargetMode="External"/><Relationship Id="rId145" Type="http://schemas.openxmlformats.org/officeDocument/2006/relationships/hyperlink" Target="https://x.com/neuroclass1/status/1987932491265831294" TargetMode="External"/><Relationship Id="rId387" Type="http://schemas.openxmlformats.org/officeDocument/2006/relationships/hyperlink" Target="https://pbs.twimg.com/profile_images/1987702248529436672/tdBFH2FH_normal.jpg" TargetMode="External"/><Relationship Id="rId8" Type="http://schemas.openxmlformats.org/officeDocument/2006/relationships/hyperlink" Target="https://pbs.twimg.com/profile_banners/1386760009057439745/1731794127" TargetMode="External"/><Relationship Id="rId144" Type="http://schemas.openxmlformats.org/officeDocument/2006/relationships/hyperlink" Target="https://video.twimg.com/ext_tw_video/1924178004101509120/pu/vid/avc1/720x1280/U2iJgOhEcx0Yv2BT.mp4?tag=12" TargetMode="External"/><Relationship Id="rId386" Type="http://schemas.openxmlformats.org/officeDocument/2006/relationships/hyperlink" Target="https://x.com/exageronalaje/status/1988386179209982183" TargetMode="External"/><Relationship Id="rId381" Type="http://schemas.openxmlformats.org/officeDocument/2006/relationships/hyperlink" Target="https://x.com/Malaquias85/status/1912346816139452471" TargetMode="External"/><Relationship Id="rId380" Type="http://schemas.openxmlformats.org/officeDocument/2006/relationships/hyperlink" Target="https://video.twimg.com/amplify_video/1961440142922493952/vid/avc1/2880x2160/94b7WGhRWWw79rbv.mp4?tag=21" TargetMode="External"/><Relationship Id="rId139" Type="http://schemas.openxmlformats.org/officeDocument/2006/relationships/hyperlink" Target="https://pbs.twimg.com/media/G5kuVn3WcAAatgj.jpg" TargetMode="External"/><Relationship Id="rId138" Type="http://schemas.openxmlformats.org/officeDocument/2006/relationships/hyperlink" Target="https://pbs.twimg.com/profile_banners/1325904158914908161/1748439374" TargetMode="External"/><Relationship Id="rId137" Type="http://schemas.openxmlformats.org/officeDocument/2006/relationships/hyperlink" Target="https://pbs.twimg.com/profile_images/1927719517142052864/4S26noEH_normal.jpg" TargetMode="External"/><Relationship Id="rId379" Type="http://schemas.openxmlformats.org/officeDocument/2006/relationships/hyperlink" Target="https://pbs.twimg.com/amplify_video_thumb/1961440142922493952/img/n3D8aZI7fSTYOyin.jpg" TargetMode="External"/><Relationship Id="rId1080" Type="http://schemas.openxmlformats.org/officeDocument/2006/relationships/hyperlink" Target="https://pbs.twimg.com/profile_banners/1354756064886009856/1750881542" TargetMode="External"/><Relationship Id="rId1081" Type="http://schemas.openxmlformats.org/officeDocument/2006/relationships/hyperlink" Target="https://pbs.twimg.com/ext_tw_video_thumb/1707020844667490306/pu/img/6A5xCoWHdkhZdr7t.jpg" TargetMode="External"/><Relationship Id="rId1082" Type="http://schemas.openxmlformats.org/officeDocument/2006/relationships/hyperlink" Target="https://video.twimg.com/ext_tw_video/1707020844667490306/pu/vid/avc1/1280x720/pY3NFG1SGL3XgWcJ.mp4?tag=12" TargetMode="External"/><Relationship Id="rId1083" Type="http://schemas.openxmlformats.org/officeDocument/2006/relationships/hyperlink" Target="https://x.com/drauziovarella/status/1439763844826607619" TargetMode="External"/><Relationship Id="rId132" Type="http://schemas.openxmlformats.org/officeDocument/2006/relationships/hyperlink" Target="https://pbs.twimg.com/profile_banners/104233369/1699840492" TargetMode="External"/><Relationship Id="rId374" Type="http://schemas.openxmlformats.org/officeDocument/2006/relationships/hyperlink" Target="https://pbs.twimg.com/profile_banners/1422046705344729092/1760499268" TargetMode="External"/><Relationship Id="rId1084" Type="http://schemas.openxmlformats.org/officeDocument/2006/relationships/hyperlink" Target="https://pbs.twimg.com/profile_images/1453112611323715590/LPSRzp5g_normal.jpg" TargetMode="External"/><Relationship Id="rId131" Type="http://schemas.openxmlformats.org/officeDocument/2006/relationships/hyperlink" Target="https://pbs.twimg.com/profile_images/1125656633/esquizofrenia_normal.jpg" TargetMode="External"/><Relationship Id="rId373" Type="http://schemas.openxmlformats.org/officeDocument/2006/relationships/hyperlink" Target="https://pbs.twimg.com/profile_images/1986252489792929794/4wMHuBGT_normal.jpg" TargetMode="External"/><Relationship Id="rId1085" Type="http://schemas.openxmlformats.org/officeDocument/2006/relationships/hyperlink" Target="https://pbs.twimg.com/profile_banners/84368406/1752761534" TargetMode="External"/><Relationship Id="rId130" Type="http://schemas.openxmlformats.org/officeDocument/2006/relationships/hyperlink" Target="https://x.com/psiquiatria_mty/status/1912731777837253104" TargetMode="External"/><Relationship Id="rId372" Type="http://schemas.openxmlformats.org/officeDocument/2006/relationships/hyperlink" Target="https://x.com/TiakathDrawns/status/1987277586767225094" TargetMode="External"/><Relationship Id="rId1086" Type="http://schemas.openxmlformats.org/officeDocument/2006/relationships/hyperlink" Target="https://x.com/rosac3a/status/1478635896811442177" TargetMode="External"/><Relationship Id="rId371" Type="http://schemas.openxmlformats.org/officeDocument/2006/relationships/hyperlink" Target="https://video.twimg.com/amplify_video/1954354807419858946/vid/avc1/1280x720/ybZz7t1wcReQLWpE.mp4?tag=21" TargetMode="External"/><Relationship Id="rId1087" Type="http://schemas.openxmlformats.org/officeDocument/2006/relationships/hyperlink" Target="https://pbs.twimg.com/profile_images/1788776623652651009/72EQmfmm_normal.jpg" TargetMode="External"/><Relationship Id="rId136" Type="http://schemas.openxmlformats.org/officeDocument/2006/relationships/hyperlink" Target="https://x.com/cesarfontanapsi/status/1988671662636810656" TargetMode="External"/><Relationship Id="rId378" Type="http://schemas.openxmlformats.org/officeDocument/2006/relationships/hyperlink" Target="https://pbs.twimg.com/profile_banners/3528171918/1759763308" TargetMode="External"/><Relationship Id="rId1088" Type="http://schemas.openxmlformats.org/officeDocument/2006/relationships/hyperlink" Target="https://pbs.twimg.com/profile_banners/1115419883691479040/1715312980" TargetMode="External"/><Relationship Id="rId135" Type="http://schemas.openxmlformats.org/officeDocument/2006/relationships/hyperlink" Target="https://video.twimg.com/ext_tw_video/1912731766713880576/pu/vid/avc1/720x1280/ir2IS9UP2uywVWhe.mp4?tag=12" TargetMode="External"/><Relationship Id="rId377" Type="http://schemas.openxmlformats.org/officeDocument/2006/relationships/hyperlink" Target="https://pbs.twimg.com/profile_images/1975219723659870208/S4y-Lmb__normal.jpg" TargetMode="External"/><Relationship Id="rId1089" Type="http://schemas.openxmlformats.org/officeDocument/2006/relationships/hyperlink" Target="https://x.com/emma_sar/status/1755827020204827081" TargetMode="External"/><Relationship Id="rId134" Type="http://schemas.openxmlformats.org/officeDocument/2006/relationships/hyperlink" Target="https://pbs.twimg.com/ext_tw_video_thumb/1912731766713880576/pu/img/hc_5PpogpSf6lHg7.jpg" TargetMode="External"/><Relationship Id="rId376" Type="http://schemas.openxmlformats.org/officeDocument/2006/relationships/hyperlink" Target="https://x.com/btswingsjm7/status/1961442241009914041" TargetMode="External"/><Relationship Id="rId133" Type="http://schemas.openxmlformats.org/officeDocument/2006/relationships/hyperlink" Target="https://play.headliner.app/episode/26654040,https://www.headliner.app" TargetMode="External"/><Relationship Id="rId375" Type="http://schemas.openxmlformats.org/officeDocument/2006/relationships/hyperlink" Target="https://pbs.twimg.com/media/G5Q6bt-XoAEmbEk.jpg" TargetMode="External"/><Relationship Id="rId172" Type="http://schemas.openxmlformats.org/officeDocument/2006/relationships/hyperlink" Target="https://video.twimg.com/amplify_video/1972468339797532673/vid/avc1/1920x1088/xHgqPPtdeMHMS5eE.mp4?tag=21" TargetMode="External"/><Relationship Id="rId171" Type="http://schemas.openxmlformats.org/officeDocument/2006/relationships/hyperlink" Target="https://pbs.twimg.com/amplify_video_thumb/1972468339797532673/img/1e13Uaflb7I3lHrL.jpg" TargetMode="External"/><Relationship Id="rId170" Type="http://schemas.openxmlformats.org/officeDocument/2006/relationships/hyperlink" Target="https://pbs.twimg.com/profile_banners/2825615947/1674793295" TargetMode="External"/><Relationship Id="rId165" Type="http://schemas.openxmlformats.org/officeDocument/2006/relationships/hyperlink" Target="https://pbs.twimg.com/profile_banners/2825615947/1674793295" TargetMode="External"/><Relationship Id="rId164" Type="http://schemas.openxmlformats.org/officeDocument/2006/relationships/hyperlink" Target="https://pbs.twimg.com/profile_images/1988347861507952640/MmBWSSun_normal.jpg" TargetMode="External"/><Relationship Id="rId163" Type="http://schemas.openxmlformats.org/officeDocument/2006/relationships/hyperlink" Target="https://x.com/MauricioLeija/status/1973451647121760351" TargetMode="External"/><Relationship Id="rId162" Type="http://schemas.openxmlformats.org/officeDocument/2006/relationships/hyperlink" Target="https://pbs.twimg.com/media/G00nLg0WgAEAeIM.jpg,https://pbs.twimg.com/media/G00nLgvXUAAM0vt.jpg" TargetMode="External"/><Relationship Id="rId169" Type="http://schemas.openxmlformats.org/officeDocument/2006/relationships/hyperlink" Target="https://pbs.twimg.com/profile_images/1988347861507952640/MmBWSSun_normal.jpg" TargetMode="External"/><Relationship Id="rId168" Type="http://schemas.openxmlformats.org/officeDocument/2006/relationships/hyperlink" Target="https://x.com/MauricioLeija/status/1972470455379349666" TargetMode="External"/><Relationship Id="rId167" Type="http://schemas.openxmlformats.org/officeDocument/2006/relationships/hyperlink" Target="https://video.twimg.com/amplify_video/1973451132778250240/vid/avc1/1920x1088/TQOqqBfocV_GTbaW.mp4?tag=21" TargetMode="External"/><Relationship Id="rId166" Type="http://schemas.openxmlformats.org/officeDocument/2006/relationships/hyperlink" Target="https://pbs.twimg.com/amplify_video_thumb/1973451132778250240/img/18uLin3HOAjDBhIh.jpg" TargetMode="External"/><Relationship Id="rId161" Type="http://schemas.openxmlformats.org/officeDocument/2006/relationships/hyperlink" Target="https://pbs.twimg.com/profile_banners/944734585614716928/1747074694" TargetMode="External"/><Relationship Id="rId160" Type="http://schemas.openxmlformats.org/officeDocument/2006/relationships/hyperlink" Target="https://pbs.twimg.com/profile_images/1136061746895106049/G8TS_hD3_normal.jpg" TargetMode="External"/><Relationship Id="rId159" Type="http://schemas.openxmlformats.org/officeDocument/2006/relationships/hyperlink" Target="https://x.com/crepch/status/1967271695292792985" TargetMode="External"/><Relationship Id="rId154" Type="http://schemas.openxmlformats.org/officeDocument/2006/relationships/hyperlink" Target="https://x.com/PsicologiaAlSur/status/1964352894464860513" TargetMode="External"/><Relationship Id="rId396" Type="http://schemas.openxmlformats.org/officeDocument/2006/relationships/hyperlink" Target="https://x.com/MauricioLeija/status/1943396412693033148" TargetMode="External"/><Relationship Id="rId153" Type="http://schemas.openxmlformats.org/officeDocument/2006/relationships/hyperlink" Target="https://pbs.twimg.com/media/G3O_yGGXMAAej-4.jpg" TargetMode="External"/><Relationship Id="rId395" Type="http://schemas.openxmlformats.org/officeDocument/2006/relationships/hyperlink" Target="https://pbs.twimg.com/media/GsuWivjWYAATCq6.jpg" TargetMode="External"/><Relationship Id="rId152" Type="http://schemas.openxmlformats.org/officeDocument/2006/relationships/hyperlink" Target="https://pbs.twimg.com/profile_banners/944734585614716928/1747074694" TargetMode="External"/><Relationship Id="rId394" Type="http://schemas.openxmlformats.org/officeDocument/2006/relationships/hyperlink" Target="https://pbs.twimg.com/profile_banners/2492501816/1586067250" TargetMode="External"/><Relationship Id="rId151" Type="http://schemas.openxmlformats.org/officeDocument/2006/relationships/hyperlink" Target="https://pbs.twimg.com/profile_images/1136061746895106049/G8TS_hD3_normal.jpg" TargetMode="External"/><Relationship Id="rId393" Type="http://schemas.openxmlformats.org/officeDocument/2006/relationships/hyperlink" Target="https://pbs.twimg.com/profile_images/1402776961676632066/ux5zMv2b_normal.jpg" TargetMode="External"/><Relationship Id="rId158" Type="http://schemas.openxmlformats.org/officeDocument/2006/relationships/hyperlink" Target="https://pbs.twimg.com/media/G0Bi8fUWUAALH7v.jpg,https://pbs.twimg.com/media/G0Bi7zRXMAAOTqY.jpg" TargetMode="External"/><Relationship Id="rId157" Type="http://schemas.openxmlformats.org/officeDocument/2006/relationships/hyperlink" Target="http://neuro-class.com/psicologia-al-sur" TargetMode="External"/><Relationship Id="rId399" Type="http://schemas.openxmlformats.org/officeDocument/2006/relationships/hyperlink" Target="https://pbs.twimg.com/amplify_video_thumb/1943396228181442560/img/WiEl8tAoRvJbaCRp.jpg" TargetMode="External"/><Relationship Id="rId156" Type="http://schemas.openxmlformats.org/officeDocument/2006/relationships/hyperlink" Target="https://pbs.twimg.com/profile_banners/1777389396838252544/1712604780" TargetMode="External"/><Relationship Id="rId398" Type="http://schemas.openxmlformats.org/officeDocument/2006/relationships/hyperlink" Target="https://pbs.twimg.com/profile_banners/2825615947/1674793295" TargetMode="External"/><Relationship Id="rId155" Type="http://schemas.openxmlformats.org/officeDocument/2006/relationships/hyperlink" Target="https://pbs.twimg.com/profile_images/1777419380634025985/2Jsog_oX_normal.jpg" TargetMode="External"/><Relationship Id="rId397" Type="http://schemas.openxmlformats.org/officeDocument/2006/relationships/hyperlink" Target="https://pbs.twimg.com/profile_images/1988347861507952640/MmBWSSun_normal.jpg" TargetMode="External"/><Relationship Id="rId808" Type="http://schemas.openxmlformats.org/officeDocument/2006/relationships/hyperlink" Target="https://pbs.twimg.com/profile_images/1988368212950425601/J7hTpy-p_normal.jpg" TargetMode="External"/><Relationship Id="rId807" Type="http://schemas.openxmlformats.org/officeDocument/2006/relationships/hyperlink" Target="https://x.com/reumalho/status/1346409215032758272" TargetMode="External"/><Relationship Id="rId806" Type="http://schemas.openxmlformats.org/officeDocument/2006/relationships/hyperlink" Target="https://pbs.twimg.com/profile_banners/1174138773023657985/1591234301" TargetMode="External"/><Relationship Id="rId805" Type="http://schemas.openxmlformats.org/officeDocument/2006/relationships/hyperlink" Target="https://pbs.twimg.com/profile_images/1377529312304373766/DezBVjOe_normal.jpg" TargetMode="External"/><Relationship Id="rId809" Type="http://schemas.openxmlformats.org/officeDocument/2006/relationships/hyperlink" Target="https://pbs.twimg.com/profile_banners/1137581080788307968/1596315265" TargetMode="External"/><Relationship Id="rId800" Type="http://schemas.openxmlformats.org/officeDocument/2006/relationships/hyperlink" Target="https://pbs.twimg.com/profile_banners/248289462/1467314116" TargetMode="External"/><Relationship Id="rId804" Type="http://schemas.openxmlformats.org/officeDocument/2006/relationships/hyperlink" Target="https://x.com/TriboTDAH/status/1422374992466137088" TargetMode="External"/><Relationship Id="rId803" Type="http://schemas.openxmlformats.org/officeDocument/2006/relationships/hyperlink" Target="https://pbs.twimg.com/profile_banners/1335385172/1761691093" TargetMode="External"/><Relationship Id="rId802" Type="http://schemas.openxmlformats.org/officeDocument/2006/relationships/hyperlink" Target="https://pbs.twimg.com/profile_images/1983302258323341312/w_o34cF3_normal.jpg" TargetMode="External"/><Relationship Id="rId801" Type="http://schemas.openxmlformats.org/officeDocument/2006/relationships/hyperlink" Target="https://x.com/miIancia/status/1987574925704520018" TargetMode="External"/><Relationship Id="rId40" Type="http://schemas.openxmlformats.org/officeDocument/2006/relationships/hyperlink" Target="https://pbs.twimg.com/profile_banners/923007562873802752/1754445073" TargetMode="External"/><Relationship Id="rId42" Type="http://schemas.openxmlformats.org/officeDocument/2006/relationships/hyperlink" Target="https://x.com/sinniga_/status/1987960245684236693" TargetMode="External"/><Relationship Id="rId41" Type="http://schemas.openxmlformats.org/officeDocument/2006/relationships/hyperlink" Target="https://pbs.twimg.com/media/GwuFfdHXAAAGpuO.jpg" TargetMode="External"/><Relationship Id="rId44" Type="http://schemas.openxmlformats.org/officeDocument/2006/relationships/hyperlink" Target="https://pbs.twimg.com/profile_banners/1099837345417842695/1752508873" TargetMode="External"/><Relationship Id="rId43" Type="http://schemas.openxmlformats.org/officeDocument/2006/relationships/hyperlink" Target="https://pbs.twimg.com/profile_images/1969474270385336320/2NIgWg_k_normal.jpg" TargetMode="External"/><Relationship Id="rId46" Type="http://schemas.openxmlformats.org/officeDocument/2006/relationships/hyperlink" Target="https://x.com/DrKings_1/status/1497233532208525313" TargetMode="External"/><Relationship Id="rId45" Type="http://schemas.openxmlformats.org/officeDocument/2006/relationships/hyperlink" Target="https://pbs.twimg.com/media/G5anQ2FWsAEyPdg.png" TargetMode="External"/><Relationship Id="rId509" Type="http://schemas.openxmlformats.org/officeDocument/2006/relationships/hyperlink" Target="https://pbs.twimg.com/profile_images/1917255962433396736/kVSO_7s-_normal.jpg" TargetMode="External"/><Relationship Id="rId508" Type="http://schemas.openxmlformats.org/officeDocument/2006/relationships/hyperlink" Target="https://x.com/jdiaz_psy/status/1988377745781649650" TargetMode="External"/><Relationship Id="rId503" Type="http://schemas.openxmlformats.org/officeDocument/2006/relationships/hyperlink" Target="https://pbs.twimg.com/profile_images/1576614117342953472/IvYN8QgA_normal.png" TargetMode="External"/><Relationship Id="rId745" Type="http://schemas.openxmlformats.org/officeDocument/2006/relationships/hyperlink" Target="https://pbs.twimg.com/profile_images/1931157312443461632/MIg5UmoV_normal.jpg" TargetMode="External"/><Relationship Id="rId987" Type="http://schemas.openxmlformats.org/officeDocument/2006/relationships/hyperlink" Target="https://pbs.twimg.com/profile_banners/1026901236841361409/1534087697" TargetMode="External"/><Relationship Id="rId502" Type="http://schemas.openxmlformats.org/officeDocument/2006/relationships/hyperlink" Target="https://x.com/tdahworld/status/1916928414768107825" TargetMode="External"/><Relationship Id="rId744" Type="http://schemas.openxmlformats.org/officeDocument/2006/relationships/hyperlink" Target="https://x.com/paularosiska/status/1917631948199190561" TargetMode="External"/><Relationship Id="rId986" Type="http://schemas.openxmlformats.org/officeDocument/2006/relationships/hyperlink" Target="https://pbs.twimg.com/profile_images/1447069564509069314/k418TK_B_normal.jpg" TargetMode="External"/><Relationship Id="rId501" Type="http://schemas.openxmlformats.org/officeDocument/2006/relationships/hyperlink" Target="https://pbs.twimg.com/profile_banners/68838168/1443666150" TargetMode="External"/><Relationship Id="rId743" Type="http://schemas.openxmlformats.org/officeDocument/2006/relationships/hyperlink" Target="https://pbs.twimg.com/media/G5BwOVxXAAAs-rE.jpg" TargetMode="External"/><Relationship Id="rId985" Type="http://schemas.openxmlformats.org/officeDocument/2006/relationships/hyperlink" Target="https://x.com/nicho_tapia/status/1986429819681132909" TargetMode="External"/><Relationship Id="rId500" Type="http://schemas.openxmlformats.org/officeDocument/2006/relationships/hyperlink" Target="https://pbs.twimg.com/profile_images/1476448926311976963/_qOoQirq_normal.jpg" TargetMode="External"/><Relationship Id="rId742" Type="http://schemas.openxmlformats.org/officeDocument/2006/relationships/hyperlink" Target="https://t.co/k2RLrvJ1Kc" TargetMode="External"/><Relationship Id="rId984" Type="http://schemas.openxmlformats.org/officeDocument/2006/relationships/hyperlink" Target="https://pbs.twimg.com/profile_banners/1251470930582347776/1757894583" TargetMode="External"/><Relationship Id="rId507" Type="http://schemas.openxmlformats.org/officeDocument/2006/relationships/hyperlink" Target="https://pbs.twimg.com/profile_banners/43727536/1681221169" TargetMode="External"/><Relationship Id="rId749" Type="http://schemas.openxmlformats.org/officeDocument/2006/relationships/hyperlink" Target="https://pbs.twimg.com/profile_banners/1092905580979732481/1760049003" TargetMode="External"/><Relationship Id="rId506" Type="http://schemas.openxmlformats.org/officeDocument/2006/relationships/hyperlink" Target="https://pbs.twimg.com/profile_images/1693355731041353728/KdlNc6DD_normal.jpg" TargetMode="External"/><Relationship Id="rId748" Type="http://schemas.openxmlformats.org/officeDocument/2006/relationships/hyperlink" Target="https://pbs.twimg.com/profile_images/1976414889963819009/qIkQjImR_normal.jpg" TargetMode="External"/><Relationship Id="rId505" Type="http://schemas.openxmlformats.org/officeDocument/2006/relationships/hyperlink" Target="https://x.com/nandafahrenheit/status/1559274929136312326" TargetMode="External"/><Relationship Id="rId747" Type="http://schemas.openxmlformats.org/officeDocument/2006/relationships/hyperlink" Target="https://x.com/kamelote16/status/1455494475523006469" TargetMode="External"/><Relationship Id="rId989" Type="http://schemas.openxmlformats.org/officeDocument/2006/relationships/hyperlink" Target="https://x.com/SoyDaniloDiaz/status/1428863052670197760" TargetMode="External"/><Relationship Id="rId504" Type="http://schemas.openxmlformats.org/officeDocument/2006/relationships/hyperlink" Target="https://pbs.twimg.com/profile_banners/1576614038204825601/1664812670" TargetMode="External"/><Relationship Id="rId746" Type="http://schemas.openxmlformats.org/officeDocument/2006/relationships/hyperlink" Target="https://pbs.twimg.com/profile_banners/54440370/1727452281" TargetMode="External"/><Relationship Id="rId988" Type="http://schemas.openxmlformats.org/officeDocument/2006/relationships/hyperlink" Target="https://pbs.twimg.com/media/G48WX9FWQAAJnJx.jpg" TargetMode="External"/><Relationship Id="rId48" Type="http://schemas.openxmlformats.org/officeDocument/2006/relationships/hyperlink" Target="https://pbs.twimg.com/profile_banners/1228924292567617536/1751847008" TargetMode="External"/><Relationship Id="rId47" Type="http://schemas.openxmlformats.org/officeDocument/2006/relationships/hyperlink" Target="https://pbs.twimg.com/profile_images/1957683788038688772/UEWOYeWh_normal.jpg" TargetMode="External"/><Relationship Id="rId49" Type="http://schemas.openxmlformats.org/officeDocument/2006/relationships/hyperlink" Target="https://pbs.twimg.com/media/FMc99ZTXEAAQTU2.jpg" TargetMode="External"/><Relationship Id="rId741" Type="http://schemas.openxmlformats.org/officeDocument/2006/relationships/hyperlink" Target="https://pbs.twimg.com/profile_banners/966369246799384584/1739906796" TargetMode="External"/><Relationship Id="rId983" Type="http://schemas.openxmlformats.org/officeDocument/2006/relationships/hyperlink" Target="https://pbs.twimg.com/profile_images/1928151717985554432/WW5rzUxb_normal.jpg" TargetMode="External"/><Relationship Id="rId740" Type="http://schemas.openxmlformats.org/officeDocument/2006/relationships/hyperlink" Target="https://pbs.twimg.com/profile_images/1358175114223898631/ZNh5Axop_normal.jpg" TargetMode="External"/><Relationship Id="rId982" Type="http://schemas.openxmlformats.org/officeDocument/2006/relationships/hyperlink" Target="https://x.com/thotrrente/status/1988205407278698602" TargetMode="External"/><Relationship Id="rId981" Type="http://schemas.openxmlformats.org/officeDocument/2006/relationships/hyperlink" Target="https://pbs.twimg.com/profile_banners/1387091094924627968/1754182568" TargetMode="External"/><Relationship Id="rId980" Type="http://schemas.openxmlformats.org/officeDocument/2006/relationships/hyperlink" Target="https://pbs.twimg.com/profile_images/1954600780733767680/M4UmnA3f_normal.jpg" TargetMode="External"/><Relationship Id="rId31" Type="http://schemas.openxmlformats.org/officeDocument/2006/relationships/hyperlink" Target="https://pbs.twimg.com/profile_banners/3357444861/1675648891" TargetMode="External"/><Relationship Id="rId30" Type="http://schemas.openxmlformats.org/officeDocument/2006/relationships/hyperlink" Target="https://pbs.twimg.com/profile_images/1968415909619363840/vA2ER3eu_normal.jpg" TargetMode="External"/><Relationship Id="rId33" Type="http://schemas.openxmlformats.org/officeDocument/2006/relationships/hyperlink" Target="https://x.com/crepch/status/1975271549230878745" TargetMode="External"/><Relationship Id="rId32" Type="http://schemas.openxmlformats.org/officeDocument/2006/relationships/hyperlink" Target="https://pbs.twimg.com/media/G5aVoi6X0AAplEl.jpg" TargetMode="External"/><Relationship Id="rId35" Type="http://schemas.openxmlformats.org/officeDocument/2006/relationships/hyperlink" Target="https://pbs.twimg.com/profile_banners/944734585614716928/1747074694" TargetMode="External"/><Relationship Id="rId34" Type="http://schemas.openxmlformats.org/officeDocument/2006/relationships/hyperlink" Target="https://pbs.twimg.com/profile_images/1136061746895106049/G8TS_hD3_normal.jpg" TargetMode="External"/><Relationship Id="rId739" Type="http://schemas.openxmlformats.org/officeDocument/2006/relationships/hyperlink" Target="https://x.com/tdtbaa2/status/1986828715053949244" TargetMode="External"/><Relationship Id="rId734" Type="http://schemas.openxmlformats.org/officeDocument/2006/relationships/hyperlink" Target="https://x.com/lacapital/status/1941487874853269649" TargetMode="External"/><Relationship Id="rId976" Type="http://schemas.openxmlformats.org/officeDocument/2006/relationships/hyperlink" Target="https://x.com/CafTV_/status/1987927191938547906" TargetMode="External"/><Relationship Id="rId733" Type="http://schemas.openxmlformats.org/officeDocument/2006/relationships/hyperlink" Target="https://pbs.twimg.com/profile_banners/718581671315050496/1595278664" TargetMode="External"/><Relationship Id="rId975" Type="http://schemas.openxmlformats.org/officeDocument/2006/relationships/hyperlink" Target="https://pbs.twimg.com/profile_banners/432422185/1502335157" TargetMode="External"/><Relationship Id="rId732" Type="http://schemas.openxmlformats.org/officeDocument/2006/relationships/hyperlink" Target="https://pbs.twimg.com/profile_images/1965571493452042240/UEWIYFLW_normal.jpg" TargetMode="External"/><Relationship Id="rId974" Type="http://schemas.openxmlformats.org/officeDocument/2006/relationships/hyperlink" Target="https://pbs.twimg.com/profile_images/1457164594905067533/HHZy_BjZ_normal.jpg" TargetMode="External"/><Relationship Id="rId731" Type="http://schemas.openxmlformats.org/officeDocument/2006/relationships/hyperlink" Target="https://x.com/pspsicologa/status/1916092728598839404" TargetMode="External"/><Relationship Id="rId973" Type="http://schemas.openxmlformats.org/officeDocument/2006/relationships/hyperlink" Target="https://x.com/yolyabreuh/status/1519518686717132800" TargetMode="External"/><Relationship Id="rId738" Type="http://schemas.openxmlformats.org/officeDocument/2006/relationships/hyperlink" Target="http://dlvr.it/TLlVL0" TargetMode="External"/><Relationship Id="rId737" Type="http://schemas.openxmlformats.org/officeDocument/2006/relationships/hyperlink" Target="http://dlvr.it" TargetMode="External"/><Relationship Id="rId979" Type="http://schemas.openxmlformats.org/officeDocument/2006/relationships/hyperlink" Target="https://x.com/fernwehhhx/status/1797698794697486376" TargetMode="External"/><Relationship Id="rId736" Type="http://schemas.openxmlformats.org/officeDocument/2006/relationships/hyperlink" Target="https://pbs.twimg.com/profile_banners/179990537/1718105118" TargetMode="External"/><Relationship Id="rId978" Type="http://schemas.openxmlformats.org/officeDocument/2006/relationships/hyperlink" Target="https://pbs.twimg.com/profile_banners/1495650193/1743013954" TargetMode="External"/><Relationship Id="rId735" Type="http://schemas.openxmlformats.org/officeDocument/2006/relationships/hyperlink" Target="https://pbs.twimg.com/profile_images/1694155721724538880/B6lUZpHj_normal.jpg" TargetMode="External"/><Relationship Id="rId977" Type="http://schemas.openxmlformats.org/officeDocument/2006/relationships/hyperlink" Target="https://pbs.twimg.com/profile_images/1982081012860428288/SNNi2W3X_normal.jpg" TargetMode="External"/><Relationship Id="rId37" Type="http://schemas.openxmlformats.org/officeDocument/2006/relationships/hyperlink" Target="https://video.twimg.com/ext_tw_video/1975271480872062976/pu/vid/avc1/478x850/Mu8kmcdS7VuZzsBk.mp4?tag=12" TargetMode="External"/><Relationship Id="rId36" Type="http://schemas.openxmlformats.org/officeDocument/2006/relationships/hyperlink" Target="https://pbs.twimg.com/ext_tw_video_thumb/1975271480872062976/pu/img/0henmIFMfmNi6PEM.jpg" TargetMode="External"/><Relationship Id="rId39" Type="http://schemas.openxmlformats.org/officeDocument/2006/relationships/hyperlink" Target="https://pbs.twimg.com/profile_images/1944824519954247680/jgQNGpNG_normal.png" TargetMode="External"/><Relationship Id="rId38" Type="http://schemas.openxmlformats.org/officeDocument/2006/relationships/hyperlink" Target="https://x.com/Contexto_Visual/status/1948890344613183581" TargetMode="External"/><Relationship Id="rId730" Type="http://schemas.openxmlformats.org/officeDocument/2006/relationships/hyperlink" Target="https://pbs.twimg.com/profile_banners/67399285/1719522326" TargetMode="External"/><Relationship Id="rId972" Type="http://schemas.openxmlformats.org/officeDocument/2006/relationships/hyperlink" Target="https://pbs.twimg.com/profile_banners/541976167/1644262551" TargetMode="External"/><Relationship Id="rId971" Type="http://schemas.openxmlformats.org/officeDocument/2006/relationships/hyperlink" Target="https://pbs.twimg.com/profile_images/1947570739735109632/mQq-7LaO_normal.jpg" TargetMode="External"/><Relationship Id="rId970" Type="http://schemas.openxmlformats.org/officeDocument/2006/relationships/hyperlink" Target="https://x.com/luigi_qb/status/1526568725826220032" TargetMode="External"/><Relationship Id="rId1114" Type="http://schemas.openxmlformats.org/officeDocument/2006/relationships/hyperlink" Target="https://pbs.twimg.com/profile_images/448485109973258240/oQgdPBSJ_normal.jpeg" TargetMode="External"/><Relationship Id="rId1115" Type="http://schemas.openxmlformats.org/officeDocument/2006/relationships/hyperlink" Target="https://pbs.twimg.com/profile_banners/2401547372/1395762051" TargetMode="External"/><Relationship Id="rId20" Type="http://schemas.openxmlformats.org/officeDocument/2006/relationships/hyperlink" Target="https://pbs.twimg.com/profile_banners/236621586/1606877123" TargetMode="External"/><Relationship Id="rId1116" Type="http://schemas.openxmlformats.org/officeDocument/2006/relationships/hyperlink" Target="http://rtve.es/v/2797855/" TargetMode="External"/><Relationship Id="rId1117" Type="http://schemas.openxmlformats.org/officeDocument/2006/relationships/hyperlink" Target="https://pbs.twimg.com/media/B7Pr5azCcAAGNDI.jpg" TargetMode="External"/><Relationship Id="rId22" Type="http://schemas.openxmlformats.org/officeDocument/2006/relationships/hyperlink" Target="https://x.com/Ann4Castro/status/1986268449216057414" TargetMode="External"/><Relationship Id="rId1118" Type="http://schemas.openxmlformats.org/officeDocument/2006/relationships/hyperlink" Target="https://x.com/_LaraJenn/status/1761079864956702966" TargetMode="External"/><Relationship Id="rId21" Type="http://schemas.openxmlformats.org/officeDocument/2006/relationships/hyperlink" Target="https://pbs.twimg.com/media/Gs24YqyXwAAwYOm.jpg" TargetMode="External"/><Relationship Id="rId1119" Type="http://schemas.openxmlformats.org/officeDocument/2006/relationships/hyperlink" Target="https://pbs.twimg.com/profile_images/1823718424704344064/nzz3Ey4f_normal.png" TargetMode="External"/><Relationship Id="rId24" Type="http://schemas.openxmlformats.org/officeDocument/2006/relationships/hyperlink" Target="https://pbs.twimg.com/profile_banners/455268784/1632278924" TargetMode="External"/><Relationship Id="rId23" Type="http://schemas.openxmlformats.org/officeDocument/2006/relationships/hyperlink" Target="https://pbs.twimg.com/profile_images/1913473180456415232/JAixHD74_normal.jpg" TargetMode="External"/><Relationship Id="rId525" Type="http://schemas.openxmlformats.org/officeDocument/2006/relationships/hyperlink" Target="https://pbs.twimg.com/profile_images/1774640336301654016/C6z8O5Cp_normal.jpg" TargetMode="External"/><Relationship Id="rId767" Type="http://schemas.openxmlformats.org/officeDocument/2006/relationships/hyperlink" Target="https://pbs.twimg.com/profile_images/1984633551837372416/RMEVT6is_normal.jpg" TargetMode="External"/><Relationship Id="rId524" Type="http://schemas.openxmlformats.org/officeDocument/2006/relationships/hyperlink" Target="https://x.com/cielorvr/status/1988705051591033046" TargetMode="External"/><Relationship Id="rId766" Type="http://schemas.openxmlformats.org/officeDocument/2006/relationships/hyperlink" Target="https://x.com/Taco_the_Train/status/1986483287116669352" TargetMode="External"/><Relationship Id="rId523" Type="http://schemas.openxmlformats.org/officeDocument/2006/relationships/hyperlink" Target="https://pbs.twimg.com/profile_banners/2312331990/1681486633" TargetMode="External"/><Relationship Id="rId765" Type="http://schemas.openxmlformats.org/officeDocument/2006/relationships/hyperlink" Target="https://pbs.twimg.com/profile_banners/1174138773023657985/1591234301" TargetMode="External"/><Relationship Id="rId522" Type="http://schemas.openxmlformats.org/officeDocument/2006/relationships/hyperlink" Target="https://pbs.twimg.com/profile_images/1834637951533211648/Qc7ZAh-k_normal.jpg" TargetMode="External"/><Relationship Id="rId764" Type="http://schemas.openxmlformats.org/officeDocument/2006/relationships/hyperlink" Target="https://pbs.twimg.com/profile_images/1377529312304373766/DezBVjOe_normal.jpg" TargetMode="External"/><Relationship Id="rId529" Type="http://schemas.openxmlformats.org/officeDocument/2006/relationships/hyperlink" Target="https://pbs.twimg.com/profile_banners/1254627509351714816/1630690788" TargetMode="External"/><Relationship Id="rId528" Type="http://schemas.openxmlformats.org/officeDocument/2006/relationships/hyperlink" Target="https://pbs.twimg.com/profile_images/1878496340562284544/etH9hoTo_normal.jpg" TargetMode="External"/><Relationship Id="rId527" Type="http://schemas.openxmlformats.org/officeDocument/2006/relationships/hyperlink" Target="https://x.com/prisi_luna27/status/1910026659337560494" TargetMode="External"/><Relationship Id="rId769" Type="http://schemas.openxmlformats.org/officeDocument/2006/relationships/hyperlink" Target="https://pbs.twimg.com/media/G5FTOtkWwAAT21l.jpg" TargetMode="External"/><Relationship Id="rId526" Type="http://schemas.openxmlformats.org/officeDocument/2006/relationships/hyperlink" Target="https://pbs.twimg.com/profile_banners/1018296742595448832/1711942427" TargetMode="External"/><Relationship Id="rId768" Type="http://schemas.openxmlformats.org/officeDocument/2006/relationships/hyperlink" Target="https://pbs.twimg.com/profile_banners/1709530067678777344/1759179982" TargetMode="External"/><Relationship Id="rId26" Type="http://schemas.openxmlformats.org/officeDocument/2006/relationships/hyperlink" Target="https://pbs.twimg.com/profile_images/1136061746895106049/G8TS_hD3_normal.jpg" TargetMode="External"/><Relationship Id="rId25" Type="http://schemas.openxmlformats.org/officeDocument/2006/relationships/hyperlink" Target="https://x.com/crepch/status/1972711348950946024" TargetMode="External"/><Relationship Id="rId28" Type="http://schemas.openxmlformats.org/officeDocument/2006/relationships/hyperlink" Target="https://pbs.twimg.com/media/G2B6hJUWEAAkmVD.jpg" TargetMode="External"/><Relationship Id="rId27" Type="http://schemas.openxmlformats.org/officeDocument/2006/relationships/hyperlink" Target="https://pbs.twimg.com/profile_banners/944734585614716928/1747074694" TargetMode="External"/><Relationship Id="rId521" Type="http://schemas.openxmlformats.org/officeDocument/2006/relationships/hyperlink" Target="https://x.com/Alterego131_/status/1306582075013844999" TargetMode="External"/><Relationship Id="rId763" Type="http://schemas.openxmlformats.org/officeDocument/2006/relationships/hyperlink" Target="https://x.com/TriboTDAH/status/1489296035528814604" TargetMode="External"/><Relationship Id="rId1110" Type="http://schemas.openxmlformats.org/officeDocument/2006/relationships/hyperlink" Target="https://pbs.twimg.com/profile_images/1942253204810670081/xUupZZY6_normal.jpg" TargetMode="External"/><Relationship Id="rId29" Type="http://schemas.openxmlformats.org/officeDocument/2006/relationships/hyperlink" Target="https://x.com/thachapando/status/1987940816115978483" TargetMode="External"/><Relationship Id="rId520" Type="http://schemas.openxmlformats.org/officeDocument/2006/relationships/hyperlink" Target="https://pbs.twimg.com/profile_banners/1777150888773079040/1733819990" TargetMode="External"/><Relationship Id="rId762" Type="http://schemas.openxmlformats.org/officeDocument/2006/relationships/hyperlink" Target="https://pbs.twimg.com/profile_banners/206776127/1761915300" TargetMode="External"/><Relationship Id="rId1111" Type="http://schemas.openxmlformats.org/officeDocument/2006/relationships/hyperlink" Target="http://ebooksharez.info/x/libro/128180/1391" TargetMode="External"/><Relationship Id="rId761" Type="http://schemas.openxmlformats.org/officeDocument/2006/relationships/hyperlink" Target="https://pbs.twimg.com/profile_images/1292993707373993992/qnyOsXJY_normal.jpg" TargetMode="External"/><Relationship Id="rId1112" Type="http://schemas.openxmlformats.org/officeDocument/2006/relationships/hyperlink" Target="https://pbs.twimg.com/media/G376LHLXwAArnb4.jpg" TargetMode="External"/><Relationship Id="rId760" Type="http://schemas.openxmlformats.org/officeDocument/2006/relationships/hyperlink" Target="https://x.com/JustLils/status/1949844628850504064" TargetMode="External"/><Relationship Id="rId1113" Type="http://schemas.openxmlformats.org/officeDocument/2006/relationships/hyperlink" Target="https://x.com/RSantandreuOfic/status/561566811842707457" TargetMode="External"/><Relationship Id="rId1103" Type="http://schemas.openxmlformats.org/officeDocument/2006/relationships/hyperlink" Target="https://pbs.twimg.com/profile_images/1639706805285662720/ZPxTv4Ub_normal.jpg" TargetMode="External"/><Relationship Id="rId1104" Type="http://schemas.openxmlformats.org/officeDocument/2006/relationships/hyperlink" Target="https://pbs.twimg.com/profile_banners/34396735/1679771552" TargetMode="External"/><Relationship Id="rId1105" Type="http://schemas.openxmlformats.org/officeDocument/2006/relationships/hyperlink" Target="https://x.com/tdmascrc/status/1702862448368169270" TargetMode="External"/><Relationship Id="rId1106" Type="http://schemas.openxmlformats.org/officeDocument/2006/relationships/hyperlink" Target="https://pbs.twimg.com/profile_images/1536938051791998976/BDhnje5e_normal.jpg" TargetMode="External"/><Relationship Id="rId11" Type="http://schemas.openxmlformats.org/officeDocument/2006/relationships/hyperlink" Target="https://pbs.twimg.com/profile_banners/1297766236089180160/1762486047" TargetMode="External"/><Relationship Id="rId1107" Type="http://schemas.openxmlformats.org/officeDocument/2006/relationships/hyperlink" Target="https://pbs.twimg.com/profile_banners/1349849582/1753203745" TargetMode="External"/><Relationship Id="rId10" Type="http://schemas.openxmlformats.org/officeDocument/2006/relationships/hyperlink" Target="https://pbs.twimg.com/profile_images/1986634945578590208/tG884VUN_normal.jpg" TargetMode="External"/><Relationship Id="rId1108" Type="http://schemas.openxmlformats.org/officeDocument/2006/relationships/hyperlink" Target="https://pbs.twimg.com/media/F6HIXu2XkAAcNx-.jpg" TargetMode="External"/><Relationship Id="rId13" Type="http://schemas.openxmlformats.org/officeDocument/2006/relationships/hyperlink" Target="https://video.twimg.com/amplify_video/1987976096323629057/vid/avc1/712x790/ZJdoyz5JIphJvmn3.mp4?tag=21" TargetMode="External"/><Relationship Id="rId1109" Type="http://schemas.openxmlformats.org/officeDocument/2006/relationships/hyperlink" Target="https://x.com/GeorgeBagw41616/status/1981296059499626788" TargetMode="External"/><Relationship Id="rId12" Type="http://schemas.openxmlformats.org/officeDocument/2006/relationships/hyperlink" Target="https://pbs.twimg.com/amplify_video_thumb/1987976096323629057/img/G42rWs28JK1xJfYo.jpg" TargetMode="External"/><Relationship Id="rId519" Type="http://schemas.openxmlformats.org/officeDocument/2006/relationships/hyperlink" Target="https://pbs.twimg.com/profile_images/1977107143699386368/jaOPbgKz_normal.jpg" TargetMode="External"/><Relationship Id="rId514" Type="http://schemas.openxmlformats.org/officeDocument/2006/relationships/hyperlink" Target="https://pbs.twimg.com/profile_banners/1287119825127583747/1710159196" TargetMode="External"/><Relationship Id="rId756" Type="http://schemas.openxmlformats.org/officeDocument/2006/relationships/hyperlink" Target="https://x.com/TriboTDAH/status/1358065740327354370" TargetMode="External"/><Relationship Id="rId998" Type="http://schemas.openxmlformats.org/officeDocument/2006/relationships/hyperlink" Target="https://pbs.twimg.com/profile_images/1747054409576554496/IaB_8VWm_normal.jpg" TargetMode="External"/><Relationship Id="rId513" Type="http://schemas.openxmlformats.org/officeDocument/2006/relationships/hyperlink" Target="https://pbs.twimg.com/profile_images/1776003084541480960/46PvGWFS_normal.jpg" TargetMode="External"/><Relationship Id="rId755" Type="http://schemas.openxmlformats.org/officeDocument/2006/relationships/hyperlink" Target="https://pbs.twimg.com/profile_banners/108517775/1678407520" TargetMode="External"/><Relationship Id="rId997" Type="http://schemas.openxmlformats.org/officeDocument/2006/relationships/hyperlink" Target="https://x.com/IandeAlbuquerq/status/1253391174427172869" TargetMode="External"/><Relationship Id="rId512" Type="http://schemas.openxmlformats.org/officeDocument/2006/relationships/hyperlink" Target="https://x.com/elebecerezo/status/1871974820092731843" TargetMode="External"/><Relationship Id="rId754" Type="http://schemas.openxmlformats.org/officeDocument/2006/relationships/hyperlink" Target="https://pbs.twimg.com/profile_images/1987522866254856192/32FfAj86_normal.jpg" TargetMode="External"/><Relationship Id="rId996" Type="http://schemas.openxmlformats.org/officeDocument/2006/relationships/hyperlink" Target="https://pbs.twimg.com/media/G5KFf3OXAAAl-Sz.jpg" TargetMode="External"/><Relationship Id="rId511" Type="http://schemas.openxmlformats.org/officeDocument/2006/relationships/hyperlink" Target="https://nexoculto.com/%f0%9f%a7%a0-reflexion-critica-sobre-el-tdah-en-adultos/" TargetMode="External"/><Relationship Id="rId753" Type="http://schemas.openxmlformats.org/officeDocument/2006/relationships/hyperlink" Target="https://x.com/JoceLaucha/status/1909305870439141859" TargetMode="External"/><Relationship Id="rId995" Type="http://schemas.openxmlformats.org/officeDocument/2006/relationships/hyperlink" Target="https://amzn.to/3WFQBk3" TargetMode="External"/><Relationship Id="rId518" Type="http://schemas.openxmlformats.org/officeDocument/2006/relationships/hyperlink" Target="https://x.com/flopzynho/status/1924874637244088481" TargetMode="External"/><Relationship Id="rId517" Type="http://schemas.openxmlformats.org/officeDocument/2006/relationships/hyperlink" Target="https://pbs.twimg.com/profile_banners/567726602/1755436006" TargetMode="External"/><Relationship Id="rId759" Type="http://schemas.openxmlformats.org/officeDocument/2006/relationships/hyperlink" Target="https://pbs.twimg.com/media/EtjRltDXMAE6Gpk.jpg" TargetMode="External"/><Relationship Id="rId516" Type="http://schemas.openxmlformats.org/officeDocument/2006/relationships/hyperlink" Target="https://pbs.twimg.com/profile_images/1973047358997893120/tIaFMLx4_normal.jpg" TargetMode="External"/><Relationship Id="rId758" Type="http://schemas.openxmlformats.org/officeDocument/2006/relationships/hyperlink" Target="https://pbs.twimg.com/profile_banners/1174138773023657985/1591234301" TargetMode="External"/><Relationship Id="rId515" Type="http://schemas.openxmlformats.org/officeDocument/2006/relationships/hyperlink" Target="https://x.com/ihtaejin/status/1854282710292078746" TargetMode="External"/><Relationship Id="rId757" Type="http://schemas.openxmlformats.org/officeDocument/2006/relationships/hyperlink" Target="https://pbs.twimg.com/profile_images/1377529312304373766/DezBVjOe_normal.jpg" TargetMode="External"/><Relationship Id="rId999" Type="http://schemas.openxmlformats.org/officeDocument/2006/relationships/hyperlink" Target="https://pbs.twimg.com/profile_banners/73368315/1742048862" TargetMode="External"/><Relationship Id="rId15" Type="http://schemas.openxmlformats.org/officeDocument/2006/relationships/hyperlink" Target="https://pbs.twimg.com/profile_images/1540464860768731136/UM4JIXS3_normal.jpg" TargetMode="External"/><Relationship Id="rId990" Type="http://schemas.openxmlformats.org/officeDocument/2006/relationships/hyperlink" Target="https://pbs.twimg.com/profile_images/1849458549560168448/jpZyd9l3_normal.jpg" TargetMode="External"/><Relationship Id="rId14" Type="http://schemas.openxmlformats.org/officeDocument/2006/relationships/hyperlink" Target="https://x.com/ElPaido/status/1942730247528689706" TargetMode="External"/><Relationship Id="rId17" Type="http://schemas.openxmlformats.org/officeDocument/2006/relationships/hyperlink" Target="https://pbs.twimg.com/media/GvX23ZDWMAAQrWg.jpg" TargetMode="External"/><Relationship Id="rId16" Type="http://schemas.openxmlformats.org/officeDocument/2006/relationships/hyperlink" Target="https://pbs.twimg.com/profile_banners/236621586/1606877123" TargetMode="External"/><Relationship Id="rId19" Type="http://schemas.openxmlformats.org/officeDocument/2006/relationships/hyperlink" Target="https://pbs.twimg.com/profile_images/1540464860768731136/UM4JIXS3_normal.jpg" TargetMode="External"/><Relationship Id="rId510" Type="http://schemas.openxmlformats.org/officeDocument/2006/relationships/hyperlink" Target="https://pbs.twimg.com/profile_banners/1703641082087591936/1745943533" TargetMode="External"/><Relationship Id="rId752" Type="http://schemas.openxmlformats.org/officeDocument/2006/relationships/hyperlink" Target="https://pbs.twimg.com/profile_banners/1878662472598716416/1760833980" TargetMode="External"/><Relationship Id="rId994" Type="http://schemas.openxmlformats.org/officeDocument/2006/relationships/hyperlink" Target="https://pbs.twimg.com/profile_banners/1675907781054935043/1722401822" TargetMode="External"/><Relationship Id="rId18" Type="http://schemas.openxmlformats.org/officeDocument/2006/relationships/hyperlink" Target="https://x.com/ElPaido/status/1931402646964887556" TargetMode="External"/><Relationship Id="rId751" Type="http://schemas.openxmlformats.org/officeDocument/2006/relationships/hyperlink" Target="https://pbs.twimg.com/profile_images/1988770649683189760/OrKAtDxe_normal.jpg" TargetMode="External"/><Relationship Id="rId993" Type="http://schemas.openxmlformats.org/officeDocument/2006/relationships/hyperlink" Target="https://pbs.twimg.com/profile_images/1980665448921288704/hXw8QlwF_normal.jpg" TargetMode="External"/><Relationship Id="rId1100" Type="http://schemas.openxmlformats.org/officeDocument/2006/relationships/hyperlink" Target="https://pbs.twimg.com/profile_banners/847786501/1671090896" TargetMode="External"/><Relationship Id="rId750" Type="http://schemas.openxmlformats.org/officeDocument/2006/relationships/hyperlink" Target="https://x.com/PISTANTROFOB1A/status/1987698749720739977" TargetMode="External"/><Relationship Id="rId992" Type="http://schemas.openxmlformats.org/officeDocument/2006/relationships/hyperlink" Target="https://x.com/home_and_health/status/1986797170435956988" TargetMode="External"/><Relationship Id="rId1101" Type="http://schemas.openxmlformats.org/officeDocument/2006/relationships/hyperlink" Target="https://pbs.twimg.com/media/Cq9E9JIUIAEuLZC.jpg" TargetMode="External"/><Relationship Id="rId991" Type="http://schemas.openxmlformats.org/officeDocument/2006/relationships/hyperlink" Target="https://pbs.twimg.com/profile_banners/637143339/1671401642" TargetMode="External"/><Relationship Id="rId1102" Type="http://schemas.openxmlformats.org/officeDocument/2006/relationships/hyperlink" Target="https://x.com/thesmallestboy/status/1441575518898298884" TargetMode="External"/><Relationship Id="rId84" Type="http://schemas.openxmlformats.org/officeDocument/2006/relationships/hyperlink" Target="https://pbs.twimg.com/profile_images/1955868134839136258/R9xQQFNI_normal.jpg" TargetMode="External"/><Relationship Id="rId83" Type="http://schemas.openxmlformats.org/officeDocument/2006/relationships/hyperlink" Target="https://x.com/DNATalentqro/status/1869165778072904012" TargetMode="External"/><Relationship Id="rId86" Type="http://schemas.openxmlformats.org/officeDocument/2006/relationships/hyperlink" Target="https://youtu.be/jrtNJ3V8FAw?si=X_ooUv99WUARGMNZ" TargetMode="External"/><Relationship Id="rId85" Type="http://schemas.openxmlformats.org/officeDocument/2006/relationships/hyperlink" Target="https://pbs.twimg.com/profile_banners/1107081892522807297/1758760949" TargetMode="External"/><Relationship Id="rId88" Type="http://schemas.openxmlformats.org/officeDocument/2006/relationships/hyperlink" Target="https://video.twimg.com/ext_tw_video/1869165451881639936/pu/vid/avc1/720x1280/nlEZ4SEVz9FmGkFY.mp4?tag=12" TargetMode="External"/><Relationship Id="rId87" Type="http://schemas.openxmlformats.org/officeDocument/2006/relationships/hyperlink" Target="https://pbs.twimg.com/ext_tw_video_thumb/1869165451881639936/pu/img/0YqmBtQm1fx-HAd8.jpg" TargetMode="External"/><Relationship Id="rId89" Type="http://schemas.openxmlformats.org/officeDocument/2006/relationships/hyperlink" Target="https://x.com/unmetilfenidato/status/1982711545936347332" TargetMode="External"/><Relationship Id="rId709" Type="http://schemas.openxmlformats.org/officeDocument/2006/relationships/hyperlink" Target="https://x.com/btskidsgirl/status/1988235516198752688" TargetMode="External"/><Relationship Id="rId708" Type="http://schemas.openxmlformats.org/officeDocument/2006/relationships/hyperlink" Target="https://pbs.twimg.com/profile_banners/1003301201285435392/1638454467" TargetMode="External"/><Relationship Id="rId707" Type="http://schemas.openxmlformats.org/officeDocument/2006/relationships/hyperlink" Target="https://pbs.twimg.com/profile_images/1885069553509535744/w1Lr3Ksk_normal.jpg" TargetMode="External"/><Relationship Id="rId949" Type="http://schemas.openxmlformats.org/officeDocument/2006/relationships/hyperlink" Target="https://pbs.twimg.com/profile_images/1377529312304373766/DezBVjOe_normal.jpg" TargetMode="External"/><Relationship Id="rId706" Type="http://schemas.openxmlformats.org/officeDocument/2006/relationships/hyperlink" Target="https://x.com/AlessandroLoio2/status/1399789710202003462" TargetMode="External"/><Relationship Id="rId948" Type="http://schemas.openxmlformats.org/officeDocument/2006/relationships/hyperlink" Target="https://x.com/TriboTDAH/status/1354931194878713860" TargetMode="External"/><Relationship Id="rId80" Type="http://schemas.openxmlformats.org/officeDocument/2006/relationships/hyperlink" Target="https://pbs.twimg.com/profile_banners/1716547017978363905/1762878840" TargetMode="External"/><Relationship Id="rId82" Type="http://schemas.openxmlformats.org/officeDocument/2006/relationships/hyperlink" Target="https://video.twimg.com/amplify_video/1961440142922493952/vid/avc1/2880x2160/94b7WGhRWWw79rbv.mp4?tag=21" TargetMode="External"/><Relationship Id="rId81" Type="http://schemas.openxmlformats.org/officeDocument/2006/relationships/hyperlink" Target="https://pbs.twimg.com/amplify_video_thumb/1961440142922493952/img/n3D8aZI7fSTYOyin.jpg" TargetMode="External"/><Relationship Id="rId701" Type="http://schemas.openxmlformats.org/officeDocument/2006/relationships/hyperlink" Target="https://pbs.twimg.com/profile_banners/1174138773023657985/1591234301" TargetMode="External"/><Relationship Id="rId943" Type="http://schemas.openxmlformats.org/officeDocument/2006/relationships/hyperlink" Target="https://pbs.twimg.com/profile_banners/1174138773023657985/1591234301" TargetMode="External"/><Relationship Id="rId700" Type="http://schemas.openxmlformats.org/officeDocument/2006/relationships/hyperlink" Target="https://pbs.twimg.com/profile_images/1377529312304373766/DezBVjOe_normal.jpg" TargetMode="External"/><Relationship Id="rId942" Type="http://schemas.openxmlformats.org/officeDocument/2006/relationships/hyperlink" Target="https://pbs.twimg.com/profile_images/1377529312304373766/DezBVjOe_normal.jpg" TargetMode="External"/><Relationship Id="rId941" Type="http://schemas.openxmlformats.org/officeDocument/2006/relationships/hyperlink" Target="https://x.com/TriboTDAH/status/1544431057067458560" TargetMode="External"/><Relationship Id="rId940" Type="http://schemas.openxmlformats.org/officeDocument/2006/relationships/hyperlink" Target="https://pbs.twimg.com/profile_banners/794336622292701184/1509690137" TargetMode="External"/><Relationship Id="rId705" Type="http://schemas.openxmlformats.org/officeDocument/2006/relationships/hyperlink" Target="https://pbs.twimg.com/profile_banners/164058065/1738305227" TargetMode="External"/><Relationship Id="rId947" Type="http://schemas.openxmlformats.org/officeDocument/2006/relationships/hyperlink" Target="https://pbs.twimg.com/amplify_video_thumb/1912401666466328576/img/aI9oRTnhISWw82cZ.jpg" TargetMode="External"/><Relationship Id="rId704" Type="http://schemas.openxmlformats.org/officeDocument/2006/relationships/hyperlink" Target="https://pbs.twimg.com/profile_images/1985876936690671616/WiSs9vZD_normal.jpg" TargetMode="External"/><Relationship Id="rId946" Type="http://schemas.openxmlformats.org/officeDocument/2006/relationships/hyperlink" Target="https://pbs.twimg.com/profile_banners/337047403/1644953177" TargetMode="External"/><Relationship Id="rId703" Type="http://schemas.openxmlformats.org/officeDocument/2006/relationships/hyperlink" Target="https://x.com/3lenit/status/1930270871844765940" TargetMode="External"/><Relationship Id="rId945" Type="http://schemas.openxmlformats.org/officeDocument/2006/relationships/hyperlink" Target="https://pbs.twimg.com/profile_images/1493666813099577345/7T72KkdJ_normal.jpg" TargetMode="External"/><Relationship Id="rId702" Type="http://schemas.openxmlformats.org/officeDocument/2006/relationships/hyperlink" Target="https://pbs.twimg.com/media/E0isaEoWQAMYE9K.jpg" TargetMode="External"/><Relationship Id="rId944" Type="http://schemas.openxmlformats.org/officeDocument/2006/relationships/hyperlink" Target="https://x.com/amNizerk/status/1912803900081533073" TargetMode="External"/><Relationship Id="rId73" Type="http://schemas.openxmlformats.org/officeDocument/2006/relationships/hyperlink" Target="https://pbs.twimg.com/profile_banners/758001676427075585/1762519601" TargetMode="External"/><Relationship Id="rId72" Type="http://schemas.openxmlformats.org/officeDocument/2006/relationships/hyperlink" Target="https://pbs.twimg.com/profile_images/1986777156978978816/3gzM9FpY_normal.jpg" TargetMode="External"/><Relationship Id="rId75" Type="http://schemas.openxmlformats.org/officeDocument/2006/relationships/hyperlink" Target="https://x.com/swiftbyheart/status/1988701802787905806" TargetMode="External"/><Relationship Id="rId74" Type="http://schemas.openxmlformats.org/officeDocument/2006/relationships/hyperlink" Target="https://pbs.twimg.com/amplify_video_thumb/1986749190337179648/img/P9D4-nH5JEhWwcz-.jpg" TargetMode="External"/><Relationship Id="rId77" Type="http://schemas.openxmlformats.org/officeDocument/2006/relationships/hyperlink" Target="https://pbs.twimg.com/profile_banners/1071534338280435713/1753640116" TargetMode="External"/><Relationship Id="rId76" Type="http://schemas.openxmlformats.org/officeDocument/2006/relationships/hyperlink" Target="https://pbs.twimg.com/profile_images/1949534018938036224/xA87x9Xs_normal.jpg" TargetMode="External"/><Relationship Id="rId79" Type="http://schemas.openxmlformats.org/officeDocument/2006/relationships/hyperlink" Target="https://pbs.twimg.com/profile_images/1988284143810052096/qmpBd5h4_normal.jpg" TargetMode="External"/><Relationship Id="rId78" Type="http://schemas.openxmlformats.org/officeDocument/2006/relationships/hyperlink" Target="https://x.com/thvselfs/status/1961463503350272182" TargetMode="External"/><Relationship Id="rId939" Type="http://schemas.openxmlformats.org/officeDocument/2006/relationships/hyperlink" Target="https://pbs.twimg.com/profile_images/1322233156062355456/RTVclyHr_normal.jpg" TargetMode="External"/><Relationship Id="rId938" Type="http://schemas.openxmlformats.org/officeDocument/2006/relationships/hyperlink" Target="https://x.com/Barrio_Tuetano/status/1878186489374298275" TargetMode="External"/><Relationship Id="rId937" Type="http://schemas.openxmlformats.org/officeDocument/2006/relationships/hyperlink" Target="https://pbs.twimg.com/profile_banners/258484356/1655323561" TargetMode="External"/><Relationship Id="rId71" Type="http://schemas.openxmlformats.org/officeDocument/2006/relationships/hyperlink" Target="https://x.com/T2Rafa2/status/1987159847813693569" TargetMode="External"/><Relationship Id="rId70" Type="http://schemas.openxmlformats.org/officeDocument/2006/relationships/hyperlink" Target="https://pbs.twimg.com/media/G5KVb_sXgAAFlgw.jpg" TargetMode="External"/><Relationship Id="rId932" Type="http://schemas.openxmlformats.org/officeDocument/2006/relationships/hyperlink" Target="https://x.com/eguataz/status/1500311979931672576" TargetMode="External"/><Relationship Id="rId931" Type="http://schemas.openxmlformats.org/officeDocument/2006/relationships/hyperlink" Target="https://pbs.twimg.com/profile_banners/869402605973327872/1611237666" TargetMode="External"/><Relationship Id="rId930" Type="http://schemas.openxmlformats.org/officeDocument/2006/relationships/hyperlink" Target="https://pbs.twimg.com/profile_images/1408471394221006850/78DfC5Zd_normal.jpg" TargetMode="External"/><Relationship Id="rId936" Type="http://schemas.openxmlformats.org/officeDocument/2006/relationships/hyperlink" Target="https://pbs.twimg.com/profile_images/1730537317348085760/-ZFGM7aJ_normal.jpg" TargetMode="External"/><Relationship Id="rId935" Type="http://schemas.openxmlformats.org/officeDocument/2006/relationships/hyperlink" Target="https://x.com/inexist3nte/status/1988236106064621670" TargetMode="External"/><Relationship Id="rId934" Type="http://schemas.openxmlformats.org/officeDocument/2006/relationships/hyperlink" Target="https://pbs.twimg.com/profile_banners/66538465/1456175251" TargetMode="External"/><Relationship Id="rId933" Type="http://schemas.openxmlformats.org/officeDocument/2006/relationships/hyperlink" Target="https://pbs.twimg.com/profile_images/1611380629186220034/rNWP9_4A_normal.jpg" TargetMode="External"/><Relationship Id="rId62" Type="http://schemas.openxmlformats.org/officeDocument/2006/relationships/hyperlink" Target="https://pbs.twimg.com/profile_banners/236621586/1606877123" TargetMode="External"/><Relationship Id="rId61" Type="http://schemas.openxmlformats.org/officeDocument/2006/relationships/hyperlink" Target="https://pbs.twimg.com/profile_images/1540464860768731136/UM4JIXS3_normal.jpg" TargetMode="External"/><Relationship Id="rId64" Type="http://schemas.openxmlformats.org/officeDocument/2006/relationships/hyperlink" Target="https://x.com/Arulino/status/1970543849245229535" TargetMode="External"/><Relationship Id="rId63" Type="http://schemas.openxmlformats.org/officeDocument/2006/relationships/hyperlink" Target="https://pbs.twimg.com/media/GfidYRCWoAATgtj.jpg" TargetMode="External"/><Relationship Id="rId66" Type="http://schemas.openxmlformats.org/officeDocument/2006/relationships/hyperlink" Target="https://pbs.twimg.com/profile_banners/26512000/1556851900" TargetMode="External"/><Relationship Id="rId65" Type="http://schemas.openxmlformats.org/officeDocument/2006/relationships/hyperlink" Target="https://pbs.twimg.com/profile_images/1419011396222820355/WDxt2a2y_normal.jpg" TargetMode="External"/><Relationship Id="rId68" Type="http://schemas.openxmlformats.org/officeDocument/2006/relationships/hyperlink" Target="https://pbs.twimg.com/profile_images/1439950115528192001/kjsMeIlz_normal.jpg" TargetMode="External"/><Relationship Id="rId67" Type="http://schemas.openxmlformats.org/officeDocument/2006/relationships/hyperlink" Target="https://x.com/CEPSIONLINE/status/1986814860064379230" TargetMode="External"/><Relationship Id="rId729" Type="http://schemas.openxmlformats.org/officeDocument/2006/relationships/hyperlink" Target="https://pbs.twimg.com/profile_images/1756044350876688384/MoMNTGY0_normal.jpg" TargetMode="External"/><Relationship Id="rId728" Type="http://schemas.openxmlformats.org/officeDocument/2006/relationships/hyperlink" Target="https://x.com/mafaldaOpinando/status/1484083288859889666" TargetMode="External"/><Relationship Id="rId60" Type="http://schemas.openxmlformats.org/officeDocument/2006/relationships/hyperlink" Target="https://x.com/ElPaido/status/1871418908168884492" TargetMode="External"/><Relationship Id="rId723" Type="http://schemas.openxmlformats.org/officeDocument/2006/relationships/hyperlink" Target="https://pbs.twimg.com/profile_images/1576700163732787200/czJbg8zD_normal.jpg" TargetMode="External"/><Relationship Id="rId965" Type="http://schemas.openxmlformats.org/officeDocument/2006/relationships/hyperlink" Target="https://pbs.twimg.com/profile_banners/2486452603/1598325881" TargetMode="External"/><Relationship Id="rId722" Type="http://schemas.openxmlformats.org/officeDocument/2006/relationships/hyperlink" Target="https://x.com/tdtvhn/status/1497075217209909248" TargetMode="External"/><Relationship Id="rId964" Type="http://schemas.openxmlformats.org/officeDocument/2006/relationships/hyperlink" Target="https://pbs.twimg.com/profile_images/1980754775994978304/UNpq2C1c_normal.jpg" TargetMode="External"/><Relationship Id="rId721" Type="http://schemas.openxmlformats.org/officeDocument/2006/relationships/hyperlink" Target="https://pbs.twimg.com/profile_banners/1132418770696396801/1701787577" TargetMode="External"/><Relationship Id="rId963" Type="http://schemas.openxmlformats.org/officeDocument/2006/relationships/hyperlink" Target="https://x.com/drunkkatemoss/status/1435689722244894728" TargetMode="External"/><Relationship Id="rId720" Type="http://schemas.openxmlformats.org/officeDocument/2006/relationships/hyperlink" Target="https://pbs.twimg.com/profile_images/1416916148654858240/xFr4xLrK_normal.jpg" TargetMode="External"/><Relationship Id="rId962" Type="http://schemas.openxmlformats.org/officeDocument/2006/relationships/hyperlink" Target="https://pbs.twimg.com/profile_banners/69527804/1603634793" TargetMode="External"/><Relationship Id="rId727" Type="http://schemas.openxmlformats.org/officeDocument/2006/relationships/hyperlink" Target="https://pbs.twimg.com/profile_banners/52572754/1717277141" TargetMode="External"/><Relationship Id="rId969" Type="http://schemas.openxmlformats.org/officeDocument/2006/relationships/hyperlink" Target="https://pbs.twimg.com/media/ExR5eUIXEAUAzuc.jpg" TargetMode="External"/><Relationship Id="rId726" Type="http://schemas.openxmlformats.org/officeDocument/2006/relationships/hyperlink" Target="https://pbs.twimg.com/profile_images/1919436743993925632/b1LhpjB7_normal.jpg" TargetMode="External"/><Relationship Id="rId968" Type="http://schemas.openxmlformats.org/officeDocument/2006/relationships/hyperlink" Target="https://pbs.twimg.com/profile_banners/25591482/1737485730" TargetMode="External"/><Relationship Id="rId725" Type="http://schemas.openxmlformats.org/officeDocument/2006/relationships/hyperlink" Target="https://x.com/bernardogaels/status/1778049745916744094" TargetMode="External"/><Relationship Id="rId967" Type="http://schemas.openxmlformats.org/officeDocument/2006/relationships/hyperlink" Target="https://pbs.twimg.com/profile_images/1881777654543556608/VZq7rdiK_normal.jpg" TargetMode="External"/><Relationship Id="rId724" Type="http://schemas.openxmlformats.org/officeDocument/2006/relationships/hyperlink" Target="https://pbs.twimg.com/profile_banners/3024435883/1671661565" TargetMode="External"/><Relationship Id="rId966" Type="http://schemas.openxmlformats.org/officeDocument/2006/relationships/hyperlink" Target="https://x.com/ElBadiablo/status/1374859305862709249" TargetMode="External"/><Relationship Id="rId69" Type="http://schemas.openxmlformats.org/officeDocument/2006/relationships/hyperlink" Target="https://pbs.twimg.com/profile_banners/1063844564/1556543726" TargetMode="External"/><Relationship Id="rId961" Type="http://schemas.openxmlformats.org/officeDocument/2006/relationships/hyperlink" Target="https://pbs.twimg.com/profile_images/1950735946212646912/k3lA1Dv3_normal.jpg" TargetMode="External"/><Relationship Id="rId960" Type="http://schemas.openxmlformats.org/officeDocument/2006/relationships/hyperlink" Target="https://x.com/JcThula/status/1586509751780868097" TargetMode="External"/><Relationship Id="rId51" Type="http://schemas.openxmlformats.org/officeDocument/2006/relationships/hyperlink" Target="https://pbs.twimg.com/profile_images/1955868134839136258/R9xQQFNI_normal.jpg" TargetMode="External"/><Relationship Id="rId50" Type="http://schemas.openxmlformats.org/officeDocument/2006/relationships/hyperlink" Target="https://x.com/DNATalentqro/status/1918125220608516379" TargetMode="External"/><Relationship Id="rId53" Type="http://schemas.openxmlformats.org/officeDocument/2006/relationships/hyperlink" Target="https://www.instagram.com/reel/DJIi-p0ulNt/?igsh=ZTVreDdtanBzOWox" TargetMode="External"/><Relationship Id="rId52" Type="http://schemas.openxmlformats.org/officeDocument/2006/relationships/hyperlink" Target="https://pbs.twimg.com/profile_banners/1107081892522807297/1758760949" TargetMode="External"/><Relationship Id="rId55" Type="http://schemas.openxmlformats.org/officeDocument/2006/relationships/hyperlink" Target="https://x.com/alexandre_amato/status/1971185712612475219" TargetMode="External"/><Relationship Id="rId54" Type="http://schemas.openxmlformats.org/officeDocument/2006/relationships/hyperlink" Target="https://pbs.twimg.com/media/Gp6MuJ5XgAAI52N.jpg" TargetMode="External"/><Relationship Id="rId57" Type="http://schemas.openxmlformats.org/officeDocument/2006/relationships/hyperlink" Target="https://pbs.twimg.com/profile_banners/28673574/1486247854" TargetMode="External"/><Relationship Id="rId56" Type="http://schemas.openxmlformats.org/officeDocument/2006/relationships/hyperlink" Target="https://pbs.twimg.com/profile_images/648275514420015104/YXnvi2pP_normal.jpg" TargetMode="External"/><Relationship Id="rId719" Type="http://schemas.openxmlformats.org/officeDocument/2006/relationships/hyperlink" Target="https://x.com/and_julianas/status/1986787112167817369" TargetMode="External"/><Relationship Id="rId718" Type="http://schemas.openxmlformats.org/officeDocument/2006/relationships/hyperlink" Target="https://pbs.twimg.com/media/G3uAeVkWMAAOKT5.jpg" TargetMode="External"/><Relationship Id="rId717" Type="http://schemas.openxmlformats.org/officeDocument/2006/relationships/hyperlink" Target="http://filesbooks.info/x/libro/128180/1388" TargetMode="External"/><Relationship Id="rId959" Type="http://schemas.openxmlformats.org/officeDocument/2006/relationships/hyperlink" Target="https://pbs.twimg.com/profile_banners/1056562694/1695321978" TargetMode="External"/><Relationship Id="rId712" Type="http://schemas.openxmlformats.org/officeDocument/2006/relationships/hyperlink" Target="https://x.com/TatagoOspina/status/1469708387525013511" TargetMode="External"/><Relationship Id="rId954" Type="http://schemas.openxmlformats.org/officeDocument/2006/relationships/hyperlink" Target="https://x.com/DoctorTeio/status/1711068573660049807" TargetMode="External"/><Relationship Id="rId711" Type="http://schemas.openxmlformats.org/officeDocument/2006/relationships/hyperlink" Target="https://pbs.twimg.com/profile_banners/1536496136944508931/1762387199" TargetMode="External"/><Relationship Id="rId953" Type="http://schemas.openxmlformats.org/officeDocument/2006/relationships/hyperlink" Target="https://pbs.twimg.com/profile_banners/917840833050705921/1756230415" TargetMode="External"/><Relationship Id="rId710" Type="http://schemas.openxmlformats.org/officeDocument/2006/relationships/hyperlink" Target="https://pbs.twimg.com/profile_images/1988221995847204864/YNabSzLd_normal.jpg" TargetMode="External"/><Relationship Id="rId952" Type="http://schemas.openxmlformats.org/officeDocument/2006/relationships/hyperlink" Target="https://pbs.twimg.com/profile_images/1960398567618625536/MLAwZgTh_normal.jpg" TargetMode="External"/><Relationship Id="rId951" Type="http://schemas.openxmlformats.org/officeDocument/2006/relationships/hyperlink" Target="https://x.com/fckmendex/status/1594601626626674692" TargetMode="External"/><Relationship Id="rId716" Type="http://schemas.openxmlformats.org/officeDocument/2006/relationships/hyperlink" Target="https://pbs.twimg.com/profile_images/1943249874239262723/PHiS0Snq_normal.jpg" TargetMode="External"/><Relationship Id="rId958" Type="http://schemas.openxmlformats.org/officeDocument/2006/relationships/hyperlink" Target="https://pbs.twimg.com/profile_images/1822722246093246464/rKnHU-2k_normal.jpg" TargetMode="External"/><Relationship Id="rId715" Type="http://schemas.openxmlformats.org/officeDocument/2006/relationships/hyperlink" Target="https://x.com/DuganVonda1986/status/1980317816957083798" TargetMode="External"/><Relationship Id="rId957" Type="http://schemas.openxmlformats.org/officeDocument/2006/relationships/hyperlink" Target="https://x.com/Untuitero131/status/1468713140338806797" TargetMode="External"/><Relationship Id="rId714" Type="http://schemas.openxmlformats.org/officeDocument/2006/relationships/hyperlink" Target="https://pbs.twimg.com/profile_banners/191732121/1755584084" TargetMode="External"/><Relationship Id="rId956" Type="http://schemas.openxmlformats.org/officeDocument/2006/relationships/hyperlink" Target="https://pbs.twimg.com/profile_banners/81388703/1757734235" TargetMode="External"/><Relationship Id="rId713" Type="http://schemas.openxmlformats.org/officeDocument/2006/relationships/hyperlink" Target="https://pbs.twimg.com/profile_images/1967732018369708032/4RupxfXM_normal.jpg" TargetMode="External"/><Relationship Id="rId955" Type="http://schemas.openxmlformats.org/officeDocument/2006/relationships/hyperlink" Target="https://pbs.twimg.com/profile_images/1913048441791328256/oAO6NQrH_normal.jpg" TargetMode="External"/><Relationship Id="rId59" Type="http://schemas.openxmlformats.org/officeDocument/2006/relationships/hyperlink" Target="https://video.twimg.com/ext_tw_video/1971185681964609536/pu/vid/avc1/576x1024/E9VYXQrLHFK6WK5a.mp4?tag=12" TargetMode="External"/><Relationship Id="rId58" Type="http://schemas.openxmlformats.org/officeDocument/2006/relationships/hyperlink" Target="https://pbs.twimg.com/ext_tw_video_thumb/1971185681964609536/pu/img/-i7Jj1mZhwtUBGwd.jpg" TargetMode="External"/><Relationship Id="rId950" Type="http://schemas.openxmlformats.org/officeDocument/2006/relationships/hyperlink" Target="https://pbs.twimg.com/profile_banners/1174138773023657985/1591234301" TargetMode="External"/><Relationship Id="rId590" Type="http://schemas.openxmlformats.org/officeDocument/2006/relationships/hyperlink" Target="https://pbs.twimg.com/profile_images/1985807939903344641/uOlOs4Gs_normal.jpg" TargetMode="External"/><Relationship Id="rId107" Type="http://schemas.openxmlformats.org/officeDocument/2006/relationships/hyperlink" Target="https://pbs.twimg.com/profile_banners/1551734228559155200/1661729037" TargetMode="External"/><Relationship Id="rId349" Type="http://schemas.openxmlformats.org/officeDocument/2006/relationships/hyperlink" Target="https://pbs.twimg.com/profile_banners/2825615947/1674793295" TargetMode="External"/><Relationship Id="rId106" Type="http://schemas.openxmlformats.org/officeDocument/2006/relationships/hyperlink" Target="https://pbs.twimg.com/profile_images/1564031798811566081/QtVQg-l__normal.jpg" TargetMode="External"/><Relationship Id="rId348" Type="http://schemas.openxmlformats.org/officeDocument/2006/relationships/hyperlink" Target="https://pbs.twimg.com/profile_images/1988347861507952640/MmBWSSun_normal.jpg" TargetMode="External"/><Relationship Id="rId105" Type="http://schemas.openxmlformats.org/officeDocument/2006/relationships/hyperlink" Target="https://x.com/ccadhd/status/1561077345326223360" TargetMode="External"/><Relationship Id="rId347" Type="http://schemas.openxmlformats.org/officeDocument/2006/relationships/hyperlink" Target="https://x.com/MauricioLeija/status/1918387562269323616" TargetMode="External"/><Relationship Id="rId589" Type="http://schemas.openxmlformats.org/officeDocument/2006/relationships/hyperlink" Target="https://x.com/telediariomty/status/1404239598126080002" TargetMode="External"/><Relationship Id="rId104" Type="http://schemas.openxmlformats.org/officeDocument/2006/relationships/hyperlink" Target="https://pbs.twimg.com/media/G0fer41XAAAzjpO.jpg" TargetMode="External"/><Relationship Id="rId346" Type="http://schemas.openxmlformats.org/officeDocument/2006/relationships/hyperlink" Target="https://pbs.twimg.com/media/Gd60pkEWgAAQPMN.jpg" TargetMode="External"/><Relationship Id="rId588" Type="http://schemas.openxmlformats.org/officeDocument/2006/relationships/hyperlink" Target="https://pbs.twimg.com/profile_banners/797194550/1709076410" TargetMode="External"/><Relationship Id="rId109" Type="http://schemas.openxmlformats.org/officeDocument/2006/relationships/hyperlink" Target="https://x.com/profgontijo/status/1894043057923756347" TargetMode="External"/><Relationship Id="rId1170" Type="http://schemas.openxmlformats.org/officeDocument/2006/relationships/hyperlink" Target="https://x.com/TipitoAlberdi/status/1464999129336008708" TargetMode="External"/><Relationship Id="rId108" Type="http://schemas.openxmlformats.org/officeDocument/2006/relationships/hyperlink" Target="https://pbs.twimg.com/media/FaoPkbQWIAMvnmx.jpg,https://pbs.twimg.com/media/FaoPkplWYAEEeO9.jpg" TargetMode="External"/><Relationship Id="rId1171" Type="http://schemas.openxmlformats.org/officeDocument/2006/relationships/hyperlink" Target="https://pbs.twimg.com/profile_images/1673501217215897600/_BQMPYh2_normal.jpg" TargetMode="External"/><Relationship Id="rId341" Type="http://schemas.openxmlformats.org/officeDocument/2006/relationships/hyperlink" Target="https://pbs.twimg.com/ext_tw_video_thumb/1905358913978916864/pu/img/nyF6vQKbaz3-R3ql.jpg" TargetMode="External"/><Relationship Id="rId583" Type="http://schemas.openxmlformats.org/officeDocument/2006/relationships/hyperlink" Target="https://x.com/ScarllatSouzas/status/1253368365260984327" TargetMode="External"/><Relationship Id="rId1172" Type="http://schemas.openxmlformats.org/officeDocument/2006/relationships/hyperlink" Target="https://pbs.twimg.com/profile_banners/1003251793416122368/1637452526" TargetMode="External"/><Relationship Id="rId340" Type="http://schemas.openxmlformats.org/officeDocument/2006/relationships/hyperlink" Target="https://pbs.twimg.com/profile_banners/2825615947/1674793295" TargetMode="External"/><Relationship Id="rId582" Type="http://schemas.openxmlformats.org/officeDocument/2006/relationships/hyperlink" Target="https://video.twimg.com/ext_tw_video/1452640564596314114/pu/vid/720x1280/nnvg0EfCm-QXMTEU.mp4?tag=12" TargetMode="External"/><Relationship Id="rId1173" Type="http://schemas.openxmlformats.org/officeDocument/2006/relationships/hyperlink" Target="https://x.com/dra_regenmedica/status/1558887458607079426" TargetMode="External"/><Relationship Id="rId581" Type="http://schemas.openxmlformats.org/officeDocument/2006/relationships/hyperlink" Target="https://pbs.twimg.com/ext_tw_video_thumb/1452640564596314114/pu/img/tUsBPeHJHHe76_ga.jpg" TargetMode="External"/><Relationship Id="rId1174" Type="http://schemas.openxmlformats.org/officeDocument/2006/relationships/hyperlink" Target="https://pbs.twimg.com/profile_images/1984680252635803648/bBXn06nz_normal.jpg" TargetMode="External"/><Relationship Id="rId580" Type="http://schemas.openxmlformats.org/officeDocument/2006/relationships/hyperlink" Target="https://pbs.twimg.com/profile_banners/1174138773023657985/1591234301" TargetMode="External"/><Relationship Id="rId1175" Type="http://schemas.openxmlformats.org/officeDocument/2006/relationships/hyperlink" Target="https://pbs.twimg.com/profile_banners/1213490853584392193/1759694114" TargetMode="External"/><Relationship Id="rId103" Type="http://schemas.openxmlformats.org/officeDocument/2006/relationships/hyperlink" Target="https://pbs.twimg.com/profile_banners/1645797182384275458/1759426656" TargetMode="External"/><Relationship Id="rId345" Type="http://schemas.openxmlformats.org/officeDocument/2006/relationships/hyperlink" Target="https://pbs.twimg.com/profile_banners/42303963/1742768003" TargetMode="External"/><Relationship Id="rId587" Type="http://schemas.openxmlformats.org/officeDocument/2006/relationships/hyperlink" Target="https://pbs.twimg.com/profile_images/1762619960981880832/X1OOlbcu_normal.jpg" TargetMode="External"/><Relationship Id="rId1176" Type="http://schemas.openxmlformats.org/officeDocument/2006/relationships/hyperlink" Target="https://x.com/Ana1uSalazar/status/1988003700992864760" TargetMode="External"/><Relationship Id="rId102" Type="http://schemas.openxmlformats.org/officeDocument/2006/relationships/hyperlink" Target="https://pbs.twimg.com/profile_images/1973804526659350528/XrLN7Ivp_normal.jpg" TargetMode="External"/><Relationship Id="rId344" Type="http://schemas.openxmlformats.org/officeDocument/2006/relationships/hyperlink" Target="https://pbs.twimg.com/profile_images/1858495430276870145/_IAznCBX_normal.jpg" TargetMode="External"/><Relationship Id="rId586" Type="http://schemas.openxmlformats.org/officeDocument/2006/relationships/hyperlink" Target="https://x.com/MicroTDH/status/1581459386622308352" TargetMode="External"/><Relationship Id="rId1177" Type="http://schemas.openxmlformats.org/officeDocument/2006/relationships/hyperlink" Target="https://pbs.twimg.com/profile_images/1977873986282307584/13-YTBtK_normal.jpg" TargetMode="External"/><Relationship Id="rId101" Type="http://schemas.openxmlformats.org/officeDocument/2006/relationships/hyperlink" Target="https://x.com/tutukcal/status/1965784613118456094" TargetMode="External"/><Relationship Id="rId343" Type="http://schemas.openxmlformats.org/officeDocument/2006/relationships/hyperlink" Target="https://x.com/LuizaClavijo/status/1864125926188929253" TargetMode="External"/><Relationship Id="rId585" Type="http://schemas.openxmlformats.org/officeDocument/2006/relationships/hyperlink" Target="https://pbs.twimg.com/profile_banners/3930751942/1652232191" TargetMode="External"/><Relationship Id="rId1178" Type="http://schemas.openxmlformats.org/officeDocument/2006/relationships/hyperlink" Target="https://pbs.twimg.com/profile_banners/218224825/1559572983" TargetMode="External"/><Relationship Id="rId100" Type="http://schemas.openxmlformats.org/officeDocument/2006/relationships/hyperlink" Target="https://video.twimg.com/amplify_video/1961440142922493952/vid/avc1/2880x2160/94b7WGhRWWw79rbv.mp4?tag=21" TargetMode="External"/><Relationship Id="rId342" Type="http://schemas.openxmlformats.org/officeDocument/2006/relationships/hyperlink" Target="https://video.twimg.com/ext_tw_video/1905358913978916864/pu/vid/avc1/1280x720/RlESBcxAmt9MPMn7.mp4?tag=12" TargetMode="External"/><Relationship Id="rId584" Type="http://schemas.openxmlformats.org/officeDocument/2006/relationships/hyperlink" Target="https://pbs.twimg.com/profile_images/1859603566991720448/CeCpQnC1_normal.jpg" TargetMode="External"/><Relationship Id="rId1179" Type="http://schemas.openxmlformats.org/officeDocument/2006/relationships/hyperlink" Target="https://x.com/Chaosneto/status/1988667271993258439" TargetMode="External"/><Relationship Id="rId1169" Type="http://schemas.openxmlformats.org/officeDocument/2006/relationships/hyperlink" Target="https://pbs.twimg.com/profile_banners/39437691/1737055410" TargetMode="External"/><Relationship Id="rId338" Type="http://schemas.openxmlformats.org/officeDocument/2006/relationships/hyperlink" Target="https://x.com/MauricioLeija/status/1905359758657273862" TargetMode="External"/><Relationship Id="rId337" Type="http://schemas.openxmlformats.org/officeDocument/2006/relationships/hyperlink" Target="https://video.twimg.com/amplify_video/1975000162469584896/vid/avc1/720x1280/LytIMKwzJ1SbIN76.mp4?tag=14" TargetMode="External"/><Relationship Id="rId579" Type="http://schemas.openxmlformats.org/officeDocument/2006/relationships/hyperlink" Target="https://pbs.twimg.com/profile_images/1377529312304373766/DezBVjOe_normal.jpg" TargetMode="External"/><Relationship Id="rId336" Type="http://schemas.openxmlformats.org/officeDocument/2006/relationships/hyperlink" Target="https://pbs.twimg.com/amplify_video_thumb/1975000162469584896/img/J3QIPa8gzsWjYfeG.jpg" TargetMode="External"/><Relationship Id="rId578" Type="http://schemas.openxmlformats.org/officeDocument/2006/relationships/hyperlink" Target="https://x.com/TriboTDAH/status/1452640688445734912" TargetMode="External"/><Relationship Id="rId335" Type="http://schemas.openxmlformats.org/officeDocument/2006/relationships/hyperlink" Target="http://opus.pro" TargetMode="External"/><Relationship Id="rId577" Type="http://schemas.openxmlformats.org/officeDocument/2006/relationships/hyperlink" Target="https://pbs.twimg.com/profile_banners/166666615/1718764372" TargetMode="External"/><Relationship Id="rId339" Type="http://schemas.openxmlformats.org/officeDocument/2006/relationships/hyperlink" Target="https://pbs.twimg.com/profile_images/1988347861507952640/MmBWSSun_normal.jpg" TargetMode="External"/><Relationship Id="rId1160" Type="http://schemas.openxmlformats.org/officeDocument/2006/relationships/hyperlink" Target="https://pbs.twimg.com/profile_banners/158784526/1751493830" TargetMode="External"/><Relationship Id="rId330" Type="http://schemas.openxmlformats.org/officeDocument/2006/relationships/hyperlink" Target="https://pbs.twimg.com/profile_banners/2825615947/1674793295" TargetMode="External"/><Relationship Id="rId572" Type="http://schemas.openxmlformats.org/officeDocument/2006/relationships/hyperlink" Target="https://pbs.twimg.com/profile_images/1882094012045074432/5p0EN2Zb_normal.jpg" TargetMode="External"/><Relationship Id="rId1161" Type="http://schemas.openxmlformats.org/officeDocument/2006/relationships/hyperlink" Target="https://x.com/doctormacias/status/1040664872147722240" TargetMode="External"/><Relationship Id="rId571" Type="http://schemas.openxmlformats.org/officeDocument/2006/relationships/hyperlink" Target="https://x.com/reportersalles/status/1209225278318354438" TargetMode="External"/><Relationship Id="rId1162" Type="http://schemas.openxmlformats.org/officeDocument/2006/relationships/hyperlink" Target="https://pbs.twimg.com/profile_images/1770642087718928384/HcDza4gQ_normal.jpg" TargetMode="External"/><Relationship Id="rId570" Type="http://schemas.openxmlformats.org/officeDocument/2006/relationships/hyperlink" Target="https://pbs.twimg.com/profile_banners/1926405016492871680/1762356368" TargetMode="External"/><Relationship Id="rId1163" Type="http://schemas.openxmlformats.org/officeDocument/2006/relationships/hyperlink" Target="https://pbs.twimg.com/profile_banners/316273207/1399077493" TargetMode="External"/><Relationship Id="rId1164" Type="http://schemas.openxmlformats.org/officeDocument/2006/relationships/hyperlink" Target="https://x.com/alltimecrisis/status/1748420341796372570" TargetMode="External"/><Relationship Id="rId334" Type="http://schemas.openxmlformats.org/officeDocument/2006/relationships/hyperlink" Target="https://pbs.twimg.com/profile_banners/154403438/1747941937" TargetMode="External"/><Relationship Id="rId576" Type="http://schemas.openxmlformats.org/officeDocument/2006/relationships/hyperlink" Target="https://pbs.twimg.com/profile_images/1692443415420497920/BJOTxUeH_normal.jpg" TargetMode="External"/><Relationship Id="rId1165" Type="http://schemas.openxmlformats.org/officeDocument/2006/relationships/hyperlink" Target="https://pbs.twimg.com/profile_images/1933273327306473472/Oa8cL4Fc_normal.jpg" TargetMode="External"/><Relationship Id="rId333" Type="http://schemas.openxmlformats.org/officeDocument/2006/relationships/hyperlink" Target="https://pbs.twimg.com/profile_images/482530070209130497/Gt7ngfhx_normal.jpeg" TargetMode="External"/><Relationship Id="rId575" Type="http://schemas.openxmlformats.org/officeDocument/2006/relationships/hyperlink" Target="https://x.com/ionlylovemyjuli/status/1988750705360851300" TargetMode="External"/><Relationship Id="rId1166" Type="http://schemas.openxmlformats.org/officeDocument/2006/relationships/hyperlink" Target="https://pbs.twimg.com/profile_banners/1558912358944235521/1749763266" TargetMode="External"/><Relationship Id="rId332" Type="http://schemas.openxmlformats.org/officeDocument/2006/relationships/hyperlink" Target="https://x.com/AlfredoAlvarezz/status/1975000183164346744" TargetMode="External"/><Relationship Id="rId574" Type="http://schemas.openxmlformats.org/officeDocument/2006/relationships/hyperlink" Target="https://youtu.be/1z0YEy_30wc" TargetMode="External"/><Relationship Id="rId1167" Type="http://schemas.openxmlformats.org/officeDocument/2006/relationships/hyperlink" Target="https://x.com/fulltimegodinez/status/1987908733876474175" TargetMode="External"/><Relationship Id="rId331" Type="http://schemas.openxmlformats.org/officeDocument/2006/relationships/hyperlink" Target="https://pbs.twimg.com/media/GtVxfJeXAAAk0Kg.jpg" TargetMode="External"/><Relationship Id="rId573" Type="http://schemas.openxmlformats.org/officeDocument/2006/relationships/hyperlink" Target="https://pbs.twimg.com/profile_banners/64523460/1666030250" TargetMode="External"/><Relationship Id="rId1168" Type="http://schemas.openxmlformats.org/officeDocument/2006/relationships/hyperlink" Target="https://pbs.twimg.com/profile_images/1891516241095032832/PpEFCr_Q_normal.jpg" TargetMode="External"/><Relationship Id="rId370" Type="http://schemas.openxmlformats.org/officeDocument/2006/relationships/hyperlink" Target="https://pbs.twimg.com/amplify_video_thumb/1954354807419858946/img/BUGvTl0dr0KOjjLq.jpg" TargetMode="External"/><Relationship Id="rId129" Type="http://schemas.openxmlformats.org/officeDocument/2006/relationships/hyperlink" Target="https://video.twimg.com/amplify_video/1943399011731324929/vid/avc1/1280x720/RCV7d7L-M9Jo1MYs.mp4?tag=14" TargetMode="External"/><Relationship Id="rId128" Type="http://schemas.openxmlformats.org/officeDocument/2006/relationships/hyperlink" Target="https://pbs.twimg.com/amplify_video_thumb/1943399011731324929/img/BQkLeGddr3Af7kHC.jpg" TargetMode="External"/><Relationship Id="rId127" Type="http://schemas.openxmlformats.org/officeDocument/2006/relationships/hyperlink" Target="https://pbs.twimg.com/profile_banners/2825615947/1674793295" TargetMode="External"/><Relationship Id="rId369" Type="http://schemas.openxmlformats.org/officeDocument/2006/relationships/hyperlink" Target="https://pbs.twimg.com/profile_banners/2825615947/1674793295" TargetMode="External"/><Relationship Id="rId126" Type="http://schemas.openxmlformats.org/officeDocument/2006/relationships/hyperlink" Target="https://pbs.twimg.com/profile_images/1988347861507952640/MmBWSSun_normal.jpg" TargetMode="External"/><Relationship Id="rId368" Type="http://schemas.openxmlformats.org/officeDocument/2006/relationships/hyperlink" Target="https://pbs.twimg.com/profile_images/1988347861507952640/MmBWSSun_normal.jpg" TargetMode="External"/><Relationship Id="rId1190" Type="http://schemas.openxmlformats.org/officeDocument/2006/relationships/hyperlink" Target="https://pbs.twimg.com/profile_images/1469723593667923976/ir7yllhH_normal.jpg" TargetMode="External"/><Relationship Id="rId1191" Type="http://schemas.openxmlformats.org/officeDocument/2006/relationships/hyperlink" Target="https://pbs.twimg.com/profile_banners/562484858/1732407162" TargetMode="External"/><Relationship Id="rId1192" Type="http://schemas.openxmlformats.org/officeDocument/2006/relationships/hyperlink" Target="https://x.com/Niet_sapo/status/1986451470032449603" TargetMode="External"/><Relationship Id="rId1193" Type="http://schemas.openxmlformats.org/officeDocument/2006/relationships/hyperlink" Target="https://pbs.twimg.com/profile_images/1977471749403901952/KVgyPkJa_normal.jpg" TargetMode="External"/><Relationship Id="rId121" Type="http://schemas.openxmlformats.org/officeDocument/2006/relationships/hyperlink" Target="https://x.com/crepch/status/1976696182341878249" TargetMode="External"/><Relationship Id="rId363" Type="http://schemas.openxmlformats.org/officeDocument/2006/relationships/hyperlink" Target="https://pbs.twimg.com/profile_images/1988347861507952640/MmBWSSun_normal.jpg" TargetMode="External"/><Relationship Id="rId1194" Type="http://schemas.openxmlformats.org/officeDocument/2006/relationships/hyperlink" Target="https://pbs.twimg.com/profile_banners/1329806427448369153/1755398488" TargetMode="External"/><Relationship Id="rId120" Type="http://schemas.openxmlformats.org/officeDocument/2006/relationships/hyperlink" Target="https://video.twimg.com/ext_tw_video/1893407986854281216/pu/vid/avc1/1280x720/k3I6KMU8xToDr5ct.mp4?tag=12" TargetMode="External"/><Relationship Id="rId362" Type="http://schemas.openxmlformats.org/officeDocument/2006/relationships/hyperlink" Target="https://x.com/MauricioLeija/status/1945720032576565388" TargetMode="External"/><Relationship Id="rId1195" Type="http://schemas.openxmlformats.org/officeDocument/2006/relationships/hyperlink" Target="https://x.com/conectapaciente/status/1511629308523171840" TargetMode="External"/><Relationship Id="rId361" Type="http://schemas.openxmlformats.org/officeDocument/2006/relationships/hyperlink" Target="https://x.com/i/broadcasts/1mnGegQQnAbxX" TargetMode="External"/><Relationship Id="rId1196" Type="http://schemas.openxmlformats.org/officeDocument/2006/relationships/hyperlink" Target="https://pbs.twimg.com/profile_images/902500749506211840/Ozj1cbaK_normal.jpg" TargetMode="External"/><Relationship Id="rId360" Type="http://schemas.openxmlformats.org/officeDocument/2006/relationships/hyperlink" Target="https://pbs.twimg.com/profile_banners/2825615947/1674793295" TargetMode="External"/><Relationship Id="rId1197" Type="http://schemas.openxmlformats.org/officeDocument/2006/relationships/hyperlink" Target="https://pbs.twimg.com/profile_banners/778510143503867904/1727810602" TargetMode="External"/><Relationship Id="rId125" Type="http://schemas.openxmlformats.org/officeDocument/2006/relationships/hyperlink" Target="https://x.com/MauricioLeija/status/1943399156560609541" TargetMode="External"/><Relationship Id="rId367" Type="http://schemas.openxmlformats.org/officeDocument/2006/relationships/hyperlink" Target="https://x.com/MauricioLeija/status/1954355089587487231" TargetMode="External"/><Relationship Id="rId1198" Type="http://schemas.openxmlformats.org/officeDocument/2006/relationships/hyperlink" Target="https://www.conectandopacientes.es/blog/tdah/tdah-los-adultos" TargetMode="External"/><Relationship Id="rId124" Type="http://schemas.openxmlformats.org/officeDocument/2006/relationships/hyperlink" Target="https://pbs.twimg.com/media/G26is2rWUAAns24.jpg" TargetMode="External"/><Relationship Id="rId366" Type="http://schemas.openxmlformats.org/officeDocument/2006/relationships/hyperlink" Target="https://video.twimg.com/amplify_video/1945719745291898880/vid/avc1/1280x720/9WnkVYARyroTKMAi.mp4?tag=14" TargetMode="External"/><Relationship Id="rId1199" Type="http://schemas.openxmlformats.org/officeDocument/2006/relationships/hyperlink" Target="https://x.com/cinenuevatribu/status/1982384694500171803" TargetMode="External"/><Relationship Id="rId123" Type="http://schemas.openxmlformats.org/officeDocument/2006/relationships/hyperlink" Target="https://pbs.twimg.com/profile_banners/944734585614716928/1747074694" TargetMode="External"/><Relationship Id="rId365" Type="http://schemas.openxmlformats.org/officeDocument/2006/relationships/hyperlink" Target="https://pbs.twimg.com/amplify_video_thumb/1945719745291898880/img/49uKFGAra55GU3y9.jpg" TargetMode="External"/><Relationship Id="rId122" Type="http://schemas.openxmlformats.org/officeDocument/2006/relationships/hyperlink" Target="https://pbs.twimg.com/profile_images/1136061746895106049/G8TS_hD3_normal.jpg" TargetMode="External"/><Relationship Id="rId364" Type="http://schemas.openxmlformats.org/officeDocument/2006/relationships/hyperlink" Target="https://pbs.twimg.com/profile_banners/2825615947/1674793295" TargetMode="External"/><Relationship Id="rId95" Type="http://schemas.openxmlformats.org/officeDocument/2006/relationships/hyperlink" Target="https://pbs.twimg.com/media/FW8mclSXoAI7jBx.png" TargetMode="External"/><Relationship Id="rId94" Type="http://schemas.openxmlformats.org/officeDocument/2006/relationships/hyperlink" Target="https://pbs.twimg.com/profile_banners/56708199/1626461314" TargetMode="External"/><Relationship Id="rId97" Type="http://schemas.openxmlformats.org/officeDocument/2006/relationships/hyperlink" Target="https://pbs.twimg.com/profile_images/1964141030556532736/rFL28oIz_normal.jpg" TargetMode="External"/><Relationship Id="rId96" Type="http://schemas.openxmlformats.org/officeDocument/2006/relationships/hyperlink" Target="https://x.com/jjkclean/status/1961471025662607728" TargetMode="External"/><Relationship Id="rId99" Type="http://schemas.openxmlformats.org/officeDocument/2006/relationships/hyperlink" Target="https://pbs.twimg.com/amplify_video_thumb/1961440142922493952/img/n3D8aZI7fSTYOyin.jpg" TargetMode="External"/><Relationship Id="rId98" Type="http://schemas.openxmlformats.org/officeDocument/2006/relationships/hyperlink" Target="https://pbs.twimg.com/profile_banners/1232831855038214149/1757122807" TargetMode="External"/><Relationship Id="rId91" Type="http://schemas.openxmlformats.org/officeDocument/2006/relationships/hyperlink" Target="https://pbs.twimg.com/profile_banners/64585862/1704847794" TargetMode="External"/><Relationship Id="rId90" Type="http://schemas.openxmlformats.org/officeDocument/2006/relationships/hyperlink" Target="https://pbs.twimg.com/profile_images/1926210065792438272/HVHvuUUW_normal.jpg" TargetMode="External"/><Relationship Id="rId93" Type="http://schemas.openxmlformats.org/officeDocument/2006/relationships/hyperlink" Target="https://pbs.twimg.com/profile_images/1882110281423233024/zG785T0J_normal.jpg" TargetMode="External"/><Relationship Id="rId92" Type="http://schemas.openxmlformats.org/officeDocument/2006/relationships/hyperlink" Target="https://x.com/ecalixto/status/1544495482579427328" TargetMode="External"/><Relationship Id="rId118" Type="http://schemas.openxmlformats.org/officeDocument/2006/relationships/hyperlink" Target="https://pbs.twimg.com/profile_banners/967840880509014018/1678026755" TargetMode="External"/><Relationship Id="rId117" Type="http://schemas.openxmlformats.org/officeDocument/2006/relationships/hyperlink" Target="https://pbs.twimg.com/profile_images/1632363605789212674/x7_wQvwO_normal.jpg" TargetMode="External"/><Relationship Id="rId359" Type="http://schemas.openxmlformats.org/officeDocument/2006/relationships/hyperlink" Target="https://pbs.twimg.com/profile_images/1988347861507952640/MmBWSSun_normal.jpg" TargetMode="External"/><Relationship Id="rId116" Type="http://schemas.openxmlformats.org/officeDocument/2006/relationships/hyperlink" Target="https://x.com/javiurtasun/status/1893408039316660594" TargetMode="External"/><Relationship Id="rId358" Type="http://schemas.openxmlformats.org/officeDocument/2006/relationships/hyperlink" Target="https://x.com/MauricioLeija/status/1938685666059264387" TargetMode="External"/><Relationship Id="rId115" Type="http://schemas.openxmlformats.org/officeDocument/2006/relationships/hyperlink" Target="https://pbs.twimg.com/profile_banners/1151665264662056961/1647020571" TargetMode="External"/><Relationship Id="rId357" Type="http://schemas.openxmlformats.org/officeDocument/2006/relationships/hyperlink" Target="https://pbs.twimg.com/media/GY3r1gGWUAAJpxJ.jpg" TargetMode="External"/><Relationship Id="rId599" Type="http://schemas.openxmlformats.org/officeDocument/2006/relationships/hyperlink" Target="https://pbs.twimg.com/profile_banners/2825615947/1674793295" TargetMode="External"/><Relationship Id="rId1180" Type="http://schemas.openxmlformats.org/officeDocument/2006/relationships/hyperlink" Target="https://pbs.twimg.com/profile_images/1508447125876711438/UqJuv0ZA_normal.jpg" TargetMode="External"/><Relationship Id="rId1181" Type="http://schemas.openxmlformats.org/officeDocument/2006/relationships/hyperlink" Target="https://pbs.twimg.com/profile_banners/459686150/1600870767" TargetMode="External"/><Relationship Id="rId119" Type="http://schemas.openxmlformats.org/officeDocument/2006/relationships/hyperlink" Target="https://pbs.twimg.com/ext_tw_video_thumb/1893407986854281216/pu/img/VO_Td3HCJl_cJKy2.jpg" TargetMode="External"/><Relationship Id="rId1182" Type="http://schemas.openxmlformats.org/officeDocument/2006/relationships/hyperlink" Target="https://x.com/OFM2020/status/1552040929867046912" TargetMode="External"/><Relationship Id="rId110" Type="http://schemas.openxmlformats.org/officeDocument/2006/relationships/hyperlink" Target="https://pbs.twimg.com/profile_images/1820234391316045824/HHZutUmg_normal.jpg" TargetMode="External"/><Relationship Id="rId352" Type="http://schemas.openxmlformats.org/officeDocument/2006/relationships/hyperlink" Target="https://pbs.twimg.com/profile_images/1964427375891898368/qNfK24Xo_normal.jpg" TargetMode="External"/><Relationship Id="rId594" Type="http://schemas.openxmlformats.org/officeDocument/2006/relationships/hyperlink" Target="https://x.com/tdahdislex/status/1536677300753907712" TargetMode="External"/><Relationship Id="rId1183" Type="http://schemas.openxmlformats.org/officeDocument/2006/relationships/hyperlink" Target="https://pbs.twimg.com/profile_images/1764657425414586368/iEEhzAk5_normal.jpg" TargetMode="External"/><Relationship Id="rId351" Type="http://schemas.openxmlformats.org/officeDocument/2006/relationships/hyperlink" Target="https://x.com/eduardopeccin/status/1982795050330325497" TargetMode="External"/><Relationship Id="rId593" Type="http://schemas.openxmlformats.org/officeDocument/2006/relationships/hyperlink" Target="https://pbs.twimg.com/media/E3zcdezWEAIY7wT.png" TargetMode="External"/><Relationship Id="rId1184" Type="http://schemas.openxmlformats.org/officeDocument/2006/relationships/hyperlink" Target="https://pbs.twimg.com/profile_banners/1252045115260100609/1655850139" TargetMode="External"/><Relationship Id="rId350" Type="http://schemas.openxmlformats.org/officeDocument/2006/relationships/hyperlink" Target="https://x.com/i/broadcasts/1zqKVjWkzpnKB" TargetMode="External"/><Relationship Id="rId592" Type="http://schemas.openxmlformats.org/officeDocument/2006/relationships/hyperlink" Target="https://bit.ly/3xjB6Q1" TargetMode="External"/><Relationship Id="rId1185" Type="http://schemas.openxmlformats.org/officeDocument/2006/relationships/hyperlink" Target="https://x.com/linternacope/status/1970517428816736428" TargetMode="External"/><Relationship Id="rId591" Type="http://schemas.openxmlformats.org/officeDocument/2006/relationships/hyperlink" Target="https://pbs.twimg.com/profile_banners/40105598/1736291966" TargetMode="External"/><Relationship Id="rId1186" Type="http://schemas.openxmlformats.org/officeDocument/2006/relationships/hyperlink" Target="https://pbs.twimg.com/profile_images/1710312743578861568/_itXUjcl_normal.jpg" TargetMode="External"/><Relationship Id="rId114" Type="http://schemas.openxmlformats.org/officeDocument/2006/relationships/hyperlink" Target="https://pbs.twimg.com/profile_images/1724885113152909312/GT4AFDV9_normal.jpg" TargetMode="External"/><Relationship Id="rId356" Type="http://schemas.openxmlformats.org/officeDocument/2006/relationships/hyperlink" Target="http://www.youtube.com/@TDAHVallesMedia,https://youtu.be/C4s8TcHJ6Cs" TargetMode="External"/><Relationship Id="rId598" Type="http://schemas.openxmlformats.org/officeDocument/2006/relationships/hyperlink" Target="https://pbs.twimg.com/profile_images/1988347861507952640/MmBWSSun_normal.jpg" TargetMode="External"/><Relationship Id="rId1187" Type="http://schemas.openxmlformats.org/officeDocument/2006/relationships/hyperlink" Target="https://pbs.twimg.com/profile_banners/245809028/1701348186" TargetMode="External"/><Relationship Id="rId113" Type="http://schemas.openxmlformats.org/officeDocument/2006/relationships/hyperlink" Target="https://x.com/_danieladelrioo/status/1447513143798861825" TargetMode="External"/><Relationship Id="rId355" Type="http://schemas.openxmlformats.org/officeDocument/2006/relationships/hyperlink" Target="https://pbs.twimg.com/profile_banners/2961937221/1727856406" TargetMode="External"/><Relationship Id="rId597" Type="http://schemas.openxmlformats.org/officeDocument/2006/relationships/hyperlink" Target="https://x.com/MauricioLeija/status/1954513578922283113" TargetMode="External"/><Relationship Id="rId1188" Type="http://schemas.openxmlformats.org/officeDocument/2006/relationships/hyperlink" Target="https://ver.cope.es/gt2at4" TargetMode="External"/><Relationship Id="rId112" Type="http://schemas.openxmlformats.org/officeDocument/2006/relationships/hyperlink" Target="https://pbs.twimg.com/media/Gkj-AGRXAAAa_sD.jpg" TargetMode="External"/><Relationship Id="rId354" Type="http://schemas.openxmlformats.org/officeDocument/2006/relationships/hyperlink" Target="https://pbs.twimg.com/profile_images/1841389203738796032/N93NlVyn_normal.png" TargetMode="External"/><Relationship Id="rId596" Type="http://schemas.openxmlformats.org/officeDocument/2006/relationships/hyperlink" Target="https://pbs.twimg.com/profile_banners/1361271221657214976/1634611328" TargetMode="External"/><Relationship Id="rId1189" Type="http://schemas.openxmlformats.org/officeDocument/2006/relationships/hyperlink" Target="https://x.com/Tazdingo23/status/1941698825984319683" TargetMode="External"/><Relationship Id="rId111" Type="http://schemas.openxmlformats.org/officeDocument/2006/relationships/hyperlink" Target="https://pbs.twimg.com/profile_banners/1080183192924098560/1552396481" TargetMode="External"/><Relationship Id="rId353" Type="http://schemas.openxmlformats.org/officeDocument/2006/relationships/hyperlink" Target="https://x.com/TdahVallesRadio/status/1841388836263166367" TargetMode="External"/><Relationship Id="rId595" Type="http://schemas.openxmlformats.org/officeDocument/2006/relationships/hyperlink" Target="https://pbs.twimg.com/profile_images/1685661549598228481/62txBozO_normal.jpg" TargetMode="External"/><Relationship Id="rId1136" Type="http://schemas.openxmlformats.org/officeDocument/2006/relationships/hyperlink" Target="https://pbs.twimg.com/profile_banners/56708199/1626461314" TargetMode="External"/><Relationship Id="rId1137" Type="http://schemas.openxmlformats.org/officeDocument/2006/relationships/hyperlink" Target="https://pbs.twimg.com/media/FV0dB97XEAMjk1p.png" TargetMode="External"/><Relationship Id="rId1138" Type="http://schemas.openxmlformats.org/officeDocument/2006/relationships/hyperlink" Target="https://x.com/findesemanacope/status/1970517428766486537" TargetMode="External"/><Relationship Id="rId1139" Type="http://schemas.openxmlformats.org/officeDocument/2006/relationships/hyperlink" Target="https://pbs.twimg.com/profile_images/1710313266872754176/uy941pAa_normal.jpg" TargetMode="External"/><Relationship Id="rId305" Type="http://schemas.openxmlformats.org/officeDocument/2006/relationships/hyperlink" Target="https://pbs.twimg.com/profile_images/1878496340562284544/etH9hoTo_normal.jpg" TargetMode="External"/><Relationship Id="rId547" Type="http://schemas.openxmlformats.org/officeDocument/2006/relationships/hyperlink" Target="https://x.com/modelskcals/status/1465847517560590340" TargetMode="External"/><Relationship Id="rId789" Type="http://schemas.openxmlformats.org/officeDocument/2006/relationships/hyperlink" Target="https://pbs.twimg.com/profile_images/1903439454842609664/ks47Tc1E_normal.jpg" TargetMode="External"/><Relationship Id="rId304" Type="http://schemas.openxmlformats.org/officeDocument/2006/relationships/hyperlink" Target="https://x.com/prisi_luna27/status/1971319335915602323" TargetMode="External"/><Relationship Id="rId546" Type="http://schemas.openxmlformats.org/officeDocument/2006/relationships/hyperlink" Target="https://pbs.twimg.com/profile_banners/50189533/1588577665" TargetMode="External"/><Relationship Id="rId788" Type="http://schemas.openxmlformats.org/officeDocument/2006/relationships/hyperlink" Target="https://x.com/anahipagodeira/status/1988777528409092522" TargetMode="External"/><Relationship Id="rId303" Type="http://schemas.openxmlformats.org/officeDocument/2006/relationships/hyperlink" Target="https://video.twimg.com/amplify_video/1962695506192113664/vid/avc1/720x1280/sOdVttZImcQu2nhk.mp4?tag=14" TargetMode="External"/><Relationship Id="rId545" Type="http://schemas.openxmlformats.org/officeDocument/2006/relationships/hyperlink" Target="https://pbs.twimg.com/profile_images/1349257026912858112/weKQXbrw_normal.jpg" TargetMode="External"/><Relationship Id="rId787" Type="http://schemas.openxmlformats.org/officeDocument/2006/relationships/hyperlink" Target="https://pbs.twimg.com/media/G3k1MyQXAAEtDHs.jpg" TargetMode="External"/><Relationship Id="rId302" Type="http://schemas.openxmlformats.org/officeDocument/2006/relationships/hyperlink" Target="https://pbs.twimg.com/amplify_video_thumb/1962695506192113664/img/b4MTbfWSg5G-P8BP.jpg" TargetMode="External"/><Relationship Id="rId544" Type="http://schemas.openxmlformats.org/officeDocument/2006/relationships/hyperlink" Target="https://x.com/jhezusb/status/1986983063524643000" TargetMode="External"/><Relationship Id="rId786" Type="http://schemas.openxmlformats.org/officeDocument/2006/relationships/hyperlink" Target="https://pbs.twimg.com/profile_banners/944734585614716928/1747074694" TargetMode="External"/><Relationship Id="rId309" Type="http://schemas.openxmlformats.org/officeDocument/2006/relationships/hyperlink" Target="https://pbs.twimg.com/profile_banners/1756066206371454976/1755267704" TargetMode="External"/><Relationship Id="rId308" Type="http://schemas.openxmlformats.org/officeDocument/2006/relationships/hyperlink" Target="https://pbs.twimg.com/profile_images/1973881794635186176/IbnCWh0Y_normal.jpg" TargetMode="External"/><Relationship Id="rId307" Type="http://schemas.openxmlformats.org/officeDocument/2006/relationships/hyperlink" Target="https://x.com/viralataavulso/status/1982067973511930133" TargetMode="External"/><Relationship Id="rId549" Type="http://schemas.openxmlformats.org/officeDocument/2006/relationships/hyperlink" Target="https://pbs.twimg.com/profile_banners/1402040318313312257/1659458267" TargetMode="External"/><Relationship Id="rId306" Type="http://schemas.openxmlformats.org/officeDocument/2006/relationships/hyperlink" Target="https://pbs.twimg.com/profile_banners/1254627509351714816/1630690788" TargetMode="External"/><Relationship Id="rId548" Type="http://schemas.openxmlformats.org/officeDocument/2006/relationships/hyperlink" Target="https://pbs.twimg.com/profile_images/1555370719369912325/p0hMsyi0_normal.jpg" TargetMode="External"/><Relationship Id="rId781" Type="http://schemas.openxmlformats.org/officeDocument/2006/relationships/hyperlink" Target="https://pbs.twimg.com/profile_images/1965190200050479104/ZFmSCSqM_normal.jpg" TargetMode="External"/><Relationship Id="rId780" Type="http://schemas.openxmlformats.org/officeDocument/2006/relationships/hyperlink" Target="https://x.com/maarlea_/status/1987571048485617802" TargetMode="External"/><Relationship Id="rId1130" Type="http://schemas.openxmlformats.org/officeDocument/2006/relationships/hyperlink" Target="http://elsalvador.com" TargetMode="External"/><Relationship Id="rId1131" Type="http://schemas.openxmlformats.org/officeDocument/2006/relationships/hyperlink" Target="https://pbs.twimg.com/profile_images/1956339161088077829/xxAXeQze_normal.png" TargetMode="External"/><Relationship Id="rId301" Type="http://schemas.openxmlformats.org/officeDocument/2006/relationships/hyperlink" Target="https://pbs.twimg.com/profile_images/1745094281449103360/Len2zkMK_normal.jpg" TargetMode="External"/><Relationship Id="rId543" Type="http://schemas.openxmlformats.org/officeDocument/2006/relationships/hyperlink" Target="https://pbs.twimg.com/profile_banners/236621586/1606877123" TargetMode="External"/><Relationship Id="rId785" Type="http://schemas.openxmlformats.org/officeDocument/2006/relationships/hyperlink" Target="https://pbs.twimg.com/profile_images/1136061746895106049/G8TS_hD3_normal.jpg" TargetMode="External"/><Relationship Id="rId1132" Type="http://schemas.openxmlformats.org/officeDocument/2006/relationships/hyperlink" Target="https://pbs.twimg.com/profile_banners/81986272/1755262577" TargetMode="External"/><Relationship Id="rId300" Type="http://schemas.openxmlformats.org/officeDocument/2006/relationships/hyperlink" Target="https://x.com/landysJairPsic/status/1962695785713135959" TargetMode="External"/><Relationship Id="rId542" Type="http://schemas.openxmlformats.org/officeDocument/2006/relationships/hyperlink" Target="https://pbs.twimg.com/profile_images/1540464860768731136/UM4JIXS3_normal.jpg" TargetMode="External"/><Relationship Id="rId784" Type="http://schemas.openxmlformats.org/officeDocument/2006/relationships/hyperlink" Target="https://x.com/crepch/status/1979672008029036821" TargetMode="External"/><Relationship Id="rId1133" Type="http://schemas.openxmlformats.org/officeDocument/2006/relationships/hyperlink" Target="https://www.elsalvador.com/vida/cuerpo-y-mente/vivir-con-tdah-rosalia-adultos/1250730/2025/" TargetMode="External"/><Relationship Id="rId541" Type="http://schemas.openxmlformats.org/officeDocument/2006/relationships/hyperlink" Target="https://x.com/ElPaido/status/1942346730110083106" TargetMode="External"/><Relationship Id="rId783" Type="http://schemas.openxmlformats.org/officeDocument/2006/relationships/hyperlink" Target="https://pbs.twimg.com/media/G5LEkA3WAAAJbnk.jpg" TargetMode="External"/><Relationship Id="rId1134" Type="http://schemas.openxmlformats.org/officeDocument/2006/relationships/hyperlink" Target="https://x.com/ecalixto/status/1539418584778162182" TargetMode="External"/><Relationship Id="rId540" Type="http://schemas.openxmlformats.org/officeDocument/2006/relationships/hyperlink" Target="https://pbs.twimg.com/ext_tw_video_thumb/1751983677959974912/pu/img/Xb08CulxBdBMHqZc.jpg" TargetMode="External"/><Relationship Id="rId782" Type="http://schemas.openxmlformats.org/officeDocument/2006/relationships/hyperlink" Target="https://pbs.twimg.com/profile_banners/1447347737591173126/1732934483" TargetMode="External"/><Relationship Id="rId1135" Type="http://schemas.openxmlformats.org/officeDocument/2006/relationships/hyperlink" Target="https://pbs.twimg.com/profile_images/1882110281423233024/zG785T0J_normal.jpg" TargetMode="External"/><Relationship Id="rId1125" Type="http://schemas.openxmlformats.org/officeDocument/2006/relationships/hyperlink" Target="https://x.com/MediodiaCOPE/status/1970517428724519289" TargetMode="External"/><Relationship Id="rId1126" Type="http://schemas.openxmlformats.org/officeDocument/2006/relationships/hyperlink" Target="https://pbs.twimg.com/profile_images/1710311542959259648/UEUi7uFS_normal.jpg" TargetMode="External"/><Relationship Id="rId1127" Type="http://schemas.openxmlformats.org/officeDocument/2006/relationships/hyperlink" Target="https://pbs.twimg.com/profile_banners/770557562471284736/1756131770" TargetMode="External"/><Relationship Id="rId1128" Type="http://schemas.openxmlformats.org/officeDocument/2006/relationships/hyperlink" Target="https://ver.cope.es/gt2at5" TargetMode="External"/><Relationship Id="rId1129" Type="http://schemas.openxmlformats.org/officeDocument/2006/relationships/hyperlink" Target="https://x.com/elsalvadorcom/status/1988708383692824594" TargetMode="External"/><Relationship Id="rId536" Type="http://schemas.openxmlformats.org/officeDocument/2006/relationships/hyperlink" Target="https://pbs.twimg.com/profile_banners/206776127/1761915300" TargetMode="External"/><Relationship Id="rId778" Type="http://schemas.openxmlformats.org/officeDocument/2006/relationships/hyperlink" Target="https://pbs.twimg.com/profile_images/1988788011383873536/aA5LzjAr_normal.jpg" TargetMode="External"/><Relationship Id="rId535" Type="http://schemas.openxmlformats.org/officeDocument/2006/relationships/hyperlink" Target="https://pbs.twimg.com/profile_images/1292993707373993992/qnyOsXJY_normal.jpg" TargetMode="External"/><Relationship Id="rId777" Type="http://schemas.openxmlformats.org/officeDocument/2006/relationships/hyperlink" Target="https://x.com/creaptives/status/1988319759017050608" TargetMode="External"/><Relationship Id="rId534" Type="http://schemas.openxmlformats.org/officeDocument/2006/relationships/hyperlink" Target="https://x.com/JustLils/status/1987534186098442256" TargetMode="External"/><Relationship Id="rId776" Type="http://schemas.openxmlformats.org/officeDocument/2006/relationships/hyperlink" Target="https://www.otempo.com.br/canal-o-tempo/podcasts/viva-com-saude/2024/11/15/vale-a-pena-ir-atras-do-diagnostico-de-tdah-depois-de-adulto----" TargetMode="External"/><Relationship Id="rId533" Type="http://schemas.openxmlformats.org/officeDocument/2006/relationships/hyperlink" Target="https://pbs.twimg.com/media/GuEqJblWQAA6pkY.jpg,https://pbs.twimg.com/media/GuEqJbkXgAAtOUi.jpg,https://pbs.twimg.com/media/GuEqJblXgAAbxU2.jpg,https://pbs.twimg.com/media/GuEqJbkXUAAHgp2.jpg" TargetMode="External"/><Relationship Id="rId775" Type="http://schemas.openxmlformats.org/officeDocument/2006/relationships/hyperlink" Target="https://pbs.twimg.com/profile_banners/29274419/1756741736" TargetMode="External"/><Relationship Id="rId539" Type="http://schemas.openxmlformats.org/officeDocument/2006/relationships/hyperlink" Target="https://pbs.twimg.com/profile_banners/3295393091/1665317290" TargetMode="External"/><Relationship Id="rId538" Type="http://schemas.openxmlformats.org/officeDocument/2006/relationships/hyperlink" Target="https://pbs.twimg.com/profile_images/1843656307959599104/28Ff3cck_normal.jpg" TargetMode="External"/><Relationship Id="rId537" Type="http://schemas.openxmlformats.org/officeDocument/2006/relationships/hyperlink" Target="https://x.com/TINI3x/status/1752107260279411159" TargetMode="External"/><Relationship Id="rId779" Type="http://schemas.openxmlformats.org/officeDocument/2006/relationships/hyperlink" Target="https://pbs.twimg.com/profile_banners/1957980056606720000/1762393646" TargetMode="External"/><Relationship Id="rId770" Type="http://schemas.openxmlformats.org/officeDocument/2006/relationships/hyperlink" Target="https://x.com/schwartz_rafael/status/1987878446538608940" TargetMode="External"/><Relationship Id="rId1120" Type="http://schemas.openxmlformats.org/officeDocument/2006/relationships/hyperlink" Target="https://pbs.twimg.com/profile_banners/988469064837271557/1758252341" TargetMode="External"/><Relationship Id="rId532" Type="http://schemas.openxmlformats.org/officeDocument/2006/relationships/hyperlink" Target="https://pbs.twimg.com/profile_banners/1400777557/1465037153" TargetMode="External"/><Relationship Id="rId774" Type="http://schemas.openxmlformats.org/officeDocument/2006/relationships/hyperlink" Target="https://pbs.twimg.com/profile_images/1623114146458791936/N7peJ_jC_normal.jpg" TargetMode="External"/><Relationship Id="rId1121" Type="http://schemas.openxmlformats.org/officeDocument/2006/relationships/hyperlink" Target="https://x.com/penguinlibros/status/1966773849724514425" TargetMode="External"/><Relationship Id="rId531" Type="http://schemas.openxmlformats.org/officeDocument/2006/relationships/hyperlink" Target="https://pbs.twimg.com/profile_images/1622600960273940482/xi_3j3O9_normal.jpg" TargetMode="External"/><Relationship Id="rId773" Type="http://schemas.openxmlformats.org/officeDocument/2006/relationships/hyperlink" Target="https://x.com/otempo/status/1857396404215238946" TargetMode="External"/><Relationship Id="rId1122" Type="http://schemas.openxmlformats.org/officeDocument/2006/relationships/hyperlink" Target="https://pbs.twimg.com/profile_images/1775078100939718656/HH_-J0ib_normal.jpg" TargetMode="External"/><Relationship Id="rId530" Type="http://schemas.openxmlformats.org/officeDocument/2006/relationships/hyperlink" Target="https://x.com/AENSaludMental/status/1936875661844717817" TargetMode="External"/><Relationship Id="rId772" Type="http://schemas.openxmlformats.org/officeDocument/2006/relationships/hyperlink" Target="https://pbs.twimg.com/profile_banners/636680715/1603371179" TargetMode="External"/><Relationship Id="rId1123" Type="http://schemas.openxmlformats.org/officeDocument/2006/relationships/hyperlink" Target="https://pbs.twimg.com/profile_banners/15019391/1762786924" TargetMode="External"/><Relationship Id="rId771" Type="http://schemas.openxmlformats.org/officeDocument/2006/relationships/hyperlink" Target="https://pbs.twimg.com/profile_images/1319258985925611523/hF1XcVAF_normal.jpg" TargetMode="External"/><Relationship Id="rId1124" Type="http://schemas.openxmlformats.org/officeDocument/2006/relationships/hyperlink" Target="https://pbs.twimg.com/media/G0U6xYJXcAEp7ne.png,https://pbs.twimg.com/media/G0U62GwXEAATUEz.png,https://pbs.twimg.com/media/G0U61nsWEAADIKw.png,https://pbs.twimg.com/media/G0U6h8GW4AANepV.jpg" TargetMode="External"/><Relationship Id="rId1158" Type="http://schemas.openxmlformats.org/officeDocument/2006/relationships/hyperlink" Target="https://x.com/taltalivan/status/1484499395861172224" TargetMode="External"/><Relationship Id="rId1159" Type="http://schemas.openxmlformats.org/officeDocument/2006/relationships/hyperlink" Target="https://pbs.twimg.com/profile_images/1980110875882057728/8CKr3dT4_normal.jpg" TargetMode="External"/><Relationship Id="rId327" Type="http://schemas.openxmlformats.org/officeDocument/2006/relationships/hyperlink" Target="https://video.twimg.com/amplify_video/1934465251862282240/vid/avc1/1920x1080/yqF5WO_0oxiMpTaI.mp4?tag=21" TargetMode="External"/><Relationship Id="rId569" Type="http://schemas.openxmlformats.org/officeDocument/2006/relationships/hyperlink" Target="https://pbs.twimg.com/profile_images/1986092336804200448/XZ8WDvUN_normal.jpg" TargetMode="External"/><Relationship Id="rId326" Type="http://schemas.openxmlformats.org/officeDocument/2006/relationships/hyperlink" Target="https://pbs.twimg.com/amplify_video_thumb/1934465251862282240/img/PvO7qJ9wgDzRaH04.jpg" TargetMode="External"/><Relationship Id="rId568" Type="http://schemas.openxmlformats.org/officeDocument/2006/relationships/hyperlink" Target="https://x.com/henssnunkv/status/1961442007944962325" TargetMode="External"/><Relationship Id="rId325" Type="http://schemas.openxmlformats.org/officeDocument/2006/relationships/hyperlink" Target="https://pbs.twimg.com/profile_banners/2825615947/1674793295" TargetMode="External"/><Relationship Id="rId567" Type="http://schemas.openxmlformats.org/officeDocument/2006/relationships/hyperlink" Target="https://pbs.twimg.com/ext_tw_video_thumb/1898443441303932928/pu/img/0u4NJ5Tkyd8Xtumd.jpg" TargetMode="External"/><Relationship Id="rId324" Type="http://schemas.openxmlformats.org/officeDocument/2006/relationships/hyperlink" Target="https://pbs.twimg.com/profile_images/1988347861507952640/MmBWSSun_normal.jpg" TargetMode="External"/><Relationship Id="rId566" Type="http://schemas.openxmlformats.org/officeDocument/2006/relationships/hyperlink" Target="https://pbs.twimg.com/profile_banners/1499067872387211264/1664824533" TargetMode="External"/><Relationship Id="rId329" Type="http://schemas.openxmlformats.org/officeDocument/2006/relationships/hyperlink" Target="https://pbs.twimg.com/profile_images/1988347861507952640/MmBWSSun_normal.jpg" TargetMode="External"/><Relationship Id="rId328" Type="http://schemas.openxmlformats.org/officeDocument/2006/relationships/hyperlink" Target="https://x.com/MauricioLeija/status/1933576398158917640" TargetMode="External"/><Relationship Id="rId561" Type="http://schemas.openxmlformats.org/officeDocument/2006/relationships/hyperlink" Target="https://x.com/ElPaido/status/1942346706500370656" TargetMode="External"/><Relationship Id="rId1150" Type="http://schemas.openxmlformats.org/officeDocument/2006/relationships/hyperlink" Target="https://x.com/little_cNdy/status/1700540178853408852" TargetMode="External"/><Relationship Id="rId560" Type="http://schemas.openxmlformats.org/officeDocument/2006/relationships/hyperlink" Target="https://pbs.twimg.com/profile_banners/2831662233/1761602175" TargetMode="External"/><Relationship Id="rId1151" Type="http://schemas.openxmlformats.org/officeDocument/2006/relationships/hyperlink" Target="https://pbs.twimg.com/profile_images/1977204872488321024/c5ynA9g__normal.jpg" TargetMode="External"/><Relationship Id="rId1152" Type="http://schemas.openxmlformats.org/officeDocument/2006/relationships/hyperlink" Target="https://pbs.twimg.com/profile_banners/1030989002470580225/1742757575" TargetMode="External"/><Relationship Id="rId1153" Type="http://schemas.openxmlformats.org/officeDocument/2006/relationships/hyperlink" Target="https://x.com/MyTXTLatam_/status/1205878865815461888" TargetMode="External"/><Relationship Id="rId323" Type="http://schemas.openxmlformats.org/officeDocument/2006/relationships/hyperlink" Target="https://x.com/MauricioLeija/status/1934468429278327271" TargetMode="External"/><Relationship Id="rId565" Type="http://schemas.openxmlformats.org/officeDocument/2006/relationships/hyperlink" Target="https://pbs.twimg.com/profile_images/1929938542626476032/CLmPz7gh_normal.jpg" TargetMode="External"/><Relationship Id="rId1154" Type="http://schemas.openxmlformats.org/officeDocument/2006/relationships/hyperlink" Target="https://pbs.twimg.com/profile_images/1986599880626675713/5CiuRpEs_normal.jpg" TargetMode="External"/><Relationship Id="rId322" Type="http://schemas.openxmlformats.org/officeDocument/2006/relationships/hyperlink" Target="https://video.twimg.com/amplify_video/1954334002732507136/vid/avc1/1920x1080/B00aIOf0bxyPfD_j.mp4?tag=21" TargetMode="External"/><Relationship Id="rId564" Type="http://schemas.openxmlformats.org/officeDocument/2006/relationships/hyperlink" Target="https://x.com/ankhmriimn/status/1899467556018151707" TargetMode="External"/><Relationship Id="rId1155" Type="http://schemas.openxmlformats.org/officeDocument/2006/relationships/hyperlink" Target="https://pbs.twimg.com/profile_banners/1083062703877427202/1762467281" TargetMode="External"/><Relationship Id="rId321" Type="http://schemas.openxmlformats.org/officeDocument/2006/relationships/hyperlink" Target="https://pbs.twimg.com/amplify_video_thumb/1954334002732507136/img/tRxFYRjXyLFpFSh0.jpg" TargetMode="External"/><Relationship Id="rId563" Type="http://schemas.openxmlformats.org/officeDocument/2006/relationships/hyperlink" Target="https://pbs.twimg.com/profile_banners/236621586/1606877123" TargetMode="External"/><Relationship Id="rId1156" Type="http://schemas.openxmlformats.org/officeDocument/2006/relationships/hyperlink" Target="https://pbs.twimg.com/ext_tw_video_thumb/1205793487502708736/pu/img/iVH8na_Wj2pMvg0k.jpg" TargetMode="External"/><Relationship Id="rId320" Type="http://schemas.openxmlformats.org/officeDocument/2006/relationships/hyperlink" Target="https://pbs.twimg.com/profile_banners/2825615947/1674793295" TargetMode="External"/><Relationship Id="rId562" Type="http://schemas.openxmlformats.org/officeDocument/2006/relationships/hyperlink" Target="https://pbs.twimg.com/profile_images/1540464860768731136/UM4JIXS3_normal.jpg" TargetMode="External"/><Relationship Id="rId1157" Type="http://schemas.openxmlformats.org/officeDocument/2006/relationships/hyperlink" Target="https://video.twimg.com/ext_tw_video/1205793487502708736/pu/vid/968x720/QvHzNfd9FwX9icH1.mp4?tag=10" TargetMode="External"/><Relationship Id="rId1147" Type="http://schemas.openxmlformats.org/officeDocument/2006/relationships/hyperlink" Target="https://pbs.twimg.com/profile_images/1377529312304373766/DezBVjOe_normal.jpg" TargetMode="External"/><Relationship Id="rId1148" Type="http://schemas.openxmlformats.org/officeDocument/2006/relationships/hyperlink" Target="https://pbs.twimg.com/profile_banners/1174138773023657985/1591234301" TargetMode="External"/><Relationship Id="rId1149" Type="http://schemas.openxmlformats.org/officeDocument/2006/relationships/hyperlink" Target="https://pbs.twimg.com/media/EyasmQrXAAEfdMf.jpg" TargetMode="External"/><Relationship Id="rId316" Type="http://schemas.openxmlformats.org/officeDocument/2006/relationships/hyperlink" Target="https://pbs.twimg.com/profile_images/1762619960981880832/X1OOlbcu_normal.jpg" TargetMode="External"/><Relationship Id="rId558" Type="http://schemas.openxmlformats.org/officeDocument/2006/relationships/hyperlink" Target="https://x.com/issbelinha/status/1925679304622416121" TargetMode="External"/><Relationship Id="rId315" Type="http://schemas.openxmlformats.org/officeDocument/2006/relationships/hyperlink" Target="https://x.com/MicroTDH/status/1761235326780027060" TargetMode="External"/><Relationship Id="rId557" Type="http://schemas.openxmlformats.org/officeDocument/2006/relationships/hyperlink" Target="https://pbs.twimg.com/profile_banners/15502866/1702342522" TargetMode="External"/><Relationship Id="rId799" Type="http://schemas.openxmlformats.org/officeDocument/2006/relationships/hyperlink" Target="https://pbs.twimg.com/profile_images/1726396566125043712/rEnF7jAx_normal.jpg" TargetMode="External"/><Relationship Id="rId314" Type="http://schemas.openxmlformats.org/officeDocument/2006/relationships/hyperlink" Target="https://video.twimg.com/amplify_video/1961440142922493952/vid/avc1/2880x2160/94b7WGhRWWw79rbv.mp4?tag=21" TargetMode="External"/><Relationship Id="rId556" Type="http://schemas.openxmlformats.org/officeDocument/2006/relationships/hyperlink" Target="https://pbs.twimg.com/profile_images/1964047425112334336/U-VqTczp_normal.jpg" TargetMode="External"/><Relationship Id="rId798" Type="http://schemas.openxmlformats.org/officeDocument/2006/relationships/hyperlink" Target="https://x.com/tannybaldez/status/1262711111159296000" TargetMode="External"/><Relationship Id="rId313" Type="http://schemas.openxmlformats.org/officeDocument/2006/relationships/hyperlink" Target="https://pbs.twimg.com/amplify_video_thumb/1961440142922493952/img/n3D8aZI7fSTYOyin.jpg" TargetMode="External"/><Relationship Id="rId555" Type="http://schemas.openxmlformats.org/officeDocument/2006/relationships/hyperlink" Target="https://x.com/kawencey/status/1902377527164678605" TargetMode="External"/><Relationship Id="rId797" Type="http://schemas.openxmlformats.org/officeDocument/2006/relationships/hyperlink" Target="https://pbs.twimg.com/ext_tw_video_thumb/1905352283488989184/pu/img/mS6rtplmwhleYbW9.jpg" TargetMode="External"/><Relationship Id="rId319" Type="http://schemas.openxmlformats.org/officeDocument/2006/relationships/hyperlink" Target="https://pbs.twimg.com/profile_images/1988347861507952640/MmBWSSun_normal.jpg" TargetMode="External"/><Relationship Id="rId318" Type="http://schemas.openxmlformats.org/officeDocument/2006/relationships/hyperlink" Target="https://x.com/MauricioLeija/status/1954343187809722450" TargetMode="External"/><Relationship Id="rId317" Type="http://schemas.openxmlformats.org/officeDocument/2006/relationships/hyperlink" Target="https://pbs.twimg.com/profile_banners/797194550/1709076410" TargetMode="External"/><Relationship Id="rId559" Type="http://schemas.openxmlformats.org/officeDocument/2006/relationships/hyperlink" Target="https://pbs.twimg.com/profile_images/1945604336404283392/Hnr7bWVo_normal.jpg" TargetMode="External"/><Relationship Id="rId550" Type="http://schemas.openxmlformats.org/officeDocument/2006/relationships/hyperlink" Target="https://x.com/ah_lectora/status/1863922778665025831" TargetMode="External"/><Relationship Id="rId792" Type="http://schemas.openxmlformats.org/officeDocument/2006/relationships/hyperlink" Target="https://pbs.twimg.com/profile_images/1856092046043299840/4aD1eKyh_normal.jpg" TargetMode="External"/><Relationship Id="rId791" Type="http://schemas.openxmlformats.org/officeDocument/2006/relationships/hyperlink" Target="https://x.com/DrSylveonPsyq/status/1597954299287347200" TargetMode="External"/><Relationship Id="rId1140" Type="http://schemas.openxmlformats.org/officeDocument/2006/relationships/hyperlink" Target="https://pbs.twimg.com/profile_banners/187948082/1701347974" TargetMode="External"/><Relationship Id="rId790" Type="http://schemas.openxmlformats.org/officeDocument/2006/relationships/hyperlink" Target="https://pbs.twimg.com/profile_banners/1526327497343877123/1660654283" TargetMode="External"/><Relationship Id="rId1141" Type="http://schemas.openxmlformats.org/officeDocument/2006/relationships/hyperlink" Target="https://ver.cope.es/gt2at6" TargetMode="External"/><Relationship Id="rId1142" Type="http://schemas.openxmlformats.org/officeDocument/2006/relationships/hyperlink" Target="https://x.com/neuroclass1/status/1988617905500573867" TargetMode="External"/><Relationship Id="rId312" Type="http://schemas.openxmlformats.org/officeDocument/2006/relationships/hyperlink" Target="https://pbs.twimg.com/profile_banners/1311746150890901505/1760449806" TargetMode="External"/><Relationship Id="rId554" Type="http://schemas.openxmlformats.org/officeDocument/2006/relationships/hyperlink" Target="https://pbs.twimg.com/profile_images/1974835428449513472/dPrcxhPg_normal.jpg" TargetMode="External"/><Relationship Id="rId796" Type="http://schemas.openxmlformats.org/officeDocument/2006/relationships/hyperlink" Target="https://pbs.twimg.com/profile_banners/1226467615037677568/1714319557" TargetMode="External"/><Relationship Id="rId1143" Type="http://schemas.openxmlformats.org/officeDocument/2006/relationships/hyperlink" Target="https://pbs.twimg.com/profile_images/1183101531261997058/iP253fmT_normal.jpg" TargetMode="External"/><Relationship Id="rId311" Type="http://schemas.openxmlformats.org/officeDocument/2006/relationships/hyperlink" Target="https://pbs.twimg.com/profile_images/1978090744012328960/RgVwn3_k_normal.jpg" TargetMode="External"/><Relationship Id="rId553" Type="http://schemas.openxmlformats.org/officeDocument/2006/relationships/hyperlink" Target="https://x.com/MMALICK9/status/1987526147651907738" TargetMode="External"/><Relationship Id="rId795" Type="http://schemas.openxmlformats.org/officeDocument/2006/relationships/hyperlink" Target="https://pbs.twimg.com/profile_images/1813280268611973124/CtR67BlK_normal.jpg" TargetMode="External"/><Relationship Id="rId1144" Type="http://schemas.openxmlformats.org/officeDocument/2006/relationships/hyperlink" Target="https://pbs.twimg.com/profile_banners/1106885136048668672/1570908447" TargetMode="External"/><Relationship Id="rId310" Type="http://schemas.openxmlformats.org/officeDocument/2006/relationships/hyperlink" Target="https://x.com/jinkook_br/status/1961488240893927812" TargetMode="External"/><Relationship Id="rId552" Type="http://schemas.openxmlformats.org/officeDocument/2006/relationships/hyperlink" Target="https://pbs.twimg.com/profile_banners/1175186588281835525/1745072379" TargetMode="External"/><Relationship Id="rId794" Type="http://schemas.openxmlformats.org/officeDocument/2006/relationships/hyperlink" Target="https://x.com/Magnus_El_Rojo/status/1905726986246557771" TargetMode="External"/><Relationship Id="rId1145" Type="http://schemas.openxmlformats.org/officeDocument/2006/relationships/hyperlink" Target="https://neuro-class.com/nuevo-consenso-europeo-sobre-el-diagnostico-de-tdah-en-adultos/" TargetMode="External"/><Relationship Id="rId551" Type="http://schemas.openxmlformats.org/officeDocument/2006/relationships/hyperlink" Target="https://pbs.twimg.com/profile_images/1913598374734909440/-yFzyrl5_normal.jpg" TargetMode="External"/><Relationship Id="rId793" Type="http://schemas.openxmlformats.org/officeDocument/2006/relationships/hyperlink" Target="https://pbs.twimg.com/profile_banners/733619018897063936/1717635158" TargetMode="External"/><Relationship Id="rId1146" Type="http://schemas.openxmlformats.org/officeDocument/2006/relationships/hyperlink" Target="https://x.com/TriboTDAH/status/1379982137223483394" TargetMode="External"/><Relationship Id="rId297" Type="http://schemas.openxmlformats.org/officeDocument/2006/relationships/hyperlink" Target="https://x.com/TavoMaristany/status/1988389443452215755" TargetMode="External"/><Relationship Id="rId296" Type="http://schemas.openxmlformats.org/officeDocument/2006/relationships/hyperlink" Target="https://pbs.twimg.com/profile_banners/2358855016/1650879245" TargetMode="External"/><Relationship Id="rId295" Type="http://schemas.openxmlformats.org/officeDocument/2006/relationships/hyperlink" Target="https://pbs.twimg.com/profile_images/1897349690259070976/hgWJ5Oua_normal.jpg" TargetMode="External"/><Relationship Id="rId294" Type="http://schemas.openxmlformats.org/officeDocument/2006/relationships/hyperlink" Target="https://x.com/MatsuiArt/status/1924232790213538006" TargetMode="External"/><Relationship Id="rId299" Type="http://schemas.openxmlformats.org/officeDocument/2006/relationships/hyperlink" Target="https://pbs.twimg.com/profile_banners/831174756/1731900120" TargetMode="External"/><Relationship Id="rId298" Type="http://schemas.openxmlformats.org/officeDocument/2006/relationships/hyperlink" Target="https://pbs.twimg.com/profile_images/1649165082583003141/lmt5qmnm_normal.jpg" TargetMode="External"/><Relationship Id="rId271" Type="http://schemas.openxmlformats.org/officeDocument/2006/relationships/hyperlink" Target="https://pbs.twimg.com/profile_images/1988347861507952640/MmBWSSun_normal.jpg" TargetMode="External"/><Relationship Id="rId270" Type="http://schemas.openxmlformats.org/officeDocument/2006/relationships/hyperlink" Target="https://x.com/MauricioLeija/status/1931786348727284052" TargetMode="External"/><Relationship Id="rId269" Type="http://schemas.openxmlformats.org/officeDocument/2006/relationships/hyperlink" Target="https://video.twimg.com/amplify_video/1930133636897988608/vid/avc1/1920x1080/AD0nQ_o1l-gT4Wd-.mp4?tag=21" TargetMode="External"/><Relationship Id="rId264" Type="http://schemas.openxmlformats.org/officeDocument/2006/relationships/hyperlink" Target="https://youtu.be/C4s8TcHJ6Cs" TargetMode="External"/><Relationship Id="rId263" Type="http://schemas.openxmlformats.org/officeDocument/2006/relationships/hyperlink" Target="https://pbs.twimg.com/profile_banners/2961937221/1727856406" TargetMode="External"/><Relationship Id="rId262" Type="http://schemas.openxmlformats.org/officeDocument/2006/relationships/hyperlink" Target="https://pbs.twimg.com/profile_images/1841389203738796032/N93NlVyn_normal.png" TargetMode="External"/><Relationship Id="rId261" Type="http://schemas.openxmlformats.org/officeDocument/2006/relationships/hyperlink" Target="https://x.com/TdahVallesRadio/status/1850539457205669985" TargetMode="External"/><Relationship Id="rId268" Type="http://schemas.openxmlformats.org/officeDocument/2006/relationships/hyperlink" Target="https://pbs.twimg.com/amplify_video_thumb/1930133636897988608/img/4LSRTDmGGA1lROt4.jpg" TargetMode="External"/><Relationship Id="rId267" Type="http://schemas.openxmlformats.org/officeDocument/2006/relationships/hyperlink" Target="https://pbs.twimg.com/profile_banners/2825615947/1674793295" TargetMode="External"/><Relationship Id="rId266" Type="http://schemas.openxmlformats.org/officeDocument/2006/relationships/hyperlink" Target="https://pbs.twimg.com/profile_images/1988347861507952640/MmBWSSun_normal.jpg" TargetMode="External"/><Relationship Id="rId265" Type="http://schemas.openxmlformats.org/officeDocument/2006/relationships/hyperlink" Target="https://x.com/MauricioLeija/status/1930135274798919870" TargetMode="External"/><Relationship Id="rId260" Type="http://schemas.openxmlformats.org/officeDocument/2006/relationships/hyperlink" Target="https://video.twimg.com/ext_tw_video/1912729594022461441/pu/vid/avc1/720x720/coZha1m3mmbnxNFd.mp4?tag=12" TargetMode="External"/><Relationship Id="rId259" Type="http://schemas.openxmlformats.org/officeDocument/2006/relationships/hyperlink" Target="https://pbs.twimg.com/ext_tw_video_thumb/1912729594022461441/pu/img/6Ajbr4BP8t1EWaKi.jpg" TargetMode="External"/><Relationship Id="rId258" Type="http://schemas.openxmlformats.org/officeDocument/2006/relationships/hyperlink" Target="https://play.headliner.app/episode/26654040,https://www.headliner.app" TargetMode="External"/><Relationship Id="rId253" Type="http://schemas.openxmlformats.org/officeDocument/2006/relationships/hyperlink" Target="https://pbs.twimg.com/ext_tw_video_thumb/1874958292155314176/pu/img/ZMqC0F9u6vNWoADk.jpg" TargetMode="External"/><Relationship Id="rId495" Type="http://schemas.openxmlformats.org/officeDocument/2006/relationships/hyperlink" Target="https://www.rizaldos.com/tdah-en-adultos/" TargetMode="External"/><Relationship Id="rId252" Type="http://schemas.openxmlformats.org/officeDocument/2006/relationships/hyperlink" Target="https://youtu.be/4_fPU97rNRU" TargetMode="External"/><Relationship Id="rId494" Type="http://schemas.openxmlformats.org/officeDocument/2006/relationships/hyperlink" Target="https://pbs.twimg.com/profile_banners/432322234/1706009030" TargetMode="External"/><Relationship Id="rId251" Type="http://schemas.openxmlformats.org/officeDocument/2006/relationships/hyperlink" Target="https://pbs.twimg.com/profile_banners/766001876735262720/1714452764" TargetMode="External"/><Relationship Id="rId493" Type="http://schemas.openxmlformats.org/officeDocument/2006/relationships/hyperlink" Target="https://pbs.twimg.com/profile_images/1407082152475430912/5J-pMRPv_normal.jpg" TargetMode="External"/><Relationship Id="rId250" Type="http://schemas.openxmlformats.org/officeDocument/2006/relationships/hyperlink" Target="https://pbs.twimg.com/profile_images/1988031673984753664/Eh90CswQ_normal.jpg" TargetMode="External"/><Relationship Id="rId492" Type="http://schemas.openxmlformats.org/officeDocument/2006/relationships/hyperlink" Target="https://x.com/MRizaldos/status/1943334892642697618" TargetMode="External"/><Relationship Id="rId257" Type="http://schemas.openxmlformats.org/officeDocument/2006/relationships/hyperlink" Target="https://pbs.twimg.com/profile_banners/104233369/1699840492" TargetMode="External"/><Relationship Id="rId499" Type="http://schemas.openxmlformats.org/officeDocument/2006/relationships/hyperlink" Target="https://x.com/LuisaVrod/status/1988480483806560409" TargetMode="External"/><Relationship Id="rId256" Type="http://schemas.openxmlformats.org/officeDocument/2006/relationships/hyperlink" Target="https://pbs.twimg.com/profile_images/1125656633/esquizofrenia_normal.jpg" TargetMode="External"/><Relationship Id="rId498" Type="http://schemas.openxmlformats.org/officeDocument/2006/relationships/hyperlink" Target="https://pbs.twimg.com/profile_banners/1450218220812750856/1731434473" TargetMode="External"/><Relationship Id="rId255" Type="http://schemas.openxmlformats.org/officeDocument/2006/relationships/hyperlink" Target="https://x.com/psiquiatria_mty/status/1912729628113875317" TargetMode="External"/><Relationship Id="rId497" Type="http://schemas.openxmlformats.org/officeDocument/2006/relationships/hyperlink" Target="https://pbs.twimg.com/profile_images/1900726886306557952/VZpOVLs9_normal.jpg" TargetMode="External"/><Relationship Id="rId254" Type="http://schemas.openxmlformats.org/officeDocument/2006/relationships/hyperlink" Target="https://video.twimg.com/ext_tw_video/1874958292155314176/pu/vid/avc1/1280x720/YnXFOOcH7NvrIfM7.mp4?tag=12" TargetMode="External"/><Relationship Id="rId496" Type="http://schemas.openxmlformats.org/officeDocument/2006/relationships/hyperlink" Target="https://x.com/Cuatxaras/status/1927090262347587837" TargetMode="External"/><Relationship Id="rId293" Type="http://schemas.openxmlformats.org/officeDocument/2006/relationships/hyperlink" Target="https://video.twimg.com/amplify_video/1954517147935203328/vid/avc1/1920x1088/-GXm0_4xs0TOulnQ.mp4?tag=21" TargetMode="External"/><Relationship Id="rId292" Type="http://schemas.openxmlformats.org/officeDocument/2006/relationships/hyperlink" Target="https://pbs.twimg.com/amplify_video_thumb/1954517147935203328/img/DFOjQwBaBEmRwIRd.jpg" TargetMode="External"/><Relationship Id="rId291" Type="http://schemas.openxmlformats.org/officeDocument/2006/relationships/hyperlink" Target="https://pbs.twimg.com/profile_banners/2825615947/1674793295" TargetMode="External"/><Relationship Id="rId290" Type="http://schemas.openxmlformats.org/officeDocument/2006/relationships/hyperlink" Target="https://pbs.twimg.com/profile_images/1988347861507952640/MmBWSSun_normal.jpg" TargetMode="External"/><Relationship Id="rId286" Type="http://schemas.openxmlformats.org/officeDocument/2006/relationships/hyperlink" Target="https://pbs.twimg.com/profile_images/1874528523727056896/d6ww0ylA_normal.jpg" TargetMode="External"/><Relationship Id="rId285" Type="http://schemas.openxmlformats.org/officeDocument/2006/relationships/hyperlink" Target="https://x.com/giputxilandia/status/1891881146377462157" TargetMode="External"/><Relationship Id="rId284" Type="http://schemas.openxmlformats.org/officeDocument/2006/relationships/hyperlink" Target="https://pbs.twimg.com/profile_banners/1354149860325421059/1732025319" TargetMode="External"/><Relationship Id="rId283" Type="http://schemas.openxmlformats.org/officeDocument/2006/relationships/hyperlink" Target="https://pbs.twimg.com/profile_images/1766574435564142592/LdNTKyUe_normal.jpg" TargetMode="External"/><Relationship Id="rId289" Type="http://schemas.openxmlformats.org/officeDocument/2006/relationships/hyperlink" Target="https://x.com/MauricioLeija/status/1954517963807060217" TargetMode="External"/><Relationship Id="rId288" Type="http://schemas.openxmlformats.org/officeDocument/2006/relationships/hyperlink" Target="https://pbs.twimg.com/media/GkFP4E5WgAAGIif.jpg" TargetMode="External"/><Relationship Id="rId287" Type="http://schemas.openxmlformats.org/officeDocument/2006/relationships/hyperlink" Target="https://pbs.twimg.com/profile_banners/1874527572618313728/1749400153" TargetMode="External"/><Relationship Id="rId282" Type="http://schemas.openxmlformats.org/officeDocument/2006/relationships/hyperlink" Target="https://x.com/rainwellsoon/status/1910018750553677841" TargetMode="External"/><Relationship Id="rId281" Type="http://schemas.openxmlformats.org/officeDocument/2006/relationships/hyperlink" Target="https://video.twimg.com/amplify_video/1930120826981888000/vid/avc1/1080x1920/K3Iwpp-wZlwZoqmu.mp4?tag=21" TargetMode="External"/><Relationship Id="rId280" Type="http://schemas.openxmlformats.org/officeDocument/2006/relationships/hyperlink" Target="https://pbs.twimg.com/amplify_video_thumb/1930120826981888000/img/EzTCU5JBkPehyjTl.jpg" TargetMode="External"/><Relationship Id="rId275" Type="http://schemas.openxmlformats.org/officeDocument/2006/relationships/hyperlink" Target="https://pbs.twimg.com/profile_images/1856092046043299840/4aD1eKyh_normal.jpg" TargetMode="External"/><Relationship Id="rId274" Type="http://schemas.openxmlformats.org/officeDocument/2006/relationships/hyperlink" Target="https://x.com/DrSylveonPsyq/status/1595093661842550784" TargetMode="External"/><Relationship Id="rId273" Type="http://schemas.openxmlformats.org/officeDocument/2006/relationships/hyperlink" Target="https://youtu.be/27Iu9mDJpO4?si=utNmOi9O41JsRRhv" TargetMode="External"/><Relationship Id="rId272" Type="http://schemas.openxmlformats.org/officeDocument/2006/relationships/hyperlink" Target="https://pbs.twimg.com/profile_banners/2825615947/1674793295" TargetMode="External"/><Relationship Id="rId279" Type="http://schemas.openxmlformats.org/officeDocument/2006/relationships/hyperlink" Target="https://pbs.twimg.com/profile_banners/2825615947/1674793295" TargetMode="External"/><Relationship Id="rId278" Type="http://schemas.openxmlformats.org/officeDocument/2006/relationships/hyperlink" Target="https://pbs.twimg.com/profile_images/1988347861507952640/MmBWSSun_normal.jpg" TargetMode="External"/><Relationship Id="rId277" Type="http://schemas.openxmlformats.org/officeDocument/2006/relationships/hyperlink" Target="https://x.com/MauricioLeija/status/1930122161517121711" TargetMode="External"/><Relationship Id="rId276" Type="http://schemas.openxmlformats.org/officeDocument/2006/relationships/hyperlink" Target="https://pbs.twimg.com/profile_banners/733619018897063936/1717635158" TargetMode="External"/><Relationship Id="rId907" Type="http://schemas.openxmlformats.org/officeDocument/2006/relationships/hyperlink" Target="https://pbs.twimg.com/profile_banners/1174138773023657985/1591234301" TargetMode="External"/><Relationship Id="rId906" Type="http://schemas.openxmlformats.org/officeDocument/2006/relationships/hyperlink" Target="https://pbs.twimg.com/profile_images/1377529312304373766/DezBVjOe_normal.jpg" TargetMode="External"/><Relationship Id="rId905" Type="http://schemas.openxmlformats.org/officeDocument/2006/relationships/hyperlink" Target="https://x.com/TriboTDAH/status/1557935816198033409" TargetMode="External"/><Relationship Id="rId904" Type="http://schemas.openxmlformats.org/officeDocument/2006/relationships/hyperlink" Target="https://pbs.twimg.com/ext_tw_video_thumb/1987951389675343873/pu/img/8wozO4jmbf_z6v1B.jpg,https://pbs.twimg.com/ext_tw_video_thumb/1987951480083460096/pu/img/9HWCoUmgOMA7S0Yk.jpg" TargetMode="External"/><Relationship Id="rId909" Type="http://schemas.openxmlformats.org/officeDocument/2006/relationships/hyperlink" Target="https://pbs.twimg.com/profile_images/1854600278659514368/w18_Wp0Q_normal.jpg" TargetMode="External"/><Relationship Id="rId908" Type="http://schemas.openxmlformats.org/officeDocument/2006/relationships/hyperlink" Target="https://x.com/srthiagomoraes/status/507478385648758784" TargetMode="External"/><Relationship Id="rId903" Type="http://schemas.openxmlformats.org/officeDocument/2006/relationships/hyperlink" Target="https://pbs.twimg.com/profile_banners/831677878530109441/1759227100" TargetMode="External"/><Relationship Id="rId902" Type="http://schemas.openxmlformats.org/officeDocument/2006/relationships/hyperlink" Target="https://pbs.twimg.com/profile_images/1969244689694855168/LVscbm5s_normal.jpg" TargetMode="External"/><Relationship Id="rId901" Type="http://schemas.openxmlformats.org/officeDocument/2006/relationships/hyperlink" Target="https://x.com/defgustd/status/1988024578556244042" TargetMode="External"/><Relationship Id="rId900" Type="http://schemas.openxmlformats.org/officeDocument/2006/relationships/hyperlink" Target="https://pbs.twimg.com/profile_banners/154753595/1567892919" TargetMode="External"/><Relationship Id="rId929" Type="http://schemas.openxmlformats.org/officeDocument/2006/relationships/hyperlink" Target="https://x.com/THmonnteiro/status/1448070403918807046" TargetMode="External"/><Relationship Id="rId928" Type="http://schemas.openxmlformats.org/officeDocument/2006/relationships/hyperlink" Target="https://pbs.twimg.com/profile_banners/1174138773023657985/1591234301" TargetMode="External"/><Relationship Id="rId927" Type="http://schemas.openxmlformats.org/officeDocument/2006/relationships/hyperlink" Target="https://pbs.twimg.com/profile_images/1377529312304373766/DezBVjOe_normal.jpg" TargetMode="External"/><Relationship Id="rId926" Type="http://schemas.openxmlformats.org/officeDocument/2006/relationships/hyperlink" Target="https://x.com/TriboTDAH/status/1354603035104841730" TargetMode="External"/><Relationship Id="rId921" Type="http://schemas.openxmlformats.org/officeDocument/2006/relationships/hyperlink" Target="https://pbs.twimg.com/profile_images/1962524049155756033/I-slbMrx_normal.jpg" TargetMode="External"/><Relationship Id="rId920" Type="http://schemas.openxmlformats.org/officeDocument/2006/relationships/hyperlink" Target="https://x.com/manucaralho_/status/1974672399036727526" TargetMode="External"/><Relationship Id="rId925" Type="http://schemas.openxmlformats.org/officeDocument/2006/relationships/hyperlink" Target="https://pbs.twimg.com/profile_banners/1174138773023657985/1591234301" TargetMode="External"/><Relationship Id="rId924" Type="http://schemas.openxmlformats.org/officeDocument/2006/relationships/hyperlink" Target="https://pbs.twimg.com/profile_images/1377529312304373766/DezBVjOe_normal.jpg" TargetMode="External"/><Relationship Id="rId923" Type="http://schemas.openxmlformats.org/officeDocument/2006/relationships/hyperlink" Target="https://x.com/TriboTDAH/status/1489297628508692480" TargetMode="External"/><Relationship Id="rId922" Type="http://schemas.openxmlformats.org/officeDocument/2006/relationships/hyperlink" Target="https://pbs.twimg.com/profile_banners/1656851066825191424/1698518585" TargetMode="External"/><Relationship Id="rId918" Type="http://schemas.openxmlformats.org/officeDocument/2006/relationships/hyperlink" Target="https://pbs.twimg.com/profile_images/1972470692818935810/9F2bOG40_normal.jpg" TargetMode="External"/><Relationship Id="rId917" Type="http://schemas.openxmlformats.org/officeDocument/2006/relationships/hyperlink" Target="https://x.com/SoyLaAboguapa/status/1986852867592868124" TargetMode="External"/><Relationship Id="rId916" Type="http://schemas.openxmlformats.org/officeDocument/2006/relationships/hyperlink" Target="https://pbs.twimg.com/profile_banners/29916336/1563994935" TargetMode="External"/><Relationship Id="rId915" Type="http://schemas.openxmlformats.org/officeDocument/2006/relationships/hyperlink" Target="https://pbs.twimg.com/profile_images/1987588956939010048/Lyo4OxYu_normal.jpg" TargetMode="External"/><Relationship Id="rId919" Type="http://schemas.openxmlformats.org/officeDocument/2006/relationships/hyperlink" Target="https://pbs.twimg.com/profile_banners/56418466/1703185458" TargetMode="External"/><Relationship Id="rId910" Type="http://schemas.openxmlformats.org/officeDocument/2006/relationships/hyperlink" Target="https://pbs.twimg.com/profile_banners/94573648/1716040120" TargetMode="External"/><Relationship Id="rId914" Type="http://schemas.openxmlformats.org/officeDocument/2006/relationships/hyperlink" Target="https://x.com/kindofsadd/status/1986889164365963407" TargetMode="External"/><Relationship Id="rId913" Type="http://schemas.openxmlformats.org/officeDocument/2006/relationships/hyperlink" Target="https://pbs.twimg.com/profile_banners/1174138773023657985/1591234301" TargetMode="External"/><Relationship Id="rId912" Type="http://schemas.openxmlformats.org/officeDocument/2006/relationships/hyperlink" Target="https://pbs.twimg.com/profile_images/1377529312304373766/DezBVjOe_normal.jpg" TargetMode="External"/><Relationship Id="rId911" Type="http://schemas.openxmlformats.org/officeDocument/2006/relationships/hyperlink" Target="https://x.com/TriboTDAH/status/1437448515676950530" TargetMode="External"/><Relationship Id="rId629" Type="http://schemas.openxmlformats.org/officeDocument/2006/relationships/hyperlink" Target="https://pbs.twimg.com/profile_banners/220106733/1757090234" TargetMode="External"/><Relationship Id="rId624" Type="http://schemas.openxmlformats.org/officeDocument/2006/relationships/hyperlink" Target="https://x.com/exoamour/status/1517265224402980864" TargetMode="External"/><Relationship Id="rId866" Type="http://schemas.openxmlformats.org/officeDocument/2006/relationships/hyperlink" Target="https://x.com/thiagfvs/status/1416938137364881408" TargetMode="External"/><Relationship Id="rId623" Type="http://schemas.openxmlformats.org/officeDocument/2006/relationships/hyperlink" Target="https://pbs.twimg.com/profile_banners/1174138773023657985/1591234301" TargetMode="External"/><Relationship Id="rId865" Type="http://schemas.openxmlformats.org/officeDocument/2006/relationships/hyperlink" Target="https://pbs.twimg.com/profile_banners/778601476587302912/1757030592" TargetMode="External"/><Relationship Id="rId622" Type="http://schemas.openxmlformats.org/officeDocument/2006/relationships/hyperlink" Target="https://pbs.twimg.com/profile_images/1377529312304373766/DezBVjOe_normal.jpg" TargetMode="External"/><Relationship Id="rId864" Type="http://schemas.openxmlformats.org/officeDocument/2006/relationships/hyperlink" Target="https://pbs.twimg.com/profile_images/1982281217761308672/rN0iASGA_normal.jpg" TargetMode="External"/><Relationship Id="rId621" Type="http://schemas.openxmlformats.org/officeDocument/2006/relationships/hyperlink" Target="https://x.com/TriboTDAH/status/1437448506592071681" TargetMode="External"/><Relationship Id="rId863" Type="http://schemas.openxmlformats.org/officeDocument/2006/relationships/hyperlink" Target="https://x.com/tatianotzin/status/1274905933181849600" TargetMode="External"/><Relationship Id="rId628" Type="http://schemas.openxmlformats.org/officeDocument/2006/relationships/hyperlink" Target="https://pbs.twimg.com/profile_images/1964005246570528768/v00RfbRW_normal.jpg" TargetMode="External"/><Relationship Id="rId627" Type="http://schemas.openxmlformats.org/officeDocument/2006/relationships/hyperlink" Target="https://x.com/noadiateixeira/status/1930326354152522125" TargetMode="External"/><Relationship Id="rId869" Type="http://schemas.openxmlformats.org/officeDocument/2006/relationships/hyperlink" Target="https://x.com/TriboTDAH/status/1471978913731592192" TargetMode="External"/><Relationship Id="rId626" Type="http://schemas.openxmlformats.org/officeDocument/2006/relationships/hyperlink" Target="https://pbs.twimg.com/profile_banners/1037140201917898754/1750353855" TargetMode="External"/><Relationship Id="rId868" Type="http://schemas.openxmlformats.org/officeDocument/2006/relationships/hyperlink" Target="https://pbs.twimg.com/profile_banners/906953404458692609/1754432426" TargetMode="External"/><Relationship Id="rId625" Type="http://schemas.openxmlformats.org/officeDocument/2006/relationships/hyperlink" Target="https://pbs.twimg.com/profile_images/1935750481831145472/OWFIFMF__normal.jpg" TargetMode="External"/><Relationship Id="rId867" Type="http://schemas.openxmlformats.org/officeDocument/2006/relationships/hyperlink" Target="https://pbs.twimg.com/profile_images/1980812429157175296/uwerCU_s_normal.jpg" TargetMode="External"/><Relationship Id="rId620" Type="http://schemas.openxmlformats.org/officeDocument/2006/relationships/hyperlink" Target="https://pbs.twimg.com/profile_banners/733619018897063936/1717635158" TargetMode="External"/><Relationship Id="rId862" Type="http://schemas.openxmlformats.org/officeDocument/2006/relationships/hyperlink" Target="https://pbs.twimg.com/media/G1d9mYIaoAYKusm.jpg" TargetMode="External"/><Relationship Id="rId861" Type="http://schemas.openxmlformats.org/officeDocument/2006/relationships/hyperlink" Target="http://ebooksharez.info/x/libro/123788/1360" TargetMode="External"/><Relationship Id="rId860" Type="http://schemas.openxmlformats.org/officeDocument/2006/relationships/hyperlink" Target="https://pbs.twimg.com/profile_images/1787763812550242304/rNeoqV9U_normal.jpg" TargetMode="External"/><Relationship Id="rId1202" Type="http://schemas.openxmlformats.org/officeDocument/2006/relationships/hyperlink" Target="https://www.nuevatribuna.es/articulo/sociedad/tdah-en-el-adulto/20251024171202243560.html" TargetMode="External"/><Relationship Id="rId1203" Type="http://schemas.openxmlformats.org/officeDocument/2006/relationships/hyperlink" Target="https://x.com/neuroclass1/status/1987890488951648642" TargetMode="External"/><Relationship Id="rId1204" Type="http://schemas.openxmlformats.org/officeDocument/2006/relationships/hyperlink" Target="https://pbs.twimg.com/profile_images/1183101531261997058/iP253fmT_normal.jpg" TargetMode="External"/><Relationship Id="rId1205" Type="http://schemas.openxmlformats.org/officeDocument/2006/relationships/hyperlink" Target="https://pbs.twimg.com/profile_banners/1106885136048668672/1570908447" TargetMode="External"/><Relationship Id="rId1206" Type="http://schemas.openxmlformats.org/officeDocument/2006/relationships/hyperlink" Target="https://neuro-class.com/redes-sociales-y-tdah-en-adultos-impacto-del-contenido-digital/" TargetMode="External"/><Relationship Id="rId1207" Type="http://schemas.openxmlformats.org/officeDocument/2006/relationships/drawing" Target="../drawings/drawing1.xml"/><Relationship Id="rId619" Type="http://schemas.openxmlformats.org/officeDocument/2006/relationships/hyperlink" Target="https://pbs.twimg.com/profile_images/1856092046043299840/4aD1eKyh_normal.jpg" TargetMode="External"/><Relationship Id="rId618" Type="http://schemas.openxmlformats.org/officeDocument/2006/relationships/hyperlink" Target="https://x.com/DrSylveonPsyq/status/1595097255379599360" TargetMode="External"/><Relationship Id="rId613" Type="http://schemas.openxmlformats.org/officeDocument/2006/relationships/hyperlink" Target="https://pbs.twimg.com/profile_images/1614161484937940993/0Vgzfaik_normal.jpg" TargetMode="External"/><Relationship Id="rId855" Type="http://schemas.openxmlformats.org/officeDocument/2006/relationships/hyperlink" Target="https://x.com/viadescapetv/status/1977958391969415301" TargetMode="External"/><Relationship Id="rId612" Type="http://schemas.openxmlformats.org/officeDocument/2006/relationships/hyperlink" Target="https://x.com/namjoonloiro_/status/1900615089335538065" TargetMode="External"/><Relationship Id="rId854" Type="http://schemas.openxmlformats.org/officeDocument/2006/relationships/hyperlink" Target="https://pbs.twimg.com/profile_banners/1174138773023657985/1591234301" TargetMode="External"/><Relationship Id="rId611" Type="http://schemas.openxmlformats.org/officeDocument/2006/relationships/hyperlink" Target="https://pbs.twimg.com/profile_banners/1982702031904419840/1761548399" TargetMode="External"/><Relationship Id="rId853" Type="http://schemas.openxmlformats.org/officeDocument/2006/relationships/hyperlink" Target="https://pbs.twimg.com/profile_images/1377529312304373766/DezBVjOe_normal.jpg" TargetMode="External"/><Relationship Id="rId610" Type="http://schemas.openxmlformats.org/officeDocument/2006/relationships/hyperlink" Target="https://pbs.twimg.com/profile_images/1988486491513688064/t7qEOFK1_normal.png" TargetMode="External"/><Relationship Id="rId852" Type="http://schemas.openxmlformats.org/officeDocument/2006/relationships/hyperlink" Target="https://x.com/TriboTDAH/status/1461035694197981195" TargetMode="External"/><Relationship Id="rId617" Type="http://schemas.openxmlformats.org/officeDocument/2006/relationships/hyperlink" Target="https://pbs.twimg.com/profile_banners/1431054986948059139/1737121755" TargetMode="External"/><Relationship Id="rId859" Type="http://schemas.openxmlformats.org/officeDocument/2006/relationships/hyperlink" Target="https://x.com/RussellTor40786/status/1970181565071376777" TargetMode="External"/><Relationship Id="rId616" Type="http://schemas.openxmlformats.org/officeDocument/2006/relationships/hyperlink" Target="https://pbs.twimg.com/profile_images/1954990443780788225/_qX3NSvY_normal.jpg" TargetMode="External"/><Relationship Id="rId858" Type="http://schemas.openxmlformats.org/officeDocument/2006/relationships/hyperlink" Target="https://www.psyciencia.com/el-tdah-adulto-por-que-ser-mujer-implica-un-mayor-impacto/" TargetMode="External"/><Relationship Id="rId615" Type="http://schemas.openxmlformats.org/officeDocument/2006/relationships/hyperlink" Target="https://x.com/2023_neto/status/1986523497300967460" TargetMode="External"/><Relationship Id="rId857" Type="http://schemas.openxmlformats.org/officeDocument/2006/relationships/hyperlink" Target="https://pbs.twimg.com/profile_banners/141214180/1583003072" TargetMode="External"/><Relationship Id="rId614" Type="http://schemas.openxmlformats.org/officeDocument/2006/relationships/hyperlink" Target="https://pbs.twimg.com/profile_banners/859878533769949187/1653677823" TargetMode="External"/><Relationship Id="rId856" Type="http://schemas.openxmlformats.org/officeDocument/2006/relationships/hyperlink" Target="https://pbs.twimg.com/profile_images/1232378473651539968/O1Ihu2EC_normal.jpg" TargetMode="External"/><Relationship Id="rId851" Type="http://schemas.openxmlformats.org/officeDocument/2006/relationships/hyperlink" Target="https://pbs.twimg.com/media/G4Zou42XQAAcqvr.jpg" TargetMode="External"/><Relationship Id="rId850" Type="http://schemas.openxmlformats.org/officeDocument/2006/relationships/hyperlink" Target="https://acortar.link/ohPnPh" TargetMode="External"/><Relationship Id="rId1200" Type="http://schemas.openxmlformats.org/officeDocument/2006/relationships/hyperlink" Target="https://pbs.twimg.com/profile_images/694091082410377216/HuUCM-I-_normal.jpg" TargetMode="External"/><Relationship Id="rId1201" Type="http://schemas.openxmlformats.org/officeDocument/2006/relationships/hyperlink" Target="https://pbs.twimg.com/profile_banners/4868557389/1733064306" TargetMode="External"/><Relationship Id="rId409" Type="http://schemas.openxmlformats.org/officeDocument/2006/relationships/hyperlink" Target="https://x.com/enegreci/status/1988581409146261579" TargetMode="External"/><Relationship Id="rId404" Type="http://schemas.openxmlformats.org/officeDocument/2006/relationships/hyperlink" Target="https://pbs.twimg.com/amplify_video_thumb/1943390030434594817/img/gt8BKRuWhewOx3hg.jpg" TargetMode="External"/><Relationship Id="rId646" Type="http://schemas.openxmlformats.org/officeDocument/2006/relationships/hyperlink" Target="https://pbs.twimg.com/profile_banners/2825615947/1674793295" TargetMode="External"/><Relationship Id="rId888" Type="http://schemas.openxmlformats.org/officeDocument/2006/relationships/hyperlink" Target="https://pbs.twimg.com/profile_banners/229508070/1675017781" TargetMode="External"/><Relationship Id="rId403" Type="http://schemas.openxmlformats.org/officeDocument/2006/relationships/hyperlink" Target="https://pbs.twimg.com/profile_banners/2825615947/1674793295" TargetMode="External"/><Relationship Id="rId645" Type="http://schemas.openxmlformats.org/officeDocument/2006/relationships/hyperlink" Target="https://pbs.twimg.com/profile_images/1988347861507952640/MmBWSSun_normal.jpg" TargetMode="External"/><Relationship Id="rId887" Type="http://schemas.openxmlformats.org/officeDocument/2006/relationships/hyperlink" Target="https://pbs.twimg.com/profile_images/1983190347275440128/rIsBvY3Q_normal.jpg" TargetMode="External"/><Relationship Id="rId402" Type="http://schemas.openxmlformats.org/officeDocument/2006/relationships/hyperlink" Target="https://pbs.twimg.com/profile_images/1988347861507952640/MmBWSSun_normal.jpg" TargetMode="External"/><Relationship Id="rId644" Type="http://schemas.openxmlformats.org/officeDocument/2006/relationships/hyperlink" Target="https://x.com/MauricioLeija/status/1938451902527611187" TargetMode="External"/><Relationship Id="rId886" Type="http://schemas.openxmlformats.org/officeDocument/2006/relationships/hyperlink" Target="https://x.com/triz3ratops/status/1756767111416848528" TargetMode="External"/><Relationship Id="rId401" Type="http://schemas.openxmlformats.org/officeDocument/2006/relationships/hyperlink" Target="https://x.com/MauricioLeija/status/1943390327462572304" TargetMode="External"/><Relationship Id="rId643" Type="http://schemas.openxmlformats.org/officeDocument/2006/relationships/hyperlink" Target="https://pbs.twimg.com/profile_banners/1373613384/1749049834" TargetMode="External"/><Relationship Id="rId885" Type="http://schemas.openxmlformats.org/officeDocument/2006/relationships/hyperlink" Target="https://pbs.twimg.com/media/FZLNwm0XEAISWuS.jpg,https://pbs.twimg.com/media/FZLNwm1WIAIMwlg.jpg,https://pbs.twimg.com/media/FZLNwmxXwAMO9Yn.jpg,https://pbs.twimg.com/media/FZLNwm0XkAUtUEt.jpg" TargetMode="External"/><Relationship Id="rId408" Type="http://schemas.openxmlformats.org/officeDocument/2006/relationships/hyperlink" Target="https://pbs.twimg.com/profile_banners/96588996/1721510766" TargetMode="External"/><Relationship Id="rId407" Type="http://schemas.openxmlformats.org/officeDocument/2006/relationships/hyperlink" Target="https://pbs.twimg.com/profile_images/1814773754444075008/YIt1dlbI_normal.jpg" TargetMode="External"/><Relationship Id="rId649" Type="http://schemas.openxmlformats.org/officeDocument/2006/relationships/hyperlink" Target="https://pbs.twimg.com/profile_images/1934358117594050560/2QQW-Lsn_normal.jpg" TargetMode="External"/><Relationship Id="rId406" Type="http://schemas.openxmlformats.org/officeDocument/2006/relationships/hyperlink" Target="https://x.com/AleSomnologa/status/1908357906585837806" TargetMode="External"/><Relationship Id="rId648" Type="http://schemas.openxmlformats.org/officeDocument/2006/relationships/hyperlink" Target="https://x.com/_thiagooc/status/1290834351895318528" TargetMode="External"/><Relationship Id="rId405" Type="http://schemas.openxmlformats.org/officeDocument/2006/relationships/hyperlink" Target="https://video.twimg.com/amplify_video/1943390030434594817/vid/avc1/1280x720/dwGpb8LttaL1buRB.mp4?tag=14" TargetMode="External"/><Relationship Id="rId647" Type="http://schemas.openxmlformats.org/officeDocument/2006/relationships/hyperlink" Target="https://pbs.twimg.com/media/GubDuqUWIAAebvg.jpg" TargetMode="External"/><Relationship Id="rId889" Type="http://schemas.openxmlformats.org/officeDocument/2006/relationships/hyperlink" Target="https://x.com/ThiagoRodBar/status/1815752856932110787" TargetMode="External"/><Relationship Id="rId880" Type="http://schemas.openxmlformats.org/officeDocument/2006/relationships/hyperlink" Target="https://pbs.twimg.com/profile_images/1377529312304373766/DezBVjOe_normal.jpg" TargetMode="External"/><Relationship Id="rId400" Type="http://schemas.openxmlformats.org/officeDocument/2006/relationships/hyperlink" Target="https://video.twimg.com/amplify_video/1943396228181442560/vid/avc1/1280x720/PxYdMzdCbfXuTZTd.mp4?tag=14" TargetMode="External"/><Relationship Id="rId642" Type="http://schemas.openxmlformats.org/officeDocument/2006/relationships/hyperlink" Target="https://pbs.twimg.com/profile_images/1976960926499610624/zm3jSC5I_normal.jpg" TargetMode="External"/><Relationship Id="rId884" Type="http://schemas.openxmlformats.org/officeDocument/2006/relationships/hyperlink" Target="https://pbs.twimg.com/profile_banners/1174138773023657985/1591234301" TargetMode="External"/><Relationship Id="rId641" Type="http://schemas.openxmlformats.org/officeDocument/2006/relationships/hyperlink" Target="https://x.com/estrela_da_mia/status/1988365754459451738" TargetMode="External"/><Relationship Id="rId883" Type="http://schemas.openxmlformats.org/officeDocument/2006/relationships/hyperlink" Target="https://pbs.twimg.com/profile_images/1377529312304373766/DezBVjOe_normal.jpg" TargetMode="External"/><Relationship Id="rId640" Type="http://schemas.openxmlformats.org/officeDocument/2006/relationships/hyperlink" Target="https://pbs.twimg.com/profile_banners/1870236613688848384/1751390541" TargetMode="External"/><Relationship Id="rId882" Type="http://schemas.openxmlformats.org/officeDocument/2006/relationships/hyperlink" Target="https://x.com/TriboTDAH/status/1554531061715161088" TargetMode="External"/><Relationship Id="rId881" Type="http://schemas.openxmlformats.org/officeDocument/2006/relationships/hyperlink" Target="https://pbs.twimg.com/profile_banners/1174138773023657985/1591234301" TargetMode="External"/><Relationship Id="rId635" Type="http://schemas.openxmlformats.org/officeDocument/2006/relationships/hyperlink" Target="https://x.com/PsicoterapiaMSC/status/1965073650824163725" TargetMode="External"/><Relationship Id="rId877" Type="http://schemas.openxmlformats.org/officeDocument/2006/relationships/hyperlink" Target="https://pbs.twimg.com/profile_banners/755692362890903552/1725258866" TargetMode="External"/><Relationship Id="rId634" Type="http://schemas.openxmlformats.org/officeDocument/2006/relationships/hyperlink" Target="https://pbs.twimg.com/profile_banners/1071603754565296128/1719633168" TargetMode="External"/><Relationship Id="rId876" Type="http://schemas.openxmlformats.org/officeDocument/2006/relationships/hyperlink" Target="https://pbs.twimg.com/profile_images/1710312105088335872/Q9lwGVLI_normal.jpg" TargetMode="External"/><Relationship Id="rId633" Type="http://schemas.openxmlformats.org/officeDocument/2006/relationships/hyperlink" Target="https://pbs.twimg.com/profile_images/1877226861266083840/o5T4sz40_normal.jpg" TargetMode="External"/><Relationship Id="rId875" Type="http://schemas.openxmlformats.org/officeDocument/2006/relationships/hyperlink" Target="https://x.com/LaTardeCOPE/status/1970517428099506408" TargetMode="External"/><Relationship Id="rId632" Type="http://schemas.openxmlformats.org/officeDocument/2006/relationships/hyperlink" Target="https://x.com/Damiana37434384/status/1986753447107207195" TargetMode="External"/><Relationship Id="rId874" Type="http://schemas.openxmlformats.org/officeDocument/2006/relationships/hyperlink" Target="https://pbs.twimg.com/profile_banners/1174138773023657985/1591234301" TargetMode="External"/><Relationship Id="rId639" Type="http://schemas.openxmlformats.org/officeDocument/2006/relationships/hyperlink" Target="https://pbs.twimg.com/profile_images/1975743391523577856/gT-nF7-z_normal.jpg" TargetMode="External"/><Relationship Id="rId638" Type="http://schemas.openxmlformats.org/officeDocument/2006/relationships/hyperlink" Target="https://x.com/acetatodeetina/status/1987095803459215635" TargetMode="External"/><Relationship Id="rId637" Type="http://schemas.openxmlformats.org/officeDocument/2006/relationships/hyperlink" Target="https://pbs.twimg.com/profile_banners/603257566/1762136474" TargetMode="External"/><Relationship Id="rId879" Type="http://schemas.openxmlformats.org/officeDocument/2006/relationships/hyperlink" Target="https://x.com/TriboTDAH/status/1515122394217783303" TargetMode="External"/><Relationship Id="rId636" Type="http://schemas.openxmlformats.org/officeDocument/2006/relationships/hyperlink" Target="https://pbs.twimg.com/profile_images/1973189112141152256/Z0ArSqBM_normal.jpg" TargetMode="External"/><Relationship Id="rId878" Type="http://schemas.openxmlformats.org/officeDocument/2006/relationships/hyperlink" Target="https://ver.cope.es/gt2at8" TargetMode="External"/><Relationship Id="rId631" Type="http://schemas.openxmlformats.org/officeDocument/2006/relationships/hyperlink" Target="https://video.twimg.com/ext_tw_video/1930326150703652864/pu/vid/avc1/720x1280/YBQQS4OveeZV4wJ1.mp4?tag=12" TargetMode="External"/><Relationship Id="rId873" Type="http://schemas.openxmlformats.org/officeDocument/2006/relationships/hyperlink" Target="https://pbs.twimg.com/profile_images/1377529312304373766/DezBVjOe_normal.jpg" TargetMode="External"/><Relationship Id="rId630" Type="http://schemas.openxmlformats.org/officeDocument/2006/relationships/hyperlink" Target="https://pbs.twimg.com/ext_tw_video_thumb/1930326150703652864/pu/img/ChZUAeCACgWVUwlE.jpg" TargetMode="External"/><Relationship Id="rId872" Type="http://schemas.openxmlformats.org/officeDocument/2006/relationships/hyperlink" Target="https://x.com/TriboTDAH/status/1451542157643423745" TargetMode="External"/><Relationship Id="rId871" Type="http://schemas.openxmlformats.org/officeDocument/2006/relationships/hyperlink" Target="https://pbs.twimg.com/profile_banners/1174138773023657985/1591234301" TargetMode="External"/><Relationship Id="rId870" Type="http://schemas.openxmlformats.org/officeDocument/2006/relationships/hyperlink" Target="https://pbs.twimg.com/profile_images/1377529312304373766/DezBVjOe_normal.jpg" TargetMode="External"/><Relationship Id="rId829" Type="http://schemas.openxmlformats.org/officeDocument/2006/relationships/hyperlink" Target="https://pbs.twimg.com/ext_tw_video_thumb/1083201513390915584/pu/img/YhbDX5L18QqEkUrt.jpg" TargetMode="External"/><Relationship Id="rId828" Type="http://schemas.openxmlformats.org/officeDocument/2006/relationships/hyperlink" Target="https://pbs.twimg.com/profile_banners/4686145476/1639080376" TargetMode="External"/><Relationship Id="rId827" Type="http://schemas.openxmlformats.org/officeDocument/2006/relationships/hyperlink" Target="https://pbs.twimg.com/profile_images/1478829217706135552/B24Hni44_normal.jpg" TargetMode="External"/><Relationship Id="rId822" Type="http://schemas.openxmlformats.org/officeDocument/2006/relationships/hyperlink" Target="https://x.com/crepch/status/1975609753524121814" TargetMode="External"/><Relationship Id="rId821" Type="http://schemas.openxmlformats.org/officeDocument/2006/relationships/hyperlink" Target="https://video.twimg.com/amplify_video/1853111708740657152/vid/avc1/360x640/qr3W86uaeMzoFLEp.mp4?tag=14" TargetMode="External"/><Relationship Id="rId820" Type="http://schemas.openxmlformats.org/officeDocument/2006/relationships/hyperlink" Target="https://pbs.twimg.com/amplify_video_thumb/1853111708740657152/img/ktLEyhvQV5LlbpdM.jpg" TargetMode="External"/><Relationship Id="rId826" Type="http://schemas.openxmlformats.org/officeDocument/2006/relationships/hyperlink" Target="https://x.com/jhsprod/status/1084619177686716416" TargetMode="External"/><Relationship Id="rId825" Type="http://schemas.openxmlformats.org/officeDocument/2006/relationships/hyperlink" Target="https://pbs.twimg.com/media/G2rGmdGWQAADxJ9.jpg,https://pbs.twimg.com/media/G2rGmEoXQAAs2Xr.jpg,https://pbs.twimg.com/media/G2rGmHRXsAAmhWH.jpg,https://pbs.twimg.com/media/G2rGmWNXEAAwOUh.jpg" TargetMode="External"/><Relationship Id="rId824" Type="http://schemas.openxmlformats.org/officeDocument/2006/relationships/hyperlink" Target="https://pbs.twimg.com/profile_banners/944734585614716928/1747074694" TargetMode="External"/><Relationship Id="rId823" Type="http://schemas.openxmlformats.org/officeDocument/2006/relationships/hyperlink" Target="https://pbs.twimg.com/profile_images/1136061746895106049/G8TS_hD3_normal.jpg" TargetMode="External"/><Relationship Id="rId819" Type="http://schemas.openxmlformats.org/officeDocument/2006/relationships/hyperlink" Target="https://pbs.twimg.com/profile_banners/1373983841795334150/1623747925" TargetMode="External"/><Relationship Id="rId818" Type="http://schemas.openxmlformats.org/officeDocument/2006/relationships/hyperlink" Target="https://pbs.twimg.com/profile_images/1392439624748998660/vV7iBUlk_normal.jpg" TargetMode="External"/><Relationship Id="rId817" Type="http://schemas.openxmlformats.org/officeDocument/2006/relationships/hyperlink" Target="https://x.com/PropositoyVida/status/1853111734392803575" TargetMode="External"/><Relationship Id="rId816" Type="http://schemas.openxmlformats.org/officeDocument/2006/relationships/hyperlink" Target="https://pbs.twimg.com/media/FNCdkVMX0AIe5fD.jpg,https://pbs.twimg.com/media/FNCdklwWQAo1KX_.jpg" TargetMode="External"/><Relationship Id="rId811" Type="http://schemas.openxmlformats.org/officeDocument/2006/relationships/hyperlink" Target="https://pbs.twimg.com/profile_images/1790892373020430342/B39XlKeZ_normal.jpg" TargetMode="External"/><Relationship Id="rId810" Type="http://schemas.openxmlformats.org/officeDocument/2006/relationships/hyperlink" Target="https://x.com/falonoescuro/status/1499881081373433858" TargetMode="External"/><Relationship Id="rId815" Type="http://schemas.openxmlformats.org/officeDocument/2006/relationships/hyperlink" Target="https://pbs.twimg.com/profile_banners/804842384500592640/1748811964" TargetMode="External"/><Relationship Id="rId814" Type="http://schemas.openxmlformats.org/officeDocument/2006/relationships/hyperlink" Target="https://pbs.twimg.com/profile_images/1802738980753940482/-3WV0Sv5_normal.jpg" TargetMode="External"/><Relationship Id="rId813" Type="http://schemas.openxmlformats.org/officeDocument/2006/relationships/hyperlink" Target="https://x.com/yoonstluv/status/1499871930220003328" TargetMode="External"/><Relationship Id="rId812" Type="http://schemas.openxmlformats.org/officeDocument/2006/relationships/hyperlink" Target="https://pbs.twimg.com/profile_banners/1373774033267920897/1733967787" TargetMode="External"/><Relationship Id="rId609" Type="http://schemas.openxmlformats.org/officeDocument/2006/relationships/hyperlink" Target="https://x.com/4RRUNNER/status/1988468131950473486" TargetMode="External"/><Relationship Id="rId608" Type="http://schemas.openxmlformats.org/officeDocument/2006/relationships/hyperlink" Target="https://pbs.twimg.com/profile_banners/1772551377119543296/1711448685" TargetMode="External"/><Relationship Id="rId607" Type="http://schemas.openxmlformats.org/officeDocument/2006/relationships/hyperlink" Target="https://pbs.twimg.com/profile_images/1988383811193729024/xdvzTGgb_normal.jpg" TargetMode="External"/><Relationship Id="rId849" Type="http://schemas.openxmlformats.org/officeDocument/2006/relationships/hyperlink" Target="https://pbs.twimg.com/profile_banners/82608449/1715111412" TargetMode="External"/><Relationship Id="rId602" Type="http://schemas.openxmlformats.org/officeDocument/2006/relationships/hyperlink" Target="https://x.com/todateen/status/1360348534441140224" TargetMode="External"/><Relationship Id="rId844" Type="http://schemas.openxmlformats.org/officeDocument/2006/relationships/hyperlink" Target="https://pbs.twimg.com/profile_banners/1379941877219213312/1649768088" TargetMode="External"/><Relationship Id="rId601" Type="http://schemas.openxmlformats.org/officeDocument/2006/relationships/hyperlink" Target="https://video.twimg.com/amplify_video/1954510713600262145/vid/avc1/1920x1088/P_PrpLfs_7V4KMPl.mp4?tag=21" TargetMode="External"/><Relationship Id="rId843" Type="http://schemas.openxmlformats.org/officeDocument/2006/relationships/hyperlink" Target="https://pbs.twimg.com/profile_images/1555114006234337280/F-JQdflG_normal.jpg" TargetMode="External"/><Relationship Id="rId600" Type="http://schemas.openxmlformats.org/officeDocument/2006/relationships/hyperlink" Target="https://pbs.twimg.com/amplify_video_thumb/1954510713600262145/img/f61UCcaZr-79JgWH.jpg" TargetMode="External"/><Relationship Id="rId842" Type="http://schemas.openxmlformats.org/officeDocument/2006/relationships/hyperlink" Target="https://x.com/adrianabravist6/status/1898408603200934038" TargetMode="External"/><Relationship Id="rId841" Type="http://schemas.openxmlformats.org/officeDocument/2006/relationships/hyperlink" Target="https://pbs.twimg.com/profile_banners/1174138773023657985/1591234301" TargetMode="External"/><Relationship Id="rId606" Type="http://schemas.openxmlformats.org/officeDocument/2006/relationships/hyperlink" Target="https://x.com/BiazitaGomes/status/1914126164471226402" TargetMode="External"/><Relationship Id="rId848" Type="http://schemas.openxmlformats.org/officeDocument/2006/relationships/hyperlink" Target="https://pbs.twimg.com/profile_images/1787920497663201280/f5adixpO_normal.jpg" TargetMode="External"/><Relationship Id="rId605" Type="http://schemas.openxmlformats.org/officeDocument/2006/relationships/hyperlink" Target="https://todateen.uol.com.br/o-que-e-tdah-entenda-o-transtorno-visto-no-bbb-que-atinge-desde-criancas-a-adultos/" TargetMode="External"/><Relationship Id="rId847" Type="http://schemas.openxmlformats.org/officeDocument/2006/relationships/hyperlink" Target="https://x.com/DiarioPresente/status/1983614814682599537" TargetMode="External"/><Relationship Id="rId604" Type="http://schemas.openxmlformats.org/officeDocument/2006/relationships/hyperlink" Target="https://pbs.twimg.com/profile_banners/17347261/1709665457" TargetMode="External"/><Relationship Id="rId846" Type="http://schemas.openxmlformats.org/officeDocument/2006/relationships/hyperlink" Target="https://video.twimg.com/ext_tw_video/1898408590727061504/pu/vid/avc1/736x720/HsAHfXJkMIgcCLrn.mp4?tag=12" TargetMode="External"/><Relationship Id="rId603" Type="http://schemas.openxmlformats.org/officeDocument/2006/relationships/hyperlink" Target="https://pbs.twimg.com/profile_images/1981374355075416064/ixVRyoRB_normal.jpg" TargetMode="External"/><Relationship Id="rId845" Type="http://schemas.openxmlformats.org/officeDocument/2006/relationships/hyperlink" Target="https://pbs.twimg.com/ext_tw_video_thumb/1898408590727061504/pu/img/4A915FEEX73vpjve.jpg" TargetMode="External"/><Relationship Id="rId840" Type="http://schemas.openxmlformats.org/officeDocument/2006/relationships/hyperlink" Target="https://pbs.twimg.com/profile_images/1377529312304373766/DezBVjOe_normal.jpg" TargetMode="External"/><Relationship Id="rId839" Type="http://schemas.openxmlformats.org/officeDocument/2006/relationships/hyperlink" Target="https://x.com/TriboTDAH/status/1389191448013250561" TargetMode="External"/><Relationship Id="rId838" Type="http://schemas.openxmlformats.org/officeDocument/2006/relationships/hyperlink" Target="https://pbs.twimg.com/media/G1XVs93X0AAU_Kd.jpg,https://pbs.twimg.com/media/G1XUdvDXMAAqBoP.jpg,https://pbs.twimg.com/media/G1XVrZrXYAAzUud.jpg" TargetMode="External"/><Relationship Id="rId833" Type="http://schemas.openxmlformats.org/officeDocument/2006/relationships/hyperlink" Target="https://pbs.twimg.com/profile_banners/2613362535/1464658069" TargetMode="External"/><Relationship Id="rId832" Type="http://schemas.openxmlformats.org/officeDocument/2006/relationships/hyperlink" Target="https://pbs.twimg.com/profile_images/1346128851282309120/Ipweupj__normal.jpg" TargetMode="External"/><Relationship Id="rId831" Type="http://schemas.openxmlformats.org/officeDocument/2006/relationships/hyperlink" Target="https://x.com/nandoh/status/790262348888076288" TargetMode="External"/><Relationship Id="rId830" Type="http://schemas.openxmlformats.org/officeDocument/2006/relationships/hyperlink" Target="https://video.twimg.com/ext_tw_video/1083201513390915584/pu/vid/640x640/jGjpWxO8DVCASJsS.mp4?tag=8" TargetMode="External"/><Relationship Id="rId837" Type="http://schemas.openxmlformats.org/officeDocument/2006/relationships/hyperlink" Target="https://tdahvalles.org/%f0%9f%9a%b6%f0%9f%9a%b6%e2%99%80%ef%b8%8f2a-edicio-sabadell360-camina-pel-tdah/" TargetMode="External"/><Relationship Id="rId836" Type="http://schemas.openxmlformats.org/officeDocument/2006/relationships/hyperlink" Target="https://pbs.twimg.com/profile_banners/1326998840/1737196190" TargetMode="External"/><Relationship Id="rId835" Type="http://schemas.openxmlformats.org/officeDocument/2006/relationships/hyperlink" Target="https://pbs.twimg.com/profile_images/1880563923532873728/NAV97Jw9_normal.jpg" TargetMode="External"/><Relationship Id="rId834" Type="http://schemas.openxmlformats.org/officeDocument/2006/relationships/hyperlink" Target="https://x.com/TenemosTDAHSBD/status/1969715444287521091" TargetMode="External"/><Relationship Id="rId1059" Type="http://schemas.openxmlformats.org/officeDocument/2006/relationships/hyperlink" Target="https://pbs.twimg.com/profile_images/466500995346755584/Fyhu8cAd_normal.png" TargetMode="External"/><Relationship Id="rId228" Type="http://schemas.openxmlformats.org/officeDocument/2006/relationships/hyperlink" Target="https://pbs.twimg.com/profile_banners/1589704718820990976/1724499995" TargetMode="External"/><Relationship Id="rId227" Type="http://schemas.openxmlformats.org/officeDocument/2006/relationships/hyperlink" Target="https://pbs.twimg.com/profile_images/1830855310384287750/HyVGfXiG_normal.jpg" TargetMode="External"/><Relationship Id="rId469" Type="http://schemas.openxmlformats.org/officeDocument/2006/relationships/hyperlink" Target="https://pbs.twimg.com/profile_images/1488001152746676224/NwafY7v7_normal.jpg" TargetMode="External"/><Relationship Id="rId226" Type="http://schemas.openxmlformats.org/officeDocument/2006/relationships/hyperlink" Target="https://x.com/akillj0y/status/1917374321967694093" TargetMode="External"/><Relationship Id="rId468" Type="http://schemas.openxmlformats.org/officeDocument/2006/relationships/hyperlink" Target="https://x.com/zaydevalentinaz/status/1980676908464394715" TargetMode="External"/><Relationship Id="rId225" Type="http://schemas.openxmlformats.org/officeDocument/2006/relationships/hyperlink" Target="https://x.com/i/broadcasts/1eaKbWvdnbYGX" TargetMode="External"/><Relationship Id="rId467" Type="http://schemas.openxmlformats.org/officeDocument/2006/relationships/hyperlink" Target="https://pbs.twimg.com/profile_banners/1144048572/1709294236" TargetMode="External"/><Relationship Id="rId229" Type="http://schemas.openxmlformats.org/officeDocument/2006/relationships/hyperlink" Target="https://x.com/nabi_onandia/status/1974170843828924589" TargetMode="External"/><Relationship Id="rId1050" Type="http://schemas.openxmlformats.org/officeDocument/2006/relationships/hyperlink" Target="https://pbs.twimg.com/profile_banners/9706822/1636029051" TargetMode="External"/><Relationship Id="rId220" Type="http://schemas.openxmlformats.org/officeDocument/2006/relationships/hyperlink" Target="https://www.nuevatribuna.es/articulo/sociedad/tdah-en-el-adulto/20251024171202243560.html" TargetMode="External"/><Relationship Id="rId462" Type="http://schemas.openxmlformats.org/officeDocument/2006/relationships/hyperlink" Target="https://pbs.twimg.com/profile_images/1940389913045729280/bA5cKxHU_normal.jpg" TargetMode="External"/><Relationship Id="rId1051" Type="http://schemas.openxmlformats.org/officeDocument/2006/relationships/hyperlink" Target="https://ver.cope.es/gt2at2" TargetMode="External"/><Relationship Id="rId461" Type="http://schemas.openxmlformats.org/officeDocument/2006/relationships/hyperlink" Target="https://x.com/LabRubio/status/1923308023822348364" TargetMode="External"/><Relationship Id="rId1052" Type="http://schemas.openxmlformats.org/officeDocument/2006/relationships/hyperlink" Target="https://x.com/DrSylveonPsyq/status/1595095374083260416" TargetMode="External"/><Relationship Id="rId460" Type="http://schemas.openxmlformats.org/officeDocument/2006/relationships/hyperlink" Target="https://pbs.twimg.com/profile_banners/1877977224206307328/1762916193" TargetMode="External"/><Relationship Id="rId1053" Type="http://schemas.openxmlformats.org/officeDocument/2006/relationships/hyperlink" Target="https://pbs.twimg.com/profile_images/1856092046043299840/4aD1eKyh_normal.jpg" TargetMode="External"/><Relationship Id="rId1054" Type="http://schemas.openxmlformats.org/officeDocument/2006/relationships/hyperlink" Target="https://pbs.twimg.com/profile_banners/733619018897063936/1717635158" TargetMode="External"/><Relationship Id="rId224" Type="http://schemas.openxmlformats.org/officeDocument/2006/relationships/hyperlink" Target="https://pbs.twimg.com/profile_banners/2825615947/1674793295" TargetMode="External"/><Relationship Id="rId466" Type="http://schemas.openxmlformats.org/officeDocument/2006/relationships/hyperlink" Target="https://pbs.twimg.com/profile_images/1852150559643414528/kFBsxTK5_normal.jpg" TargetMode="External"/><Relationship Id="rId1055" Type="http://schemas.openxmlformats.org/officeDocument/2006/relationships/hyperlink" Target="https://x.com/minarindies/status/1986429938207953160" TargetMode="External"/><Relationship Id="rId223" Type="http://schemas.openxmlformats.org/officeDocument/2006/relationships/hyperlink" Target="https://pbs.twimg.com/profile_images/1988347861507952640/MmBWSSun_normal.jpg" TargetMode="External"/><Relationship Id="rId465" Type="http://schemas.openxmlformats.org/officeDocument/2006/relationships/hyperlink" Target="https://x.com/A_real_idiot/status/1988396696041365887" TargetMode="External"/><Relationship Id="rId1056" Type="http://schemas.openxmlformats.org/officeDocument/2006/relationships/hyperlink" Target="https://pbs.twimg.com/profile_images/1987324968082825216/SgbzB9x1_normal.jpg" TargetMode="External"/><Relationship Id="rId222" Type="http://schemas.openxmlformats.org/officeDocument/2006/relationships/hyperlink" Target="https://x.com/MauricioLeija/status/1933605162108825963" TargetMode="External"/><Relationship Id="rId464" Type="http://schemas.openxmlformats.org/officeDocument/2006/relationships/hyperlink" Target="https://pbs.twimg.com/media/GrD2UUZWYAAVALk.jpg" TargetMode="External"/><Relationship Id="rId1057" Type="http://schemas.openxmlformats.org/officeDocument/2006/relationships/hyperlink" Target="https://pbs.twimg.com/profile_banners/1870867108046970880/1762650208" TargetMode="External"/><Relationship Id="rId221" Type="http://schemas.openxmlformats.org/officeDocument/2006/relationships/hyperlink" Target="https://pbs.twimg.com/media/G4C5R3BWQAAQ4xv.jpg" TargetMode="External"/><Relationship Id="rId463" Type="http://schemas.openxmlformats.org/officeDocument/2006/relationships/hyperlink" Target="https://pbs.twimg.com/profile_banners/2467626889/1732724736" TargetMode="External"/><Relationship Id="rId1058" Type="http://schemas.openxmlformats.org/officeDocument/2006/relationships/hyperlink" Target="https://x.com/logopedico/status/1977071769400848784" TargetMode="External"/><Relationship Id="rId1048" Type="http://schemas.openxmlformats.org/officeDocument/2006/relationships/hyperlink" Target="https://x.com/COPE/status/1970517419505353080" TargetMode="External"/><Relationship Id="rId1049" Type="http://schemas.openxmlformats.org/officeDocument/2006/relationships/hyperlink" Target="https://pbs.twimg.com/profile_images/1713945389668155392/9yDD807W_normal.jpg" TargetMode="External"/><Relationship Id="rId217" Type="http://schemas.openxmlformats.org/officeDocument/2006/relationships/hyperlink" Target="https://x.com/nuevatribuna/status/1982000175573770397" TargetMode="External"/><Relationship Id="rId459" Type="http://schemas.openxmlformats.org/officeDocument/2006/relationships/hyperlink" Target="https://pbs.twimg.com/profile_images/1982909290974175232/P36AWs8f_normal.jpg" TargetMode="External"/><Relationship Id="rId216" Type="http://schemas.openxmlformats.org/officeDocument/2006/relationships/hyperlink" Target="https://video.twimg.com/amplify_video/1961440142922493952/vid/avc1/2880x2160/94b7WGhRWWw79rbv.mp4?tag=21" TargetMode="External"/><Relationship Id="rId458" Type="http://schemas.openxmlformats.org/officeDocument/2006/relationships/hyperlink" Target="https://x.com/IsaacDahi/status/1987610020855316534" TargetMode="External"/><Relationship Id="rId215" Type="http://schemas.openxmlformats.org/officeDocument/2006/relationships/hyperlink" Target="https://pbs.twimg.com/amplify_video_thumb/1961440142922493952/img/n3D8aZI7fSTYOyin.jpg" TargetMode="External"/><Relationship Id="rId457" Type="http://schemas.openxmlformats.org/officeDocument/2006/relationships/hyperlink" Target="https://video.twimg.com/ext_tw_video/1988273142242979840/pu/vid/avc1/576x766/ti06XZRl7EDoi5NL.mp4?tag=12" TargetMode="External"/><Relationship Id="rId699" Type="http://schemas.openxmlformats.org/officeDocument/2006/relationships/hyperlink" Target="https://x.com/TriboTDAH/status/1389550053690421249" TargetMode="External"/><Relationship Id="rId214" Type="http://schemas.openxmlformats.org/officeDocument/2006/relationships/hyperlink" Target="https://pbs.twimg.com/profile_banners/1251399343778811904/1750228887" TargetMode="External"/><Relationship Id="rId456" Type="http://schemas.openxmlformats.org/officeDocument/2006/relationships/hyperlink" Target="https://pbs.twimg.com/ext_tw_video_thumb/1988273142242979840/pu/img/ftioeIQZnOn2fxWZ.jpg" TargetMode="External"/><Relationship Id="rId698" Type="http://schemas.openxmlformats.org/officeDocument/2006/relationships/hyperlink" Target="https://pbs.twimg.com/profile_banners/193914536/1665532500" TargetMode="External"/><Relationship Id="rId219" Type="http://schemas.openxmlformats.org/officeDocument/2006/relationships/hyperlink" Target="https://pbs.twimg.com/profile_banners/18556155/1663870522" TargetMode="External"/><Relationship Id="rId218" Type="http://schemas.openxmlformats.org/officeDocument/2006/relationships/hyperlink" Target="https://pbs.twimg.com/profile_images/1573013094892175360/wfMGmG5B_normal.jpg" TargetMode="External"/><Relationship Id="rId451" Type="http://schemas.openxmlformats.org/officeDocument/2006/relationships/hyperlink" Target="https://pbs.twimg.com/profile_banners/337569038/1515873527" TargetMode="External"/><Relationship Id="rId693" Type="http://schemas.openxmlformats.org/officeDocument/2006/relationships/hyperlink" Target="https://x.com/gonchrv/status/1938767741311164641" TargetMode="External"/><Relationship Id="rId1040" Type="http://schemas.openxmlformats.org/officeDocument/2006/relationships/hyperlink" Target="https://pbs.twimg.com/media/G5SCB8GXcAAFloH.jpg,https://pbs.twimg.com/media/G5SCB7_XsAA-Usx.jpg,https://pbs.twimg.com/media/G5SCB7sXIAAzDEx.jpg" TargetMode="External"/><Relationship Id="rId450" Type="http://schemas.openxmlformats.org/officeDocument/2006/relationships/hyperlink" Target="https://pbs.twimg.com/profile_images/1707653377050521600/uRq160FU_normal.jpg" TargetMode="External"/><Relationship Id="rId692" Type="http://schemas.openxmlformats.org/officeDocument/2006/relationships/hyperlink" Target="https://www.telam.com.ar/notas/202310/643435-secundaria-adultos-escuela-publica.html" TargetMode="External"/><Relationship Id="rId1041" Type="http://schemas.openxmlformats.org/officeDocument/2006/relationships/hyperlink" Target="https://x.com/tatianotzin/status/1405347590909071363" TargetMode="External"/><Relationship Id="rId691" Type="http://schemas.openxmlformats.org/officeDocument/2006/relationships/hyperlink" Target="https://pbs.twimg.com/profile_banners/208413101/1737403936" TargetMode="External"/><Relationship Id="rId1042" Type="http://schemas.openxmlformats.org/officeDocument/2006/relationships/hyperlink" Target="https://pbs.twimg.com/profile_images/1982281217761308672/rN0iASGA_normal.jpg" TargetMode="External"/><Relationship Id="rId690" Type="http://schemas.openxmlformats.org/officeDocument/2006/relationships/hyperlink" Target="https://pbs.twimg.com/profile_images/1455215266665795587/dQfNLH3W_normal.png" TargetMode="External"/><Relationship Id="rId1043" Type="http://schemas.openxmlformats.org/officeDocument/2006/relationships/hyperlink" Target="https://pbs.twimg.com/profile_banners/778601476587302912/1757030592" TargetMode="External"/><Relationship Id="rId213" Type="http://schemas.openxmlformats.org/officeDocument/2006/relationships/hyperlink" Target="https://pbs.twimg.com/profile_images/1935226338291367936/1hO8E1MZ_normal.jpg" TargetMode="External"/><Relationship Id="rId455" Type="http://schemas.openxmlformats.org/officeDocument/2006/relationships/hyperlink" Target="https://pbs.twimg.com/profile_banners/1422046705344729092/1760499268" TargetMode="External"/><Relationship Id="rId697" Type="http://schemas.openxmlformats.org/officeDocument/2006/relationships/hyperlink" Target="https://pbs.twimg.com/profile_images/1907075472531345408/5dd0j0Yy_normal.jpg" TargetMode="External"/><Relationship Id="rId1044" Type="http://schemas.openxmlformats.org/officeDocument/2006/relationships/hyperlink" Target="https://x.com/TWLOHA/status/918962554248073217" TargetMode="External"/><Relationship Id="rId212" Type="http://schemas.openxmlformats.org/officeDocument/2006/relationships/hyperlink" Target="https://x.com/updatebangtan_/status/1961474686472143219" TargetMode="External"/><Relationship Id="rId454" Type="http://schemas.openxmlformats.org/officeDocument/2006/relationships/hyperlink" Target="https://pbs.twimg.com/profile_images/1986252489792929794/4wMHuBGT_normal.jpg" TargetMode="External"/><Relationship Id="rId696" Type="http://schemas.openxmlformats.org/officeDocument/2006/relationships/hyperlink" Target="https://x.com/edorobi73/status/1373427318337732615" TargetMode="External"/><Relationship Id="rId1045" Type="http://schemas.openxmlformats.org/officeDocument/2006/relationships/hyperlink" Target="https://pbs.twimg.com/profile_images/1712460340603006976/m37yryMy_normal.jpg" TargetMode="External"/><Relationship Id="rId211" Type="http://schemas.openxmlformats.org/officeDocument/2006/relationships/hyperlink" Target="https://video.twimg.com/amplify_video/1943351824024547328/vid/avc1/1280x720/FNYa1aep2_BWO15s.mp4?tag=14" TargetMode="External"/><Relationship Id="rId453" Type="http://schemas.openxmlformats.org/officeDocument/2006/relationships/hyperlink" Target="https://x.com/TiakathDrawns/status/1988273163227259279" TargetMode="External"/><Relationship Id="rId695" Type="http://schemas.openxmlformats.org/officeDocument/2006/relationships/hyperlink" Target="https://pbs.twimg.com/profile_banners/1109138263841878017/1749935715" TargetMode="External"/><Relationship Id="rId1046" Type="http://schemas.openxmlformats.org/officeDocument/2006/relationships/hyperlink" Target="https://pbs.twimg.com/profile_banners/15099384/1697117336" TargetMode="External"/><Relationship Id="rId210" Type="http://schemas.openxmlformats.org/officeDocument/2006/relationships/hyperlink" Target="https://pbs.twimg.com/amplify_video_thumb/1943351824024547328/img/ecWQoAKBL1DLIsRT.jpg" TargetMode="External"/><Relationship Id="rId452" Type="http://schemas.openxmlformats.org/officeDocument/2006/relationships/hyperlink" Target="https://elneuropediatra.es/psicologo-con-tdah/" TargetMode="External"/><Relationship Id="rId694" Type="http://schemas.openxmlformats.org/officeDocument/2006/relationships/hyperlink" Target="https://pbs.twimg.com/profile_images/1978857104233377792/TEadPn73_normal.jpg" TargetMode="External"/><Relationship Id="rId1047" Type="http://schemas.openxmlformats.org/officeDocument/2006/relationships/hyperlink" Target="https://themighty.com/2017/09/being-an-adult-adulting-struggle-with-mental-illness/?utm_source=Facebook&amp;utm_medium=NP&amp;utm_campaign=TWLOHA" TargetMode="External"/><Relationship Id="rId491" Type="http://schemas.openxmlformats.org/officeDocument/2006/relationships/hyperlink" Target="https://www.som360.org/es/blog/me-han-diagnosticado-tdah-adulto-ahora" TargetMode="External"/><Relationship Id="rId490" Type="http://schemas.openxmlformats.org/officeDocument/2006/relationships/hyperlink" Target="https://pbs.twimg.com/profile_banners/1288464674690928642/1662475263" TargetMode="External"/><Relationship Id="rId249" Type="http://schemas.openxmlformats.org/officeDocument/2006/relationships/hyperlink" Target="https://x.com/MrDoctorOficial/status/1874958746876842075" TargetMode="External"/><Relationship Id="rId248" Type="http://schemas.openxmlformats.org/officeDocument/2006/relationships/hyperlink" Target="https://pbs.twimg.com/media/Gpo42RwW4AAIVXa.jpg" TargetMode="External"/><Relationship Id="rId247" Type="http://schemas.openxmlformats.org/officeDocument/2006/relationships/hyperlink" Target="https://pbs.twimg.com/profile_banners/1176258873575038976/1761074601" TargetMode="External"/><Relationship Id="rId489" Type="http://schemas.openxmlformats.org/officeDocument/2006/relationships/hyperlink" Target="https://pbs.twimg.com/profile_images/1288472327433445376/s8dLhLjC_normal.jpg" TargetMode="External"/><Relationship Id="rId1070" Type="http://schemas.openxmlformats.org/officeDocument/2006/relationships/hyperlink" Target="https://pbs.twimg.com/profile_images/1720805116733698048/5v_HUIso_normal.jpg" TargetMode="External"/><Relationship Id="rId1071" Type="http://schemas.openxmlformats.org/officeDocument/2006/relationships/hyperlink" Target="https://pbs.twimg.com/profile_banners/1482054025113706502/1695129378" TargetMode="External"/><Relationship Id="rId1072" Type="http://schemas.openxmlformats.org/officeDocument/2006/relationships/hyperlink" Target="https://x.com/DAYC4TCHER/status/1987891297189859419" TargetMode="External"/><Relationship Id="rId242" Type="http://schemas.openxmlformats.org/officeDocument/2006/relationships/hyperlink" Target="https://x.com/emma_sar/status/1728552751427408299" TargetMode="External"/><Relationship Id="rId484" Type="http://schemas.openxmlformats.org/officeDocument/2006/relationships/hyperlink" Target="https://pbs.twimg.com/media/G5HjC8IXMAAFgX-.jpg" TargetMode="External"/><Relationship Id="rId1073" Type="http://schemas.openxmlformats.org/officeDocument/2006/relationships/hyperlink" Target="https://pbs.twimg.com/profile_images/1986102915824549888/LyYUrk-L_normal.jpg" TargetMode="External"/><Relationship Id="rId241" Type="http://schemas.openxmlformats.org/officeDocument/2006/relationships/hyperlink" Target="https://pbs.twimg.com/media/G5GL7i1WcAAvqAG.jpg" TargetMode="External"/><Relationship Id="rId483" Type="http://schemas.openxmlformats.org/officeDocument/2006/relationships/hyperlink" Target="https://pbs.twimg.com/profile_banners/52761392/1613082867" TargetMode="External"/><Relationship Id="rId1074" Type="http://schemas.openxmlformats.org/officeDocument/2006/relationships/hyperlink" Target="https://pbs.twimg.com/profile_banners/2455362086/1761369965" TargetMode="External"/><Relationship Id="rId240" Type="http://schemas.openxmlformats.org/officeDocument/2006/relationships/hyperlink" Target="https://pbs.twimg.com/profile_banners/1910827190410743808/1744412067" TargetMode="External"/><Relationship Id="rId482" Type="http://schemas.openxmlformats.org/officeDocument/2006/relationships/hyperlink" Target="https://pbs.twimg.com/profile_images/1660514334915567617/hhfyd_7d_normal.jpg" TargetMode="External"/><Relationship Id="rId1075" Type="http://schemas.openxmlformats.org/officeDocument/2006/relationships/hyperlink" Target="https://x.com/TriboTDAH/status/1466847050927165443" TargetMode="External"/><Relationship Id="rId481" Type="http://schemas.openxmlformats.org/officeDocument/2006/relationships/hyperlink" Target="https://x.com/DayanPattyto/status/1986618551940047151" TargetMode="External"/><Relationship Id="rId1076" Type="http://schemas.openxmlformats.org/officeDocument/2006/relationships/hyperlink" Target="https://pbs.twimg.com/profile_images/1377529312304373766/DezBVjOe_normal.jpg" TargetMode="External"/><Relationship Id="rId246" Type="http://schemas.openxmlformats.org/officeDocument/2006/relationships/hyperlink" Target="https://pbs.twimg.com/profile_images/1987670593966112768/WLsf6i0I_normal.jpg" TargetMode="External"/><Relationship Id="rId488" Type="http://schemas.openxmlformats.org/officeDocument/2006/relationships/hyperlink" Target="https://x.com/SaludMentalSJD/status/1897935658942915051" TargetMode="External"/><Relationship Id="rId1077" Type="http://schemas.openxmlformats.org/officeDocument/2006/relationships/hyperlink" Target="https://pbs.twimg.com/profile_banners/1174138773023657985/1591234301" TargetMode="External"/><Relationship Id="rId245" Type="http://schemas.openxmlformats.org/officeDocument/2006/relationships/hyperlink" Target="https://x.com/daesungssexual/status/1917088187597390065" TargetMode="External"/><Relationship Id="rId487" Type="http://schemas.openxmlformats.org/officeDocument/2006/relationships/hyperlink" Target="https://pbs.twimg.com/profile_banners/2962147467/1733316591" TargetMode="External"/><Relationship Id="rId1078" Type="http://schemas.openxmlformats.org/officeDocument/2006/relationships/hyperlink" Target="https://x.com/UrbanaPlayFM/status/1707020968672010671" TargetMode="External"/><Relationship Id="rId244" Type="http://schemas.openxmlformats.org/officeDocument/2006/relationships/hyperlink" Target="https://pbs.twimg.com/profile_banners/450310216/1750519844" TargetMode="External"/><Relationship Id="rId486" Type="http://schemas.openxmlformats.org/officeDocument/2006/relationships/hyperlink" Target="https://pbs.twimg.com/profile_images/1987179015602409472/hx0JDgIa_normal.jpg" TargetMode="External"/><Relationship Id="rId1079" Type="http://schemas.openxmlformats.org/officeDocument/2006/relationships/hyperlink" Target="https://pbs.twimg.com/profile_images/1970909096862740480/33tbxFwd_normal.jpg" TargetMode="External"/><Relationship Id="rId243" Type="http://schemas.openxmlformats.org/officeDocument/2006/relationships/hyperlink" Target="https://pbs.twimg.com/profile_images/1936446647254294528/hktjcz2s_normal.jpg" TargetMode="External"/><Relationship Id="rId485" Type="http://schemas.openxmlformats.org/officeDocument/2006/relationships/hyperlink" Target="https://x.com/GuadiAlt_Britos/status/1988679035636052128" TargetMode="External"/><Relationship Id="rId480" Type="http://schemas.openxmlformats.org/officeDocument/2006/relationships/hyperlink" Target="https://pbs.twimg.com/media/GS0sZH5WEAAxqq3.jpg" TargetMode="External"/><Relationship Id="rId239" Type="http://schemas.openxmlformats.org/officeDocument/2006/relationships/hyperlink" Target="https://pbs.twimg.com/profile_images/1935039325269315584/0U6o_8Zd_normal.jpg" TargetMode="External"/><Relationship Id="rId238" Type="http://schemas.openxmlformats.org/officeDocument/2006/relationships/hyperlink" Target="https://x.com/dellullq/status/1986522768242811124" TargetMode="External"/><Relationship Id="rId237" Type="http://schemas.openxmlformats.org/officeDocument/2006/relationships/hyperlink" Target="https://video.twimg.com/ext_tw_video/1892315826172141568/pu/vid/avc1/720x1280/PlxWC0dSFLooILQF.mp4?tag=12" TargetMode="External"/><Relationship Id="rId479" Type="http://schemas.openxmlformats.org/officeDocument/2006/relationships/hyperlink" Target="https://pbs.twimg.com/profile_banners/236621586/1606877123" TargetMode="External"/><Relationship Id="rId236" Type="http://schemas.openxmlformats.org/officeDocument/2006/relationships/hyperlink" Target="https://pbs.twimg.com/ext_tw_video_thumb/1892315826172141568/pu/img/5G2nPS5SoK33VTCG.jpg" TargetMode="External"/><Relationship Id="rId478" Type="http://schemas.openxmlformats.org/officeDocument/2006/relationships/hyperlink" Target="https://pbs.twimg.com/profile_images/1540464860768731136/UM4JIXS3_normal.jpg" TargetMode="External"/><Relationship Id="rId1060" Type="http://schemas.openxmlformats.org/officeDocument/2006/relationships/hyperlink" Target="https://pbs.twimg.com/profile_banners/31093614/1400058512" TargetMode="External"/><Relationship Id="rId1061" Type="http://schemas.openxmlformats.org/officeDocument/2006/relationships/hyperlink" Target="https://buff.ly/yYRZTpf" TargetMode="External"/><Relationship Id="rId231" Type="http://schemas.openxmlformats.org/officeDocument/2006/relationships/hyperlink" Target="https://pbs.twimg.com/profile_banners/301473763/1741343123" TargetMode="External"/><Relationship Id="rId473" Type="http://schemas.openxmlformats.org/officeDocument/2006/relationships/hyperlink" Target="https://pbs.twimg.com/profile_banners/1225514949771956224/1760539550" TargetMode="External"/><Relationship Id="rId1062" Type="http://schemas.openxmlformats.org/officeDocument/2006/relationships/hyperlink" Target="https://pbs.twimg.com/media/G2_4TAhWAAAFB6G.jpg" TargetMode="External"/><Relationship Id="rId230" Type="http://schemas.openxmlformats.org/officeDocument/2006/relationships/hyperlink" Target="https://pbs.twimg.com/profile_images/1938687777400389632/lwvajkvb_normal.jpg" TargetMode="External"/><Relationship Id="rId472" Type="http://schemas.openxmlformats.org/officeDocument/2006/relationships/hyperlink" Target="https://pbs.twimg.com/profile_images/1978484999042031616/WEPeqkfJ_normal.jpg" TargetMode="External"/><Relationship Id="rId1063" Type="http://schemas.openxmlformats.org/officeDocument/2006/relationships/hyperlink" Target="https://x.com/TriboTDAH/status/1433063541964263425" TargetMode="External"/><Relationship Id="rId471" Type="http://schemas.openxmlformats.org/officeDocument/2006/relationships/hyperlink" Target="https://x.com/gatofornite4/status/1912086706871808216" TargetMode="External"/><Relationship Id="rId1064" Type="http://schemas.openxmlformats.org/officeDocument/2006/relationships/hyperlink" Target="https://pbs.twimg.com/profile_images/1377529312304373766/DezBVjOe_normal.jpg" TargetMode="External"/><Relationship Id="rId470" Type="http://schemas.openxmlformats.org/officeDocument/2006/relationships/hyperlink" Target="https://pbs.twimg.com/profile_banners/1066000708892352512/1640867142" TargetMode="External"/><Relationship Id="rId1065" Type="http://schemas.openxmlformats.org/officeDocument/2006/relationships/hyperlink" Target="https://pbs.twimg.com/profile_banners/1174138773023657985/1591234301" TargetMode="External"/><Relationship Id="rId235" Type="http://schemas.openxmlformats.org/officeDocument/2006/relationships/hyperlink" Target="https://pbs.twimg.com/profile_banners/6068/1665387027" TargetMode="External"/><Relationship Id="rId477" Type="http://schemas.openxmlformats.org/officeDocument/2006/relationships/hyperlink" Target="https://x.com/ElPaido/status/1814155039377600566" TargetMode="External"/><Relationship Id="rId1066" Type="http://schemas.openxmlformats.org/officeDocument/2006/relationships/hyperlink" Target="https://x.com/ttdatets/status/1987598988858839289" TargetMode="External"/><Relationship Id="rId234" Type="http://schemas.openxmlformats.org/officeDocument/2006/relationships/hyperlink" Target="https://pbs.twimg.com/profile_images/1141030698947686400/QOH39mM0_normal.jpg" TargetMode="External"/><Relationship Id="rId476" Type="http://schemas.openxmlformats.org/officeDocument/2006/relationships/hyperlink" Target="https://pbs.twimg.com/profile_banners/830200658544427008/1607529891" TargetMode="External"/><Relationship Id="rId1067" Type="http://schemas.openxmlformats.org/officeDocument/2006/relationships/hyperlink" Target="https://pbs.twimg.com/profile_images/1980861496574816257/oDwUtz9l_normal.jpg" TargetMode="External"/><Relationship Id="rId233" Type="http://schemas.openxmlformats.org/officeDocument/2006/relationships/hyperlink" Target="https://x.com/pau/status/1892319601700028462" TargetMode="External"/><Relationship Id="rId475" Type="http://schemas.openxmlformats.org/officeDocument/2006/relationships/hyperlink" Target="https://pbs.twimg.com/profile_images/1336700532656910337/sVykXZYe_normal.jpg" TargetMode="External"/><Relationship Id="rId1068" Type="http://schemas.openxmlformats.org/officeDocument/2006/relationships/hyperlink" Target="https://pbs.twimg.com/profile_banners/1217301513539899392/1762141461" TargetMode="External"/><Relationship Id="rId232" Type="http://schemas.openxmlformats.org/officeDocument/2006/relationships/hyperlink" Target="https://pbs.twimg.com/media/G2WppSjXEAAeYUU.jpg" TargetMode="External"/><Relationship Id="rId474" Type="http://schemas.openxmlformats.org/officeDocument/2006/relationships/hyperlink" Target="https://x.com/AeAigc/status/1865040459896098947" TargetMode="External"/><Relationship Id="rId1069" Type="http://schemas.openxmlformats.org/officeDocument/2006/relationships/hyperlink" Target="https://x.com/loremimpsu/status/1569091023904571395" TargetMode="External"/><Relationship Id="rId1015" Type="http://schemas.openxmlformats.org/officeDocument/2006/relationships/hyperlink" Target="https://pbs.twimg.com/profile_banners/34396735/1679771552" TargetMode="External"/><Relationship Id="rId1016" Type="http://schemas.openxmlformats.org/officeDocument/2006/relationships/hyperlink" Target="https://x.com/DoctorFarola/status/1457014346303803397" TargetMode="External"/><Relationship Id="rId1017" Type="http://schemas.openxmlformats.org/officeDocument/2006/relationships/hyperlink" Target="https://pbs.twimg.com/profile_images/1932474334150344704/4d2jdHJ7_normal.jpg" TargetMode="External"/><Relationship Id="rId1018" Type="http://schemas.openxmlformats.org/officeDocument/2006/relationships/hyperlink" Target="https://pbs.twimg.com/profile_banners/1205947006654582785/1749571924" TargetMode="External"/><Relationship Id="rId1019" Type="http://schemas.openxmlformats.org/officeDocument/2006/relationships/hyperlink" Target="https://x.com/tahindeed/status/1731687421417304274" TargetMode="External"/><Relationship Id="rId426" Type="http://schemas.openxmlformats.org/officeDocument/2006/relationships/hyperlink" Target="https://x.com/MauricioLeija/status/1948855434598662445" TargetMode="External"/><Relationship Id="rId668" Type="http://schemas.openxmlformats.org/officeDocument/2006/relationships/hyperlink" Target="https://pbs.twimg.com/profile_images/1983167910626353152/TKit1fes_normal.jpg" TargetMode="External"/><Relationship Id="rId425" Type="http://schemas.openxmlformats.org/officeDocument/2006/relationships/hyperlink" Target="https://pbs.twimg.com/profile_banners/134572630/1438403716" TargetMode="External"/><Relationship Id="rId667" Type="http://schemas.openxmlformats.org/officeDocument/2006/relationships/hyperlink" Target="https://x.com/nabiunkula/status/1960722102446661667" TargetMode="External"/><Relationship Id="rId424" Type="http://schemas.openxmlformats.org/officeDocument/2006/relationships/hyperlink" Target="https://pbs.twimg.com/profile_images/1239688032195919873/LBl9PT7k_normal.jpg" TargetMode="External"/><Relationship Id="rId666" Type="http://schemas.openxmlformats.org/officeDocument/2006/relationships/hyperlink" Target="https://pbs.twimg.com/media/Gs6E4D3WAAE3fPG.jpg" TargetMode="External"/><Relationship Id="rId423" Type="http://schemas.openxmlformats.org/officeDocument/2006/relationships/hyperlink" Target="https://x.com/j_bleon/status/1881782536541732904" TargetMode="External"/><Relationship Id="rId665" Type="http://schemas.openxmlformats.org/officeDocument/2006/relationships/hyperlink" Target="https://pbs.twimg.com/profile_banners/601113942/1761843178" TargetMode="External"/><Relationship Id="rId429" Type="http://schemas.openxmlformats.org/officeDocument/2006/relationships/hyperlink" Target="https://x.com/seujeitolrs/status/1917651984837943772" TargetMode="External"/><Relationship Id="rId428" Type="http://schemas.openxmlformats.org/officeDocument/2006/relationships/hyperlink" Target="https://pbs.twimg.com/profile_banners/2825615947/1674793295" TargetMode="External"/><Relationship Id="rId427" Type="http://schemas.openxmlformats.org/officeDocument/2006/relationships/hyperlink" Target="https://pbs.twimg.com/profile_images/1988347861507952640/MmBWSSun_normal.jpg" TargetMode="External"/><Relationship Id="rId669" Type="http://schemas.openxmlformats.org/officeDocument/2006/relationships/hyperlink" Target="https://pbs.twimg.com/profile_banners/48185021/1761655418" TargetMode="External"/><Relationship Id="rId660" Type="http://schemas.openxmlformats.org/officeDocument/2006/relationships/hyperlink" Target="https://pbs.twimg.com/profile_banners/1349849582/1753203745" TargetMode="External"/><Relationship Id="rId1010" Type="http://schemas.openxmlformats.org/officeDocument/2006/relationships/hyperlink" Target="https://x.com/Deltoya25/status/1987906655078457439" TargetMode="External"/><Relationship Id="rId422" Type="http://schemas.openxmlformats.org/officeDocument/2006/relationships/hyperlink" Target="https://pbs.twimg.com/profile_banners/1174138773023657985/1591234301" TargetMode="External"/><Relationship Id="rId664" Type="http://schemas.openxmlformats.org/officeDocument/2006/relationships/hyperlink" Target="https://pbs.twimg.com/profile_images/1975688429212954624/Iv_i81XJ_normal.jpg" TargetMode="External"/><Relationship Id="rId1011" Type="http://schemas.openxmlformats.org/officeDocument/2006/relationships/hyperlink" Target="https://pbs.twimg.com/profile_images/1984734346708750336/VQ_EPQ_c_normal.jpg" TargetMode="External"/><Relationship Id="rId421" Type="http://schemas.openxmlformats.org/officeDocument/2006/relationships/hyperlink" Target="https://pbs.twimg.com/profile_images/1377529312304373766/DezBVjOe_normal.jpg" TargetMode="External"/><Relationship Id="rId663" Type="http://schemas.openxmlformats.org/officeDocument/2006/relationships/hyperlink" Target="https://x.com/SEMERGENap/status/1931627536573677689" TargetMode="External"/><Relationship Id="rId1012" Type="http://schemas.openxmlformats.org/officeDocument/2006/relationships/hyperlink" Target="https://pbs.twimg.com/profile_banners/1201310454464811009/1641125960" TargetMode="External"/><Relationship Id="rId420" Type="http://schemas.openxmlformats.org/officeDocument/2006/relationships/hyperlink" Target="https://x.com/TriboTDAH/status/1442289737201561607" TargetMode="External"/><Relationship Id="rId662" Type="http://schemas.openxmlformats.org/officeDocument/2006/relationships/hyperlink" Target="https://video.twimg.com/ext_tw_video/1046444903008530432/pu/vid/1114x614/RP2uhzFB_cdOfXzD.mp4?tag=5" TargetMode="External"/><Relationship Id="rId1013" Type="http://schemas.openxmlformats.org/officeDocument/2006/relationships/hyperlink" Target="https://x.com/thesmallestboy/status/1139914589020147713" TargetMode="External"/><Relationship Id="rId661" Type="http://schemas.openxmlformats.org/officeDocument/2006/relationships/hyperlink" Target="https://pbs.twimg.com/ext_tw_video_thumb/1046444903008530432/pu/img/LQQ-jeXURPq9Zfkj.jpg" TargetMode="External"/><Relationship Id="rId1014" Type="http://schemas.openxmlformats.org/officeDocument/2006/relationships/hyperlink" Target="https://pbs.twimg.com/profile_images/1639706805285662720/ZPxTv4Ub_normal.jpg" TargetMode="External"/><Relationship Id="rId1004" Type="http://schemas.openxmlformats.org/officeDocument/2006/relationships/hyperlink" Target="https://pbs.twimg.com/profile_images/1978174835738968064/l1gH_1Zd_normal.jpg" TargetMode="External"/><Relationship Id="rId1005" Type="http://schemas.openxmlformats.org/officeDocument/2006/relationships/hyperlink" Target="https://pbs.twimg.com/profile_banners/1525686386/1758671310" TargetMode="External"/><Relationship Id="rId1006" Type="http://schemas.openxmlformats.org/officeDocument/2006/relationships/hyperlink" Target="https://pbs.twimg.com/media/GsFS7FuWAAAp-3a.jpg" TargetMode="External"/><Relationship Id="rId1007" Type="http://schemas.openxmlformats.org/officeDocument/2006/relationships/hyperlink" Target="https://x.com/tdtengounau/status/1988739957213835675" TargetMode="External"/><Relationship Id="rId1008" Type="http://schemas.openxmlformats.org/officeDocument/2006/relationships/hyperlink" Target="https://pbs.twimg.com/profile_images/1977532970090033152/4rcwyxvI_normal.jpg" TargetMode="External"/><Relationship Id="rId1009" Type="http://schemas.openxmlformats.org/officeDocument/2006/relationships/hyperlink" Target="https://pbs.twimg.com/profile_banners/1585968552036573185/1755564232" TargetMode="External"/><Relationship Id="rId415" Type="http://schemas.openxmlformats.org/officeDocument/2006/relationships/hyperlink" Target="https://x.com/thaassinha/status/1180155043300990977" TargetMode="External"/><Relationship Id="rId657" Type="http://schemas.openxmlformats.org/officeDocument/2006/relationships/hyperlink" Target="https://pbs.twimg.com/profile_banners/1372941112177012742/1761321919" TargetMode="External"/><Relationship Id="rId899" Type="http://schemas.openxmlformats.org/officeDocument/2006/relationships/hyperlink" Target="https://pbs.twimg.com/profile_images/1483810263216369664/L3pplSas_normal.jpg" TargetMode="External"/><Relationship Id="rId414" Type="http://schemas.openxmlformats.org/officeDocument/2006/relationships/hyperlink" Target="https://pbs.twimg.com/profile_banners/1628588443/1598919539" TargetMode="External"/><Relationship Id="rId656" Type="http://schemas.openxmlformats.org/officeDocument/2006/relationships/hyperlink" Target="https://pbs.twimg.com/profile_images/1985073243145809920/BI9HXe4u_normal.jpg" TargetMode="External"/><Relationship Id="rId898" Type="http://schemas.openxmlformats.org/officeDocument/2006/relationships/hyperlink" Target="https://x.com/odicasmaster/status/1489207257925574671" TargetMode="External"/><Relationship Id="rId413" Type="http://schemas.openxmlformats.org/officeDocument/2006/relationships/hyperlink" Target="https://pbs.twimg.com/profile_images/1605045287369711621/SHlZqSGw_normal.jpg" TargetMode="External"/><Relationship Id="rId655" Type="http://schemas.openxmlformats.org/officeDocument/2006/relationships/hyperlink" Target="https://x.com/soso_pinhaa/status/1988425088333738391" TargetMode="External"/><Relationship Id="rId897" Type="http://schemas.openxmlformats.org/officeDocument/2006/relationships/hyperlink" Target="https://pbs.twimg.com/profile_banners/84368406/1752761534" TargetMode="External"/><Relationship Id="rId412" Type="http://schemas.openxmlformats.org/officeDocument/2006/relationships/hyperlink" Target="https://x.com/Gastonortegaa/status/1544491599983480834" TargetMode="External"/><Relationship Id="rId654" Type="http://schemas.openxmlformats.org/officeDocument/2006/relationships/hyperlink" Target="https://pbs.twimg.com/profile_banners/1277992635945422848/1762214535" TargetMode="External"/><Relationship Id="rId896" Type="http://schemas.openxmlformats.org/officeDocument/2006/relationships/hyperlink" Target="https://pbs.twimg.com/profile_images/1453112611323715590/LPSRzp5g_normal.jpg" TargetMode="External"/><Relationship Id="rId419" Type="http://schemas.openxmlformats.org/officeDocument/2006/relationships/hyperlink" Target="https://pbs.twimg.com/profile_images/1942430880422678528/ssV1d_qp_normal.jpg" TargetMode="External"/><Relationship Id="rId418" Type="http://schemas.openxmlformats.org/officeDocument/2006/relationships/hyperlink" Target="https://x.com/TomasAV12/status/1988207750346866987" TargetMode="External"/><Relationship Id="rId417" Type="http://schemas.openxmlformats.org/officeDocument/2006/relationships/hyperlink" Target="https://pbs.twimg.com/profile_banners/706548434652831744/1729261374" TargetMode="External"/><Relationship Id="rId659" Type="http://schemas.openxmlformats.org/officeDocument/2006/relationships/hyperlink" Target="https://pbs.twimg.com/profile_images/1536938051791998976/BDhnje5e_normal.jpg" TargetMode="External"/><Relationship Id="rId416" Type="http://schemas.openxmlformats.org/officeDocument/2006/relationships/hyperlink" Target="https://pbs.twimg.com/profile_images/1561348961461477376/hGuYTTQL_normal.jpg" TargetMode="External"/><Relationship Id="rId658" Type="http://schemas.openxmlformats.org/officeDocument/2006/relationships/hyperlink" Target="https://x.com/tdmascrc/status/1046444985439129600" TargetMode="External"/><Relationship Id="rId891" Type="http://schemas.openxmlformats.org/officeDocument/2006/relationships/hyperlink" Target="https://pbs.twimg.com/profile_banners/2193494682/1759279190" TargetMode="External"/><Relationship Id="rId890" Type="http://schemas.openxmlformats.org/officeDocument/2006/relationships/hyperlink" Target="https://pbs.twimg.com/profile_images/1698236069127319552/Zvok4VBe_normal.jpg" TargetMode="External"/><Relationship Id="rId411" Type="http://schemas.openxmlformats.org/officeDocument/2006/relationships/hyperlink" Target="https://pbs.twimg.com/profile_banners/1430382779414585346/1762896865" TargetMode="External"/><Relationship Id="rId653" Type="http://schemas.openxmlformats.org/officeDocument/2006/relationships/hyperlink" Target="https://pbs.twimg.com/profile_images/1985497403265290240/AoTHufq5_normal.jpg" TargetMode="External"/><Relationship Id="rId895" Type="http://schemas.openxmlformats.org/officeDocument/2006/relationships/hyperlink" Target="https://x.com/drauziovarella/status/1439763851759833092" TargetMode="External"/><Relationship Id="rId1000" Type="http://schemas.openxmlformats.org/officeDocument/2006/relationships/hyperlink" Target="https://x.com/TriboTDAH/status/1439747700589740034" TargetMode="External"/><Relationship Id="rId410" Type="http://schemas.openxmlformats.org/officeDocument/2006/relationships/hyperlink" Target="https://pbs.twimg.com/profile_images/1985362696062029824/PdMq004k_normal.jpg" TargetMode="External"/><Relationship Id="rId652" Type="http://schemas.openxmlformats.org/officeDocument/2006/relationships/hyperlink" Target="https://x.com/itstocktock/status/1986832104307531946" TargetMode="External"/><Relationship Id="rId894" Type="http://schemas.openxmlformats.org/officeDocument/2006/relationships/hyperlink" Target="https://pbs.twimg.com/profile_banners/938944022089003008/1750795844" TargetMode="External"/><Relationship Id="rId1001" Type="http://schemas.openxmlformats.org/officeDocument/2006/relationships/hyperlink" Target="https://pbs.twimg.com/profile_images/1377529312304373766/DezBVjOe_normal.jpg" TargetMode="External"/><Relationship Id="rId651" Type="http://schemas.openxmlformats.org/officeDocument/2006/relationships/hyperlink" Target="https://pbs.twimg.com/media/EedVN93WkAAFba4.jpg" TargetMode="External"/><Relationship Id="rId893" Type="http://schemas.openxmlformats.org/officeDocument/2006/relationships/hyperlink" Target="https://pbs.twimg.com/profile_images/1968158672984436736/SKVQCPTw_normal.jpg" TargetMode="External"/><Relationship Id="rId1002" Type="http://schemas.openxmlformats.org/officeDocument/2006/relationships/hyperlink" Target="https://pbs.twimg.com/profile_banners/1174138773023657985/1591234301" TargetMode="External"/><Relationship Id="rId650" Type="http://schemas.openxmlformats.org/officeDocument/2006/relationships/hyperlink" Target="https://pbs.twimg.com/profile_banners/1277761750159540224/1728503063" TargetMode="External"/><Relationship Id="rId892" Type="http://schemas.openxmlformats.org/officeDocument/2006/relationships/hyperlink" Target="https://x.com/Lua_Bathory/status/1570189047280340992" TargetMode="External"/><Relationship Id="rId1003" Type="http://schemas.openxmlformats.org/officeDocument/2006/relationships/hyperlink" Target="https://x.com/pedregulhando/status/1928494140603478224" TargetMode="External"/><Relationship Id="rId1037" Type="http://schemas.openxmlformats.org/officeDocument/2006/relationships/hyperlink" Target="https://x.com/dante_moliterni/status/1987356308916388284" TargetMode="External"/><Relationship Id="rId1038" Type="http://schemas.openxmlformats.org/officeDocument/2006/relationships/hyperlink" Target="https://pbs.twimg.com/profile_images/1985552355333414913/Om2iM9pn_normal.jpg" TargetMode="External"/><Relationship Id="rId1039" Type="http://schemas.openxmlformats.org/officeDocument/2006/relationships/hyperlink" Target="https://pbs.twimg.com/profile_banners/1531425782429515777/1748395146" TargetMode="External"/><Relationship Id="rId206" Type="http://schemas.openxmlformats.org/officeDocument/2006/relationships/hyperlink" Target="https://pbs.twimg.com/media/G5YgTEUXkAIkXAo.jpg" TargetMode="External"/><Relationship Id="rId448" Type="http://schemas.openxmlformats.org/officeDocument/2006/relationships/hyperlink" Target="https://video.twimg.com/amplify_video/1980789616023130112/vid/avc1/720x1280/KcCgwD8J24H4dX-h.mp4?tag=21" TargetMode="External"/><Relationship Id="rId205" Type="http://schemas.openxmlformats.org/officeDocument/2006/relationships/hyperlink" Target="https://pbs.twimg.com/profile_banners/1819013180691267584/1762734184" TargetMode="External"/><Relationship Id="rId447" Type="http://schemas.openxmlformats.org/officeDocument/2006/relationships/hyperlink" Target="https://pbs.twimg.com/amplify_video_thumb/1980789616023130112/img/sUvp9Iz2sWBrwg2Q.jpg" TargetMode="External"/><Relationship Id="rId689" Type="http://schemas.openxmlformats.org/officeDocument/2006/relationships/hyperlink" Target="https://x.com/AgenciaTelam/status/1713664795365331284" TargetMode="External"/><Relationship Id="rId204" Type="http://schemas.openxmlformats.org/officeDocument/2006/relationships/hyperlink" Target="https://pbs.twimg.com/profile_images/1988670298191736832/BelV4X4z_normal.jpg" TargetMode="External"/><Relationship Id="rId446" Type="http://schemas.openxmlformats.org/officeDocument/2006/relationships/hyperlink" Target="https://pbs.twimg.com/profile_banners/121287943/1738616733" TargetMode="External"/><Relationship Id="rId688" Type="http://schemas.openxmlformats.org/officeDocument/2006/relationships/hyperlink" Target="https://pbs.twimg.com/profile_banners/1119397317747122176/1599002101" TargetMode="External"/><Relationship Id="rId203" Type="http://schemas.openxmlformats.org/officeDocument/2006/relationships/hyperlink" Target="https://x.com/hachiwareangel/status/1987811799677522385" TargetMode="External"/><Relationship Id="rId445" Type="http://schemas.openxmlformats.org/officeDocument/2006/relationships/hyperlink" Target="https://pbs.twimg.com/profile_images/1988655046163070976/KR1WFBcT_normal.jpg" TargetMode="External"/><Relationship Id="rId687" Type="http://schemas.openxmlformats.org/officeDocument/2006/relationships/hyperlink" Target="https://pbs.twimg.com/profile_images/1821280597609705473/zLCLzX2P_normal.jpg" TargetMode="External"/><Relationship Id="rId209" Type="http://schemas.openxmlformats.org/officeDocument/2006/relationships/hyperlink" Target="https://pbs.twimg.com/profile_banners/2825615947/1674793295" TargetMode="External"/><Relationship Id="rId208" Type="http://schemas.openxmlformats.org/officeDocument/2006/relationships/hyperlink" Target="https://pbs.twimg.com/profile_images/1988347861507952640/MmBWSSun_normal.jpg" TargetMode="External"/><Relationship Id="rId207" Type="http://schemas.openxmlformats.org/officeDocument/2006/relationships/hyperlink" Target="https://x.com/MauricioLeija/status/1943351954383524254" TargetMode="External"/><Relationship Id="rId449" Type="http://schemas.openxmlformats.org/officeDocument/2006/relationships/hyperlink" Target="https://x.com/elneuropediatra/status/1932387525118623984" TargetMode="External"/><Relationship Id="rId440" Type="http://schemas.openxmlformats.org/officeDocument/2006/relationships/hyperlink" Target="https://pbs.twimg.com/profile_banners/2786565149/1705331845" TargetMode="External"/><Relationship Id="rId682" Type="http://schemas.openxmlformats.org/officeDocument/2006/relationships/hyperlink" Target="https://x.com/sylvaqueer/status/1574364228093452290" TargetMode="External"/><Relationship Id="rId681" Type="http://schemas.openxmlformats.org/officeDocument/2006/relationships/hyperlink" Target="https://pbs.twimg.com/profile_banners/1122629315559141376/1644543725" TargetMode="External"/><Relationship Id="rId1030" Type="http://schemas.openxmlformats.org/officeDocument/2006/relationships/hyperlink" Target="https://pbs.twimg.com/profile_banners/1174138773023657985/1591234301" TargetMode="External"/><Relationship Id="rId680" Type="http://schemas.openxmlformats.org/officeDocument/2006/relationships/hyperlink" Target="https://pbs.twimg.com/profile_images/1526654316332949504/QsqeIKhX_normal.jpg" TargetMode="External"/><Relationship Id="rId1031" Type="http://schemas.openxmlformats.org/officeDocument/2006/relationships/hyperlink" Target="https://x.com/TriboTDAH/status/1442289741085483010" TargetMode="External"/><Relationship Id="rId1032" Type="http://schemas.openxmlformats.org/officeDocument/2006/relationships/hyperlink" Target="https://pbs.twimg.com/profile_images/1377529312304373766/DezBVjOe_normal.jpg" TargetMode="External"/><Relationship Id="rId202" Type="http://schemas.openxmlformats.org/officeDocument/2006/relationships/hyperlink" Target="https://x.com/ElPaido/status/1871418908168884492" TargetMode="External"/><Relationship Id="rId444" Type="http://schemas.openxmlformats.org/officeDocument/2006/relationships/hyperlink" Target="https://x.com/condesatv1/status/1980789929371226407" TargetMode="External"/><Relationship Id="rId686" Type="http://schemas.openxmlformats.org/officeDocument/2006/relationships/hyperlink" Target="https://x.com/PauloVitorDeO18/status/1846647362900590833" TargetMode="External"/><Relationship Id="rId1033" Type="http://schemas.openxmlformats.org/officeDocument/2006/relationships/hyperlink" Target="https://pbs.twimg.com/profile_banners/1174138773023657985/1591234301" TargetMode="External"/><Relationship Id="rId201" Type="http://schemas.openxmlformats.org/officeDocument/2006/relationships/hyperlink" Target="https://pbs.twimg.com/media/GfidYRCWoAATgtj.jpg" TargetMode="External"/><Relationship Id="rId443" Type="http://schemas.openxmlformats.org/officeDocument/2006/relationships/hyperlink" Target="https://pbs.twimg.com/profile_banners/2549713804/1754577573" TargetMode="External"/><Relationship Id="rId685" Type="http://schemas.openxmlformats.org/officeDocument/2006/relationships/hyperlink" Target="https://pbs.twimg.com/media/FdjRw-4XkAA-S00.jpg,https://pbs.twimg.com/media/FdjRxKkXoAEK7oq.jpg" TargetMode="External"/><Relationship Id="rId1034" Type="http://schemas.openxmlformats.org/officeDocument/2006/relationships/hyperlink" Target="https://x.com/DrSylveonPsyq/status/1595094406478061571" TargetMode="External"/><Relationship Id="rId200" Type="http://schemas.openxmlformats.org/officeDocument/2006/relationships/hyperlink" Target="https://pbs.twimg.com/profile_banners/1473331271896080389/1688412751" TargetMode="External"/><Relationship Id="rId442" Type="http://schemas.openxmlformats.org/officeDocument/2006/relationships/hyperlink" Target="https://pbs.twimg.com/profile_images/1953296469416374272/NMHVg6-b_normal.jpg" TargetMode="External"/><Relationship Id="rId684" Type="http://schemas.openxmlformats.org/officeDocument/2006/relationships/hyperlink" Target="https://pbs.twimg.com/profile_banners/1194419625288773632/1695594882" TargetMode="External"/><Relationship Id="rId1035" Type="http://schemas.openxmlformats.org/officeDocument/2006/relationships/hyperlink" Target="https://pbs.twimg.com/profile_images/1856092046043299840/4aD1eKyh_normal.jpg" TargetMode="External"/><Relationship Id="rId441" Type="http://schemas.openxmlformats.org/officeDocument/2006/relationships/hyperlink" Target="https://x.com/lunchtimedog/status/1988792886536896993" TargetMode="External"/><Relationship Id="rId683" Type="http://schemas.openxmlformats.org/officeDocument/2006/relationships/hyperlink" Target="https://pbs.twimg.com/profile_images/1987907784101232640/S_2xyHVk_normal.jpg" TargetMode="External"/><Relationship Id="rId1036" Type="http://schemas.openxmlformats.org/officeDocument/2006/relationships/hyperlink" Target="https://pbs.twimg.com/profile_banners/733619018897063936/1717635158" TargetMode="External"/><Relationship Id="rId1026" Type="http://schemas.openxmlformats.org/officeDocument/2006/relationships/hyperlink" Target="https://pbs.twimg.com/profile_images/1377529312304373766/DezBVjOe_normal.jpg" TargetMode="External"/><Relationship Id="rId1027" Type="http://schemas.openxmlformats.org/officeDocument/2006/relationships/hyperlink" Target="https://pbs.twimg.com/profile_banners/1174138773023657985/1591234301" TargetMode="External"/><Relationship Id="rId1028" Type="http://schemas.openxmlformats.org/officeDocument/2006/relationships/hyperlink" Target="https://x.com/TriboTDAH/status/1442289739240026112" TargetMode="External"/><Relationship Id="rId1029" Type="http://schemas.openxmlformats.org/officeDocument/2006/relationships/hyperlink" Target="https://pbs.twimg.com/profile_images/1377529312304373766/DezBVjOe_normal.jpg" TargetMode="External"/><Relationship Id="rId437" Type="http://schemas.openxmlformats.org/officeDocument/2006/relationships/hyperlink" Target="https://pbs.twimg.com/profile_banners/1197699181487542272/1712974390" TargetMode="External"/><Relationship Id="rId679" Type="http://schemas.openxmlformats.org/officeDocument/2006/relationships/hyperlink" Target="https://x.com/maarycastroo_/status/1503819024580370441" TargetMode="External"/><Relationship Id="rId436" Type="http://schemas.openxmlformats.org/officeDocument/2006/relationships/hyperlink" Target="https://pbs.twimg.com/profile_images/1877524749481385984/rDFeLLwz_normal.jpg" TargetMode="External"/><Relationship Id="rId678" Type="http://schemas.openxmlformats.org/officeDocument/2006/relationships/hyperlink" Target="https://pbs.twimg.com/profile_banners/562770913/1682330610" TargetMode="External"/><Relationship Id="rId435" Type="http://schemas.openxmlformats.org/officeDocument/2006/relationships/hyperlink" Target="https://x.com/unxciudadana/status/1959363585097789879" TargetMode="External"/><Relationship Id="rId677" Type="http://schemas.openxmlformats.org/officeDocument/2006/relationships/hyperlink" Target="https://pbs.twimg.com/profile_images/1928878799153774592/hW_ceaF5_normal.jpg" TargetMode="External"/><Relationship Id="rId434" Type="http://schemas.openxmlformats.org/officeDocument/2006/relationships/hyperlink" Target="https://pbs.twimg.com/profile_banners/2554762959/1750815359" TargetMode="External"/><Relationship Id="rId676" Type="http://schemas.openxmlformats.org/officeDocument/2006/relationships/hyperlink" Target="https://x.com/BuyoyaJonah/status/1373211503051018240" TargetMode="External"/><Relationship Id="rId439" Type="http://schemas.openxmlformats.org/officeDocument/2006/relationships/hyperlink" Target="https://pbs.twimg.com/profile_images/1909592874842292224/htoNPylf_normal.jpg" TargetMode="External"/><Relationship Id="rId438" Type="http://schemas.openxmlformats.org/officeDocument/2006/relationships/hyperlink" Target="https://x.com/diettskinny/status/1572065475609116672" TargetMode="External"/><Relationship Id="rId671" Type="http://schemas.openxmlformats.org/officeDocument/2006/relationships/hyperlink" Target="https://pbs.twimg.com/profile_images/1887466110884171776/7So3X-Jx_normal.jpg" TargetMode="External"/><Relationship Id="rId670" Type="http://schemas.openxmlformats.org/officeDocument/2006/relationships/hyperlink" Target="https://x.com/pildoracida/status/1876964568812929141" TargetMode="External"/><Relationship Id="rId1020" Type="http://schemas.openxmlformats.org/officeDocument/2006/relationships/hyperlink" Target="https://pbs.twimg.com/profile_images/1976845166150385664/fnbslfyo_normal.jpg" TargetMode="External"/><Relationship Id="rId1021" Type="http://schemas.openxmlformats.org/officeDocument/2006/relationships/hyperlink" Target="https://pbs.twimg.com/profile_banners/758514405910786048/1759529038" TargetMode="External"/><Relationship Id="rId433" Type="http://schemas.openxmlformats.org/officeDocument/2006/relationships/hyperlink" Target="https://pbs.twimg.com/profile_images/1929858132777345024/jxulGJSp_normal.jpg" TargetMode="External"/><Relationship Id="rId675" Type="http://schemas.openxmlformats.org/officeDocument/2006/relationships/hyperlink" Target="https://pbs.twimg.com/profile_banners/1102482523664384000/1557727788" TargetMode="External"/><Relationship Id="rId1022" Type="http://schemas.openxmlformats.org/officeDocument/2006/relationships/hyperlink" Target="https://x.com/TriboTDAH/status/1437414107272159237" TargetMode="External"/><Relationship Id="rId432" Type="http://schemas.openxmlformats.org/officeDocument/2006/relationships/hyperlink" Target="https://x.com/angelo_diogenes/status/1906082840380416289" TargetMode="External"/><Relationship Id="rId674" Type="http://schemas.openxmlformats.org/officeDocument/2006/relationships/hyperlink" Target="https://pbs.twimg.com/profile_images/1446559792043020289/yps_iJdD_normal.jpg" TargetMode="External"/><Relationship Id="rId1023" Type="http://schemas.openxmlformats.org/officeDocument/2006/relationships/hyperlink" Target="https://pbs.twimg.com/profile_images/1377529312304373766/DezBVjOe_normal.jpg" TargetMode="External"/><Relationship Id="rId431" Type="http://schemas.openxmlformats.org/officeDocument/2006/relationships/hyperlink" Target="https://pbs.twimg.com/profile_banners/990296924396900354/1742233433" TargetMode="External"/><Relationship Id="rId673" Type="http://schemas.openxmlformats.org/officeDocument/2006/relationships/hyperlink" Target="https://x.com/smartinezho1/status/1580613733709029377" TargetMode="External"/><Relationship Id="rId1024" Type="http://schemas.openxmlformats.org/officeDocument/2006/relationships/hyperlink" Target="https://pbs.twimg.com/profile_banners/1174138773023657985/1591234301" TargetMode="External"/><Relationship Id="rId430" Type="http://schemas.openxmlformats.org/officeDocument/2006/relationships/hyperlink" Target="https://pbs.twimg.com/profile_images/1901690971215065088/9ZlSpusc_normal.jpg" TargetMode="External"/><Relationship Id="rId672" Type="http://schemas.openxmlformats.org/officeDocument/2006/relationships/hyperlink" Target="https://pbs.twimg.com/profile_banners/1823392423130607616/1738841761" TargetMode="External"/><Relationship Id="rId1025" Type="http://schemas.openxmlformats.org/officeDocument/2006/relationships/hyperlink" Target="https://x.com/TriboTDAH/status/1466842680504328199"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x.com/nuevatribuna/status/1982000175573770397" TargetMode="External"/><Relationship Id="rId194" Type="http://schemas.openxmlformats.org/officeDocument/2006/relationships/hyperlink" Target="https://pbs.twimg.com/media/G4C5R3BWQAAQ4xv.jpg" TargetMode="External"/><Relationship Id="rId193" Type="http://schemas.openxmlformats.org/officeDocument/2006/relationships/hyperlink" Target="https://www.nuevatribuna.es/articulo/sociedad/tdah-en-el-adulto/20251024171202243560.html" TargetMode="External"/><Relationship Id="rId192" Type="http://schemas.openxmlformats.org/officeDocument/2006/relationships/hyperlink" Target="https://pbs.twimg.com/profile_banners/18556155/1663870522" TargetMode="External"/><Relationship Id="rId191" Type="http://schemas.openxmlformats.org/officeDocument/2006/relationships/hyperlink" Target="https://pbs.twimg.com/profile_images/1573013094892175360/wfMGmG5B_normal.jpg" TargetMode="External"/><Relationship Id="rId187" Type="http://schemas.openxmlformats.org/officeDocument/2006/relationships/hyperlink" Target="https://x.com/viralataavulso/status/1982067973511930133" TargetMode="External"/><Relationship Id="rId186" Type="http://schemas.openxmlformats.org/officeDocument/2006/relationships/hyperlink" Target="https://www.nuevatribuna.es/articulo/sociedad/tdah-en-el-adulto/20251024171202243560.html" TargetMode="External"/><Relationship Id="rId185" Type="http://schemas.openxmlformats.org/officeDocument/2006/relationships/hyperlink" Target="https://pbs.twimg.com/profile_banners/4868557389/1733064306" TargetMode="External"/><Relationship Id="rId184" Type="http://schemas.openxmlformats.org/officeDocument/2006/relationships/hyperlink" Target="https://pbs.twimg.com/profile_images/694091082410377216/HuUCM-I-_normal.jpg" TargetMode="External"/><Relationship Id="rId189" Type="http://schemas.openxmlformats.org/officeDocument/2006/relationships/hyperlink" Target="https://pbs.twimg.com/profile_banners/1756066206371454976/1755267704" TargetMode="External"/><Relationship Id="rId188" Type="http://schemas.openxmlformats.org/officeDocument/2006/relationships/hyperlink" Target="https://pbs.twimg.com/profile_images/1973881794635186176/IbnCWh0Y_normal.jpg" TargetMode="External"/><Relationship Id="rId183" Type="http://schemas.openxmlformats.org/officeDocument/2006/relationships/hyperlink" Target="https://x.com/cinenuevatribu/status/1982384694500171803" TargetMode="External"/><Relationship Id="rId182" Type="http://schemas.openxmlformats.org/officeDocument/2006/relationships/hyperlink" Target="https://pbs.twimg.com/profile_banners/64585862/1704847794" TargetMode="External"/><Relationship Id="rId181" Type="http://schemas.openxmlformats.org/officeDocument/2006/relationships/hyperlink" Target="https://pbs.twimg.com/profile_images/1926210065792438272/HVHvuUUW_normal.jpg" TargetMode="External"/><Relationship Id="rId180" Type="http://schemas.openxmlformats.org/officeDocument/2006/relationships/hyperlink" Target="https://x.com/unmetilfenidato/status/1982711545936347332" TargetMode="External"/><Relationship Id="rId176" Type="http://schemas.openxmlformats.org/officeDocument/2006/relationships/hyperlink" Target="https://pbs.twimg.com/profile_images/1964427375891898368/qNfK24Xo_normal.jpg" TargetMode="External"/><Relationship Id="rId175" Type="http://schemas.openxmlformats.org/officeDocument/2006/relationships/hyperlink" Target="https://x.com/eduardopeccin/status/1982795050330325497" TargetMode="External"/><Relationship Id="rId174" Type="http://schemas.openxmlformats.org/officeDocument/2006/relationships/hyperlink" Target="https://pbs.twimg.com/profile_banners/236621586/1606877123" TargetMode="External"/><Relationship Id="rId173" Type="http://schemas.openxmlformats.org/officeDocument/2006/relationships/hyperlink" Target="https://pbs.twimg.com/profile_images/1540464860768731136/UM4JIXS3_normal.jpg" TargetMode="External"/><Relationship Id="rId179" Type="http://schemas.openxmlformats.org/officeDocument/2006/relationships/hyperlink" Target="https://pbs.twimg.com/profile_banners/70080751/1618599603" TargetMode="External"/><Relationship Id="rId178" Type="http://schemas.openxmlformats.org/officeDocument/2006/relationships/hyperlink" Target="https://pbs.twimg.com/profile_images/1957128298313494529/Be7EljhZ_normal.jpg" TargetMode="External"/><Relationship Id="rId177" Type="http://schemas.openxmlformats.org/officeDocument/2006/relationships/hyperlink" Target="https://x.com/ThuMartins/status/1982757555127583121" TargetMode="External"/><Relationship Id="rId198" Type="http://schemas.openxmlformats.org/officeDocument/2006/relationships/hyperlink" Target="https://x.com/neurorebelde/status/1981381228579242467" TargetMode="External"/><Relationship Id="rId197" Type="http://schemas.openxmlformats.org/officeDocument/2006/relationships/hyperlink" Target="https://pbs.twimg.com/profile_banners/41901913/1673277413" TargetMode="External"/><Relationship Id="rId196" Type="http://schemas.openxmlformats.org/officeDocument/2006/relationships/hyperlink" Target="https://pbs.twimg.com/profile_images/1921006136548892672/y1JWvu5P_normal.jpg" TargetMode="External"/><Relationship Id="rId195" Type="http://schemas.openxmlformats.org/officeDocument/2006/relationships/hyperlink" Target="https://x.com/Kaoru_Kami/status/1981712577156534746" TargetMode="External"/><Relationship Id="rId199" Type="http://schemas.openxmlformats.org/officeDocument/2006/relationships/hyperlink" Target="https://pbs.twimg.com/profile_images/1463423643095031814/en_jwgIz_normal.jpg" TargetMode="External"/><Relationship Id="rId150" Type="http://schemas.openxmlformats.org/officeDocument/2006/relationships/hyperlink" Target="https://x.com/Dontpointdownt/status/1984273142370693434" TargetMode="External"/><Relationship Id="rId392" Type="http://schemas.openxmlformats.org/officeDocument/2006/relationships/hyperlink" Target="https://pbs.twimg.com/profile_images/1986961063972163584/vA4mu2EC_normal.jpg" TargetMode="External"/><Relationship Id="rId391" Type="http://schemas.openxmlformats.org/officeDocument/2006/relationships/hyperlink" Target="https://x.com/Gatonegroylkj/status/1968137229391499467" TargetMode="External"/><Relationship Id="rId390" Type="http://schemas.openxmlformats.org/officeDocument/2006/relationships/hyperlink" Target="https://pbs.twimg.com/profile_banners/1105994111109267457/1758241575" TargetMode="External"/><Relationship Id="rId1" Type="http://schemas.openxmlformats.org/officeDocument/2006/relationships/hyperlink" Target="https://x.com/agnesphilia/status/1995248798575300954" TargetMode="External"/><Relationship Id="rId2" Type="http://schemas.openxmlformats.org/officeDocument/2006/relationships/hyperlink" Target="https://pbs.twimg.com/profile_images/1890410893239873536/OKYrydXt_normal.jpg" TargetMode="External"/><Relationship Id="rId3" Type="http://schemas.openxmlformats.org/officeDocument/2006/relationships/hyperlink" Target="https://pbs.twimg.com/profile_banners/1163381867623702529/1702326479" TargetMode="External"/><Relationship Id="rId149" Type="http://schemas.openxmlformats.org/officeDocument/2006/relationships/hyperlink" Target="https://pbs.twimg.com/profile_banners/96588996/1721510766" TargetMode="External"/><Relationship Id="rId4" Type="http://schemas.openxmlformats.org/officeDocument/2006/relationships/hyperlink" Target="https://x.com/ferneurada/status/1994911863172481298" TargetMode="External"/><Relationship Id="rId148" Type="http://schemas.openxmlformats.org/officeDocument/2006/relationships/hyperlink" Target="https://pbs.twimg.com/profile_images/1814773754444075008/YIt1dlbI_normal.jpg" TargetMode="External"/><Relationship Id="rId1090" Type="http://schemas.openxmlformats.org/officeDocument/2006/relationships/hyperlink" Target="https://pbs.twimg.com/amplify_video_thumb/1924507555717419008/img/50YxrMEDJTL3f8iB.jpg" TargetMode="External"/><Relationship Id="rId1091" Type="http://schemas.openxmlformats.org/officeDocument/2006/relationships/hyperlink" Target="https://video.twimg.com/amplify_video/1924507555717419008/vid/avc1/720x898/R1C6snLmqcLh1JYf.mp4?tag=14" TargetMode="External"/><Relationship Id="rId1092" Type="http://schemas.openxmlformats.org/officeDocument/2006/relationships/hyperlink" Target="https://x.com/MatsuiArt/status/1924232790213538006" TargetMode="External"/><Relationship Id="rId1093" Type="http://schemas.openxmlformats.org/officeDocument/2006/relationships/hyperlink" Target="https://pbs.twimg.com/profile_images/1897349690259070976/hgWJ5Oua_normal.jpg" TargetMode="External"/><Relationship Id="rId1094" Type="http://schemas.openxmlformats.org/officeDocument/2006/relationships/hyperlink" Target="https://pbs.twimg.com/profile_banners/2358855016/1650879245" TargetMode="External"/><Relationship Id="rId9" Type="http://schemas.openxmlformats.org/officeDocument/2006/relationships/hyperlink" Target="https://pbs.twimg.com/profile_banners/1708243029620850688/1759360665" TargetMode="External"/><Relationship Id="rId143" Type="http://schemas.openxmlformats.org/officeDocument/2006/relationships/hyperlink" Target="https://www.elnacional.cat/enblau/es/television/santi-millan-sorprende-diagnosticaron-tdah-con-50-anos-siempre-pensado-vago_1507756_102.html?utm_medium=Social&amp;utm_campaign=TwitterEchobox&amp;utm_source=Twitter" TargetMode="External"/><Relationship Id="rId385" Type="http://schemas.openxmlformats.org/officeDocument/2006/relationships/hyperlink" Target="https://pbs.twimg.com/profile_images/1961151976059670528/S3ET-DHp_normal.jpg" TargetMode="External"/><Relationship Id="rId1095" Type="http://schemas.openxmlformats.org/officeDocument/2006/relationships/hyperlink" Target="https://x.com/pau/status/1924178252349718999" TargetMode="External"/><Relationship Id="rId142" Type="http://schemas.openxmlformats.org/officeDocument/2006/relationships/hyperlink" Target="https://pbs.twimg.com/profile_banners/3504318874/1457114112" TargetMode="External"/><Relationship Id="rId384" Type="http://schemas.openxmlformats.org/officeDocument/2006/relationships/hyperlink" Target="https://x.com/mahlucca1206/status/1968871999712690568" TargetMode="External"/><Relationship Id="rId1096" Type="http://schemas.openxmlformats.org/officeDocument/2006/relationships/hyperlink" Target="https://pbs.twimg.com/profile_images/1141030698947686400/QOH39mM0_normal.jpg" TargetMode="External"/><Relationship Id="rId141" Type="http://schemas.openxmlformats.org/officeDocument/2006/relationships/hyperlink" Target="https://pbs.twimg.com/profile_images/646298514385960960/VEutSP7L_normal.png" TargetMode="External"/><Relationship Id="rId383" Type="http://schemas.openxmlformats.org/officeDocument/2006/relationships/hyperlink" Target="https://pbs.twimg.com/profile_images/1984009020219195393/yvqFH26U_normal.jpg" TargetMode="External"/><Relationship Id="rId1097" Type="http://schemas.openxmlformats.org/officeDocument/2006/relationships/hyperlink" Target="https://pbs.twimg.com/profile_banners/6068/1665387027" TargetMode="External"/><Relationship Id="rId140" Type="http://schemas.openxmlformats.org/officeDocument/2006/relationships/hyperlink" Target="https://x.com/elnacionalcat_e/status/1984572946581434666" TargetMode="External"/><Relationship Id="rId382" Type="http://schemas.openxmlformats.org/officeDocument/2006/relationships/hyperlink" Target="https://x.com/Lordpristino7/status/1969577679100809433" TargetMode="External"/><Relationship Id="rId1098" Type="http://schemas.openxmlformats.org/officeDocument/2006/relationships/hyperlink" Target="https://pbs.twimg.com/ext_tw_video_thumb/1924178004101509120/pu/img/E0OzDqgMeljFYyCV.jpg" TargetMode="External"/><Relationship Id="rId5" Type="http://schemas.openxmlformats.org/officeDocument/2006/relationships/hyperlink" Target="https://pbs.twimg.com/profile_images/1795296960276021248/pNqQImmg_normal.jpg" TargetMode="External"/><Relationship Id="rId147" Type="http://schemas.openxmlformats.org/officeDocument/2006/relationships/hyperlink" Target="https://x.com/AleSomnologa/status/1984379381255389281" TargetMode="External"/><Relationship Id="rId389" Type="http://schemas.openxmlformats.org/officeDocument/2006/relationships/hyperlink" Target="https://pbs.twimg.com/profile_images/1968834253837201408/Hu-6pnsl_normal.jpg" TargetMode="External"/><Relationship Id="rId1099" Type="http://schemas.openxmlformats.org/officeDocument/2006/relationships/hyperlink" Target="https://video.twimg.com/ext_tw_video/1924178004101509120/pu/vid/avc1/720x1280/U2iJgOhEcx0Yv2BT.mp4?tag=12" TargetMode="External"/><Relationship Id="rId6" Type="http://schemas.openxmlformats.org/officeDocument/2006/relationships/hyperlink" Target="https://pbs.twimg.com/profile_banners/1058680195543191553/1701883457" TargetMode="External"/><Relationship Id="rId146" Type="http://schemas.openxmlformats.org/officeDocument/2006/relationships/hyperlink" Target="https://pbs.twimg.com/profile_banners/2558325912/1701978245" TargetMode="External"/><Relationship Id="rId388" Type="http://schemas.openxmlformats.org/officeDocument/2006/relationships/hyperlink" Target="https://x.com/DavidFiocchi/status/1968846894483886082" TargetMode="External"/><Relationship Id="rId7" Type="http://schemas.openxmlformats.org/officeDocument/2006/relationships/hyperlink" Target="https://x.com/FrancaKamy40627/status/1994568850789339471" TargetMode="External"/><Relationship Id="rId145" Type="http://schemas.openxmlformats.org/officeDocument/2006/relationships/hyperlink" Target="https://pbs.twimg.com/profile_images/1994858327260459012/sZmbMZe__normal.jpg" TargetMode="External"/><Relationship Id="rId387" Type="http://schemas.openxmlformats.org/officeDocument/2006/relationships/hyperlink" Target="https://pbs.twimg.com/media/G05kH0BXgAAahss.jpg" TargetMode="External"/><Relationship Id="rId8" Type="http://schemas.openxmlformats.org/officeDocument/2006/relationships/hyperlink" Target="https://pbs.twimg.com/profile_images/1991998380696895488/JZ73PGqt_normal.jpg" TargetMode="External"/><Relationship Id="rId144" Type="http://schemas.openxmlformats.org/officeDocument/2006/relationships/hyperlink" Target="https://x.com/shawnxgabriel/status/1984401130810421343" TargetMode="External"/><Relationship Id="rId386" Type="http://schemas.openxmlformats.org/officeDocument/2006/relationships/hyperlink" Target="https://pbs.twimg.com/profile_banners/949430546442137601/1751073816" TargetMode="External"/><Relationship Id="rId381" Type="http://schemas.openxmlformats.org/officeDocument/2006/relationships/hyperlink" Target="https://pbs.twimg.com/media/G1XVs93X0AAU_Kd.jpg,https://pbs.twimg.com/media/G1XUdvDXMAAqBoP.jpg,https://pbs.twimg.com/media/G1XVrZrXYAAzUud.jpg" TargetMode="External"/><Relationship Id="rId380" Type="http://schemas.openxmlformats.org/officeDocument/2006/relationships/hyperlink" Target="https://tdahvalles.org/%f0%9f%9a%b6%f0%9f%9a%b6%e2%99%80%ef%b8%8f2a-edicio-sabadell360-camina-pel-tdah/" TargetMode="External"/><Relationship Id="rId139" Type="http://schemas.openxmlformats.org/officeDocument/2006/relationships/hyperlink" Target="https://pbs.twimg.com/profile_banners/103701474/1735871972" TargetMode="External"/><Relationship Id="rId138" Type="http://schemas.openxmlformats.org/officeDocument/2006/relationships/hyperlink" Target="https://pbs.twimg.com/profile_images/1785520949317505024/efkxG2kI_normal.jpg" TargetMode="External"/><Relationship Id="rId137" Type="http://schemas.openxmlformats.org/officeDocument/2006/relationships/hyperlink" Target="https://x.com/VicthorVargas32/status/1984608764264399083" TargetMode="External"/><Relationship Id="rId379" Type="http://schemas.openxmlformats.org/officeDocument/2006/relationships/hyperlink" Target="https://pbs.twimg.com/profile_banners/1326998840/1737196190" TargetMode="External"/><Relationship Id="rId1080" Type="http://schemas.openxmlformats.org/officeDocument/2006/relationships/hyperlink" Target="https://x.com/flopzynho/status/1924874637244088481" TargetMode="External"/><Relationship Id="rId1081" Type="http://schemas.openxmlformats.org/officeDocument/2006/relationships/hyperlink" Target="https://pbs.twimg.com/profile_images/1977107143699386368/jaOPbgKz_normal.jpg" TargetMode="External"/><Relationship Id="rId1082" Type="http://schemas.openxmlformats.org/officeDocument/2006/relationships/hyperlink" Target="https://pbs.twimg.com/profile_banners/1777150888773079040/1733819990" TargetMode="External"/><Relationship Id="rId1083" Type="http://schemas.openxmlformats.org/officeDocument/2006/relationships/hyperlink" Target="https://x.com/crepch/status/1924515863354364101" TargetMode="External"/><Relationship Id="rId132" Type="http://schemas.openxmlformats.org/officeDocument/2006/relationships/hyperlink" Target="https://x.com/Guiilhermemmelo/status/1985066365934342217" TargetMode="External"/><Relationship Id="rId374" Type="http://schemas.openxmlformats.org/officeDocument/2006/relationships/hyperlink" Target="https://pbs.twimg.com/profile_images/1787763812550242304/rNeoqV9U_normal.jpg" TargetMode="External"/><Relationship Id="rId1084" Type="http://schemas.openxmlformats.org/officeDocument/2006/relationships/hyperlink" Target="https://pbs.twimg.com/profile_images/1136061746895106049/G8TS_hD3_normal.jpg" TargetMode="External"/><Relationship Id="rId131" Type="http://schemas.openxmlformats.org/officeDocument/2006/relationships/hyperlink" Target="https://pbs.twimg.com/profile_banners/1575663278168379392/1692222998" TargetMode="External"/><Relationship Id="rId373" Type="http://schemas.openxmlformats.org/officeDocument/2006/relationships/hyperlink" Target="https://x.com/RussellTor40786/status/1970181565071376777" TargetMode="External"/><Relationship Id="rId1085" Type="http://schemas.openxmlformats.org/officeDocument/2006/relationships/hyperlink" Target="https://pbs.twimg.com/profile_banners/944734585614716928/1747074694" TargetMode="External"/><Relationship Id="rId130" Type="http://schemas.openxmlformats.org/officeDocument/2006/relationships/hyperlink" Target="https://pbs.twimg.com/profile_images/1691915761298661376/kQj0dmte_normal.jpg" TargetMode="External"/><Relationship Id="rId372" Type="http://schemas.openxmlformats.org/officeDocument/2006/relationships/hyperlink" Target="https://pbs.twimg.com/profile_banners/1933147356318273536/1749793962" TargetMode="External"/><Relationship Id="rId1086" Type="http://schemas.openxmlformats.org/officeDocument/2006/relationships/hyperlink" Target="https://pbs.twimg.com/media/GrVAQvAWUAAWKG-.jpg" TargetMode="External"/><Relationship Id="rId371" Type="http://schemas.openxmlformats.org/officeDocument/2006/relationships/hyperlink" Target="https://pbs.twimg.com/profile_images/1991879814202966016/NevAh72S_normal.jpg" TargetMode="External"/><Relationship Id="rId1087" Type="http://schemas.openxmlformats.org/officeDocument/2006/relationships/hyperlink" Target="https://x.com/crepch/status/1924507579130012138" TargetMode="External"/><Relationship Id="rId136" Type="http://schemas.openxmlformats.org/officeDocument/2006/relationships/hyperlink" Target="https://pbs.twimg.com/profile_images/1990078699845083137/NGjbIpwT_normal.jpg" TargetMode="External"/><Relationship Id="rId378" Type="http://schemas.openxmlformats.org/officeDocument/2006/relationships/hyperlink" Target="https://pbs.twimg.com/profile_images/1880563923532873728/NAV97Jw9_normal.jpg" TargetMode="External"/><Relationship Id="rId1088" Type="http://schemas.openxmlformats.org/officeDocument/2006/relationships/hyperlink" Target="https://pbs.twimg.com/profile_images/1136061746895106049/G8TS_hD3_normal.jpg" TargetMode="External"/><Relationship Id="rId135" Type="http://schemas.openxmlformats.org/officeDocument/2006/relationships/hyperlink" Target="https://x.com/clairdieluna/status/1984944044372291725" TargetMode="External"/><Relationship Id="rId377" Type="http://schemas.openxmlformats.org/officeDocument/2006/relationships/hyperlink" Target="https://x.com/TenemosTDAHSBD/status/1969715444287521091" TargetMode="External"/><Relationship Id="rId1089" Type="http://schemas.openxmlformats.org/officeDocument/2006/relationships/hyperlink" Target="https://pbs.twimg.com/profile_banners/944734585614716928/1747074694" TargetMode="External"/><Relationship Id="rId134" Type="http://schemas.openxmlformats.org/officeDocument/2006/relationships/hyperlink" Target="https://pbs.twimg.com/profile_banners/116099511/1760812738" TargetMode="External"/><Relationship Id="rId376" Type="http://schemas.openxmlformats.org/officeDocument/2006/relationships/hyperlink" Target="https://pbs.twimg.com/media/G1d9mYIaoAYKusm.jpg" TargetMode="External"/><Relationship Id="rId133" Type="http://schemas.openxmlformats.org/officeDocument/2006/relationships/hyperlink" Target="https://pbs.twimg.com/profile_images/1994890697795686400/3Vx49bbp_normal.jpg" TargetMode="External"/><Relationship Id="rId375" Type="http://schemas.openxmlformats.org/officeDocument/2006/relationships/hyperlink" Target="http://ebooksharez.info/x/libro/123788/1360" TargetMode="External"/><Relationship Id="rId172" Type="http://schemas.openxmlformats.org/officeDocument/2006/relationships/hyperlink" Target="https://x.com/ElPaido/status/1982937153966391486" TargetMode="External"/><Relationship Id="rId171" Type="http://schemas.openxmlformats.org/officeDocument/2006/relationships/hyperlink" Target="https://pbs.twimg.com/profile_banners/236621586/1606877123" TargetMode="External"/><Relationship Id="rId170" Type="http://schemas.openxmlformats.org/officeDocument/2006/relationships/hyperlink" Target="https://pbs.twimg.com/profile_images/1540464860768731136/UM4JIXS3_normal.jpg" TargetMode="External"/><Relationship Id="rId165" Type="http://schemas.openxmlformats.org/officeDocument/2006/relationships/hyperlink" Target="https://x.com/MauricioLeija/status/1983221658258420052" TargetMode="External"/><Relationship Id="rId164" Type="http://schemas.openxmlformats.org/officeDocument/2006/relationships/hyperlink" Target="https://pbs.twimg.com/media/G4Zou42XQAAcqvr.jpg" TargetMode="External"/><Relationship Id="rId163" Type="http://schemas.openxmlformats.org/officeDocument/2006/relationships/hyperlink" Target="https://acortar.link/ohPnPh" TargetMode="External"/><Relationship Id="rId162" Type="http://schemas.openxmlformats.org/officeDocument/2006/relationships/hyperlink" Target="https://pbs.twimg.com/profile_banners/82608449/1715111412" TargetMode="External"/><Relationship Id="rId169" Type="http://schemas.openxmlformats.org/officeDocument/2006/relationships/hyperlink" Target="https://x.com/ElPaido/status/1982937161914830978" TargetMode="External"/><Relationship Id="rId168" Type="http://schemas.openxmlformats.org/officeDocument/2006/relationships/hyperlink" Target="https://x.com/i/broadcasts/1mrGmBADnwqJy" TargetMode="External"/><Relationship Id="rId167" Type="http://schemas.openxmlformats.org/officeDocument/2006/relationships/hyperlink" Target="https://pbs.twimg.com/profile_banners/2825615947/1674793295" TargetMode="External"/><Relationship Id="rId166" Type="http://schemas.openxmlformats.org/officeDocument/2006/relationships/hyperlink" Target="https://pbs.twimg.com/profile_images/1988347861507952640/MmBWSSun_normal.jpg" TargetMode="External"/><Relationship Id="rId161" Type="http://schemas.openxmlformats.org/officeDocument/2006/relationships/hyperlink" Target="https://pbs.twimg.com/profile_images/1787920497663201280/f5adixpO_normal.jpg" TargetMode="External"/><Relationship Id="rId160" Type="http://schemas.openxmlformats.org/officeDocument/2006/relationships/hyperlink" Target="https://x.com/DiarioPresente/status/1983614814682599537" TargetMode="External"/><Relationship Id="rId159" Type="http://schemas.openxmlformats.org/officeDocument/2006/relationships/hyperlink" Target="https://pbs.twimg.com/media/G4Z-ZLIXQAA3I_3.jpg,https://pbs.twimg.com/media/G4Z-ZLIWMAAzdpC.jpg" TargetMode="External"/><Relationship Id="rId154" Type="http://schemas.openxmlformats.org/officeDocument/2006/relationships/hyperlink" Target="https://pbs.twimg.com/profile_images/1992974675316518912/qYtE_P_w_normal.jpg" TargetMode="External"/><Relationship Id="rId396" Type="http://schemas.openxmlformats.org/officeDocument/2006/relationships/hyperlink" Target="https://pbs.twimg.com/profile_banners/987245748998852609/1740834311" TargetMode="External"/><Relationship Id="rId153" Type="http://schemas.openxmlformats.org/officeDocument/2006/relationships/hyperlink" Target="https://x.com/Inferno033/status/1983979036130091450" TargetMode="External"/><Relationship Id="rId395" Type="http://schemas.openxmlformats.org/officeDocument/2006/relationships/hyperlink" Target="https://pbs.twimg.com/profile_images/1960247751138037760/NxiT7pbc_normal.jpg" TargetMode="External"/><Relationship Id="rId152" Type="http://schemas.openxmlformats.org/officeDocument/2006/relationships/hyperlink" Target="https://pbs.twimg.com/profile_banners/1436114005538623488/1760658876" TargetMode="External"/><Relationship Id="rId394" Type="http://schemas.openxmlformats.org/officeDocument/2006/relationships/hyperlink" Target="https://x.com/Elkarre1/status/1967916713141473326" TargetMode="External"/><Relationship Id="rId151" Type="http://schemas.openxmlformats.org/officeDocument/2006/relationships/hyperlink" Target="https://pbs.twimg.com/profile_images/1985493392306868224/tN1WcBhv_normal.jpg" TargetMode="External"/><Relationship Id="rId393" Type="http://schemas.openxmlformats.org/officeDocument/2006/relationships/hyperlink" Target="https://pbs.twimg.com/profile_banners/614921619/1638468385" TargetMode="External"/><Relationship Id="rId158" Type="http://schemas.openxmlformats.org/officeDocument/2006/relationships/hyperlink" Target="https://pbs.twimg.com/profile_banners/2800326913/1764120455" TargetMode="External"/><Relationship Id="rId157" Type="http://schemas.openxmlformats.org/officeDocument/2006/relationships/hyperlink" Target="https://pbs.twimg.com/profile_images/1993491743702908928/bh47vf7x_normal.jpg" TargetMode="External"/><Relationship Id="rId399" Type="http://schemas.openxmlformats.org/officeDocument/2006/relationships/hyperlink" Target="https://pbs.twimg.com/profile_banners/236621586/1606877123" TargetMode="External"/><Relationship Id="rId156" Type="http://schemas.openxmlformats.org/officeDocument/2006/relationships/hyperlink" Target="https://x.com/jeonparkx/status/1983703535553577329" TargetMode="External"/><Relationship Id="rId398" Type="http://schemas.openxmlformats.org/officeDocument/2006/relationships/hyperlink" Target="https://pbs.twimg.com/profile_images/1540464860768731136/UM4JIXS3_normal.jpg" TargetMode="External"/><Relationship Id="rId155" Type="http://schemas.openxmlformats.org/officeDocument/2006/relationships/hyperlink" Target="https://pbs.twimg.com/profile_banners/1569868758344253441/1762210916" TargetMode="External"/><Relationship Id="rId397" Type="http://schemas.openxmlformats.org/officeDocument/2006/relationships/hyperlink" Target="https://x.com/ElPaido/status/1967691432703168840" TargetMode="External"/><Relationship Id="rId808" Type="http://schemas.openxmlformats.org/officeDocument/2006/relationships/hyperlink" Target="https://pbs.twimg.com/profile_banners/1860792052083982336/1743380534" TargetMode="External"/><Relationship Id="rId807" Type="http://schemas.openxmlformats.org/officeDocument/2006/relationships/hyperlink" Target="https://pbs.twimg.com/profile_images/1906504199870754816/N3ffPQmw_normal.jpg" TargetMode="External"/><Relationship Id="rId806" Type="http://schemas.openxmlformats.org/officeDocument/2006/relationships/hyperlink" Target="https://x.com/eundigoenada/status/1939435459081568383" TargetMode="External"/><Relationship Id="rId805" Type="http://schemas.openxmlformats.org/officeDocument/2006/relationships/hyperlink" Target="https://pbs.twimg.com/profile_banners/143447722/1668450897" TargetMode="External"/><Relationship Id="rId809" Type="http://schemas.openxmlformats.org/officeDocument/2006/relationships/hyperlink" Target="https://pbs.twimg.com/media/GuojXFwWAAE7WTr.jpg" TargetMode="External"/><Relationship Id="rId800" Type="http://schemas.openxmlformats.org/officeDocument/2006/relationships/hyperlink" Target="https://go.ivoox.com/rf/133566312" TargetMode="External"/><Relationship Id="rId804" Type="http://schemas.openxmlformats.org/officeDocument/2006/relationships/hyperlink" Target="https://pbs.twimg.com/profile_images/1985839820015353856/hTSMXN2b_normal.jpg" TargetMode="External"/><Relationship Id="rId803" Type="http://schemas.openxmlformats.org/officeDocument/2006/relationships/hyperlink" Target="https://x.com/desgra_ciado/status/1939840471632625683" TargetMode="External"/><Relationship Id="rId802" Type="http://schemas.openxmlformats.org/officeDocument/2006/relationships/hyperlink" Target="https://video.twimg.com/amplify_video/1939760661354987520/vid/avc1/720x1280/7LMMKU6nRN_n1Shn.mp4?tag=14" TargetMode="External"/><Relationship Id="rId801" Type="http://schemas.openxmlformats.org/officeDocument/2006/relationships/hyperlink" Target="https://pbs.twimg.com/amplify_video_thumb/1939760661354987520/img/xM06VfIRN8By7fIk.jpg" TargetMode="External"/><Relationship Id="rId40" Type="http://schemas.openxmlformats.org/officeDocument/2006/relationships/hyperlink" Target="https://pbs.twimg.com/profile_images/1986819115571412992/QqHptaKd_normal.jpg" TargetMode="External"/><Relationship Id="rId42" Type="http://schemas.openxmlformats.org/officeDocument/2006/relationships/hyperlink" Target="https://x.com/day_samer05/status/1992658283501670573" TargetMode="External"/><Relationship Id="rId41" Type="http://schemas.openxmlformats.org/officeDocument/2006/relationships/hyperlink" Target="https://pbs.twimg.com/profile_banners/1371318813682241536/1762529834" TargetMode="External"/><Relationship Id="rId44" Type="http://schemas.openxmlformats.org/officeDocument/2006/relationships/hyperlink" Target="https://pbs.twimg.com/profile_banners/801618541/1728607589" TargetMode="External"/><Relationship Id="rId43" Type="http://schemas.openxmlformats.org/officeDocument/2006/relationships/hyperlink" Target="https://pbs.twimg.com/profile_images/1952105455175507968/ChINjE8Y_normal.jpg" TargetMode="External"/><Relationship Id="rId46" Type="http://schemas.openxmlformats.org/officeDocument/2006/relationships/hyperlink" Target="https://pbs.twimg.com/profile_images/1612282297511714818/oCRD__8q_normal.jpg" TargetMode="External"/><Relationship Id="rId45" Type="http://schemas.openxmlformats.org/officeDocument/2006/relationships/hyperlink" Target="https://x.com/alana_prado07/status/1991949017253593195" TargetMode="External"/><Relationship Id="rId509" Type="http://schemas.openxmlformats.org/officeDocument/2006/relationships/hyperlink" Target="https://x.com/nkkrkive/status/1961627112680444335" TargetMode="External"/><Relationship Id="rId508" Type="http://schemas.openxmlformats.org/officeDocument/2006/relationships/hyperlink" Target="https://video.twimg.com/amplify_video/1961642981854793729/vid/avc1/720x1280/Y8KVumfQE_yIbvUd.mp4?tag=14" TargetMode="External"/><Relationship Id="rId503" Type="http://schemas.openxmlformats.org/officeDocument/2006/relationships/hyperlink" Target="https://pbs.twimg.com/amplify_video_thumb/1961817883421339649/img/-c7njyr1CU34U6kd.jpg" TargetMode="External"/><Relationship Id="rId745" Type="http://schemas.openxmlformats.org/officeDocument/2006/relationships/hyperlink" Target="https://pbs.twimg.com/amplify_video_thumb/1943396228181442560/img/WiEl8tAoRvJbaCRp.jpg" TargetMode="External"/><Relationship Id="rId987" Type="http://schemas.openxmlformats.org/officeDocument/2006/relationships/hyperlink" Target="https://pbs.twimg.com/profile_images/1683709895781101568/-2_Jb0kg_normal.jpg" TargetMode="External"/><Relationship Id="rId502" Type="http://schemas.openxmlformats.org/officeDocument/2006/relationships/hyperlink" Target="https://pbs.twimg.com/profile_banners/1949978403341316096/1760570058" TargetMode="External"/><Relationship Id="rId744" Type="http://schemas.openxmlformats.org/officeDocument/2006/relationships/hyperlink" Target="https://pbs.twimg.com/profile_banners/2825615947/1674793295" TargetMode="External"/><Relationship Id="rId986" Type="http://schemas.openxmlformats.org/officeDocument/2006/relationships/hyperlink" Target="https://x.com/NoraOlival/status/1929637582570422330" TargetMode="External"/><Relationship Id="rId501" Type="http://schemas.openxmlformats.org/officeDocument/2006/relationships/hyperlink" Target="https://pbs.twimg.com/profile_images/1949979084550807553/Tt8wVRrq_normal.jpg" TargetMode="External"/><Relationship Id="rId743" Type="http://schemas.openxmlformats.org/officeDocument/2006/relationships/hyperlink" Target="https://pbs.twimg.com/profile_images/1988347861507952640/MmBWSSun_normal.jpg" TargetMode="External"/><Relationship Id="rId985" Type="http://schemas.openxmlformats.org/officeDocument/2006/relationships/hyperlink" Target="https://pbs.twimg.com/media/Gsg76q_XMAEPx_W.jpg" TargetMode="External"/><Relationship Id="rId500" Type="http://schemas.openxmlformats.org/officeDocument/2006/relationships/hyperlink" Target="https://x.com/hitmagazine_br/status/1961818062752989348" TargetMode="External"/><Relationship Id="rId742" Type="http://schemas.openxmlformats.org/officeDocument/2006/relationships/hyperlink" Target="https://x.com/MauricioLeija/status/1943396412693033148" TargetMode="External"/><Relationship Id="rId984" Type="http://schemas.openxmlformats.org/officeDocument/2006/relationships/hyperlink" Target="https://forms.gle/HVZoEEUoa3vuakb16" TargetMode="External"/><Relationship Id="rId507" Type="http://schemas.openxmlformats.org/officeDocument/2006/relationships/hyperlink" Target="https://pbs.twimg.com/amplify_video_thumb/1961642981854793729/img/nVpBd8b2ZtQgytmx.jpg" TargetMode="External"/><Relationship Id="rId749" Type="http://schemas.openxmlformats.org/officeDocument/2006/relationships/hyperlink" Target="https://pbs.twimg.com/profile_banners/2825615947/1674793295" TargetMode="External"/><Relationship Id="rId506" Type="http://schemas.openxmlformats.org/officeDocument/2006/relationships/hyperlink" Target="https://pbs.twimg.com/profile_images/1745094281449103360/Len2zkMK_normal.jpg" TargetMode="External"/><Relationship Id="rId748" Type="http://schemas.openxmlformats.org/officeDocument/2006/relationships/hyperlink" Target="https://pbs.twimg.com/profile_images/1988347861507952640/MmBWSSun_normal.jpg" TargetMode="External"/><Relationship Id="rId505" Type="http://schemas.openxmlformats.org/officeDocument/2006/relationships/hyperlink" Target="https://x.com/landysJairPsic/status/1961643249480683708" TargetMode="External"/><Relationship Id="rId747" Type="http://schemas.openxmlformats.org/officeDocument/2006/relationships/hyperlink" Target="https://x.com/MauricioLeija/status/1943390327462572304" TargetMode="External"/><Relationship Id="rId989" Type="http://schemas.openxmlformats.org/officeDocument/2006/relationships/hyperlink" Target="https://x.com/crepch/status/1929577335101034774" TargetMode="External"/><Relationship Id="rId504" Type="http://schemas.openxmlformats.org/officeDocument/2006/relationships/hyperlink" Target="https://video.twimg.com/amplify_video/1961817883421339649/vid/avc1/960x720/94KRlbdzWuuBbw0a.mp4?tag=14" TargetMode="External"/><Relationship Id="rId746" Type="http://schemas.openxmlformats.org/officeDocument/2006/relationships/hyperlink" Target="https://video.twimg.com/amplify_video/1943396228181442560/vid/avc1/1280x720/PxYdMzdCbfXuTZTd.mp4?tag=14" TargetMode="External"/><Relationship Id="rId988" Type="http://schemas.openxmlformats.org/officeDocument/2006/relationships/hyperlink" Target="https://pbs.twimg.com/profile_banners/27331413/1750803995" TargetMode="External"/><Relationship Id="rId48" Type="http://schemas.openxmlformats.org/officeDocument/2006/relationships/hyperlink" Target="https://x.com/seethwangel/status/1991618910983188806" TargetMode="External"/><Relationship Id="rId47" Type="http://schemas.openxmlformats.org/officeDocument/2006/relationships/hyperlink" Target="https://pbs.twimg.com/profile_banners/1587908615670743040/1668131020" TargetMode="External"/><Relationship Id="rId49" Type="http://schemas.openxmlformats.org/officeDocument/2006/relationships/hyperlink" Target="https://pbs.twimg.com/profile_images/1993808526343352321/if7aToKn_normal.jpg" TargetMode="External"/><Relationship Id="rId741" Type="http://schemas.openxmlformats.org/officeDocument/2006/relationships/hyperlink" Target="https://video.twimg.com/amplify_video/1943399011731324929/vid/avc1/1280x720/RCV7d7L-M9Jo1MYs.mp4?tag=14" TargetMode="External"/><Relationship Id="rId983" Type="http://schemas.openxmlformats.org/officeDocument/2006/relationships/hyperlink" Target="https://pbs.twimg.com/profile_banners/1701635960/1763625150" TargetMode="External"/><Relationship Id="rId740" Type="http://schemas.openxmlformats.org/officeDocument/2006/relationships/hyperlink" Target="https://pbs.twimg.com/amplify_video_thumb/1943399011731324929/img/BQkLeGddr3Af7kHC.jpg" TargetMode="External"/><Relationship Id="rId982" Type="http://schemas.openxmlformats.org/officeDocument/2006/relationships/hyperlink" Target="https://pbs.twimg.com/profile_images/1833036709295960064/_10VyDX9_normal.jpg" TargetMode="External"/><Relationship Id="rId981" Type="http://schemas.openxmlformats.org/officeDocument/2006/relationships/hyperlink" Target="https://x.com/AytoMadridejos/status/1929858325908173057" TargetMode="External"/><Relationship Id="rId980" Type="http://schemas.openxmlformats.org/officeDocument/2006/relationships/hyperlink" Target="https://pbs.twimg.com/profile_banners/940464783609999361/1650493344" TargetMode="External"/><Relationship Id="rId31" Type="http://schemas.openxmlformats.org/officeDocument/2006/relationships/hyperlink" Target="https://pbs.twimg.com/profile_banners/69480843/1739202669" TargetMode="External"/><Relationship Id="rId30" Type="http://schemas.openxmlformats.org/officeDocument/2006/relationships/hyperlink" Target="https://pbs.twimg.com/profile_images/1967530434650079232/g0Q3dqaG_normal.jpg" TargetMode="External"/><Relationship Id="rId33" Type="http://schemas.openxmlformats.org/officeDocument/2006/relationships/hyperlink" Target="https://x.com/muryellf/status/1993476072512668039" TargetMode="External"/><Relationship Id="rId32" Type="http://schemas.openxmlformats.org/officeDocument/2006/relationships/hyperlink" Target="https://vt.tiktok.com/ZSy7t8EsU/" TargetMode="External"/><Relationship Id="rId35" Type="http://schemas.openxmlformats.org/officeDocument/2006/relationships/hyperlink" Target="https://pbs.twimg.com/profile_banners/1249725411283607552/1738265534" TargetMode="External"/><Relationship Id="rId34" Type="http://schemas.openxmlformats.org/officeDocument/2006/relationships/hyperlink" Target="https://pbs.twimg.com/profile_images/1924534022564130817/WGsQZuDz_normal.jpg" TargetMode="External"/><Relationship Id="rId739" Type="http://schemas.openxmlformats.org/officeDocument/2006/relationships/hyperlink" Target="https://pbs.twimg.com/profile_banners/2825615947/1674793295" TargetMode="External"/><Relationship Id="rId734" Type="http://schemas.openxmlformats.org/officeDocument/2006/relationships/hyperlink" Target="https://x.com/internautilus/status/1943449181873672303" TargetMode="External"/><Relationship Id="rId976" Type="http://schemas.openxmlformats.org/officeDocument/2006/relationships/hyperlink" Target="https://pbs.twimg.com/profile_banners/944734585614716928/1747074694" TargetMode="External"/><Relationship Id="rId733" Type="http://schemas.openxmlformats.org/officeDocument/2006/relationships/hyperlink" Target="https://pbs.twimg.com/profile_banners/1901450785701208064/1764520201" TargetMode="External"/><Relationship Id="rId975" Type="http://schemas.openxmlformats.org/officeDocument/2006/relationships/hyperlink" Target="https://pbs.twimg.com/profile_images/1136061746895106049/G8TS_hD3_normal.jpg" TargetMode="External"/><Relationship Id="rId732" Type="http://schemas.openxmlformats.org/officeDocument/2006/relationships/hyperlink" Target="https://pbs.twimg.com/profile_images/1995168451371864064/IcvLKwL9_normal.jpg" TargetMode="External"/><Relationship Id="rId974" Type="http://schemas.openxmlformats.org/officeDocument/2006/relationships/hyperlink" Target="https://x.com/crepch/status/1929970913685930315" TargetMode="External"/><Relationship Id="rId731" Type="http://schemas.openxmlformats.org/officeDocument/2006/relationships/hyperlink" Target="https://x.com/bebelstjames/status/1943632179310785009" TargetMode="External"/><Relationship Id="rId973" Type="http://schemas.openxmlformats.org/officeDocument/2006/relationships/hyperlink" Target="https://video.twimg.com/amplify_video/1930120826981888000/vid/avc1/1080x1920/K3Iwpp-wZlwZoqmu.mp4?tag=21" TargetMode="External"/><Relationship Id="rId738" Type="http://schemas.openxmlformats.org/officeDocument/2006/relationships/hyperlink" Target="https://pbs.twimg.com/profile_images/1988347861507952640/MmBWSSun_normal.jpg" TargetMode="External"/><Relationship Id="rId737" Type="http://schemas.openxmlformats.org/officeDocument/2006/relationships/hyperlink" Target="https://x.com/MauricioLeija/status/1943399156560609541" TargetMode="External"/><Relationship Id="rId979" Type="http://schemas.openxmlformats.org/officeDocument/2006/relationships/hyperlink" Target="https://pbs.twimg.com/profile_images/1647327185957429249/2yTsKbEN_normal.jpg" TargetMode="External"/><Relationship Id="rId736" Type="http://schemas.openxmlformats.org/officeDocument/2006/relationships/hyperlink" Target="https://pbs.twimg.com/profile_banners/1435028606363869191/1724949139" TargetMode="External"/><Relationship Id="rId978" Type="http://schemas.openxmlformats.org/officeDocument/2006/relationships/hyperlink" Target="https://x.com/fiore_giorda/status/1929949099786170674" TargetMode="External"/><Relationship Id="rId735" Type="http://schemas.openxmlformats.org/officeDocument/2006/relationships/hyperlink" Target="https://pbs.twimg.com/profile_images/1435028709615022085/r_Qp19wW_normal.jpg" TargetMode="External"/><Relationship Id="rId977" Type="http://schemas.openxmlformats.org/officeDocument/2006/relationships/hyperlink" Target="https://pbs.twimg.com/media/Gsih_xeWsAAIFiB.jpg" TargetMode="External"/><Relationship Id="rId37" Type="http://schemas.openxmlformats.org/officeDocument/2006/relationships/hyperlink" Target="https://pbs.twimg.com/profile_images/1967530434650079232/g0Q3dqaG_normal.jpg" TargetMode="External"/><Relationship Id="rId36" Type="http://schemas.openxmlformats.org/officeDocument/2006/relationships/hyperlink" Target="https://x.com/RENE_ESCALONA/status/1993448052905197596" TargetMode="External"/><Relationship Id="rId39" Type="http://schemas.openxmlformats.org/officeDocument/2006/relationships/hyperlink" Target="https://x.com/cinnamojuyo/status/1993401676531925335" TargetMode="External"/><Relationship Id="rId38" Type="http://schemas.openxmlformats.org/officeDocument/2006/relationships/hyperlink" Target="https://pbs.twimg.com/profile_banners/69480843/1739202669" TargetMode="External"/><Relationship Id="rId730" Type="http://schemas.openxmlformats.org/officeDocument/2006/relationships/hyperlink" Target="https://pbs.twimg.com/profile_banners/557029470/1731540841" TargetMode="External"/><Relationship Id="rId972" Type="http://schemas.openxmlformats.org/officeDocument/2006/relationships/hyperlink" Target="https://pbs.twimg.com/amplify_video_thumb/1930120826981888000/img/EzTCU5JBkPehyjTl.jpg" TargetMode="External"/><Relationship Id="rId971" Type="http://schemas.openxmlformats.org/officeDocument/2006/relationships/hyperlink" Target="https://pbs.twimg.com/profile_banners/2825615947/1674793295" TargetMode="External"/><Relationship Id="rId970" Type="http://schemas.openxmlformats.org/officeDocument/2006/relationships/hyperlink" Target="https://pbs.twimg.com/profile_images/1988347861507952640/MmBWSSun_normal.jpg" TargetMode="External"/><Relationship Id="rId1114" Type="http://schemas.openxmlformats.org/officeDocument/2006/relationships/hyperlink" Target="https://pbs.twimg.com/profile_images/1897403059250110464/jNPEX6TV_normal.jpg" TargetMode="External"/><Relationship Id="rId1115" Type="http://schemas.openxmlformats.org/officeDocument/2006/relationships/hyperlink" Target="https://pbs.twimg.com/profile_banners/1500348991829127172/1715578317" TargetMode="External"/><Relationship Id="rId20" Type="http://schemas.openxmlformats.org/officeDocument/2006/relationships/hyperlink" Target="https://x.com/nativcoim/status/1994086171882779107" TargetMode="External"/><Relationship Id="rId1116" Type="http://schemas.openxmlformats.org/officeDocument/2006/relationships/hyperlink" Target="https://x.com/MorphxMax06/status/1922773305611751571" TargetMode="External"/><Relationship Id="rId1117" Type="http://schemas.openxmlformats.org/officeDocument/2006/relationships/hyperlink" Target="https://pbs.twimg.com/profile_images/1923163197709721600/32z_HIi1_normal.jpg" TargetMode="External"/><Relationship Id="rId22" Type="http://schemas.openxmlformats.org/officeDocument/2006/relationships/hyperlink" Target="https://pbs.twimg.com/profile_banners/1980801816393838592/1761095374" TargetMode="External"/><Relationship Id="rId1118" Type="http://schemas.openxmlformats.org/officeDocument/2006/relationships/hyperlink" Target="https://pbs.twimg.com/profile_banners/1753766579848761344/1747352810" TargetMode="External"/><Relationship Id="rId21" Type="http://schemas.openxmlformats.org/officeDocument/2006/relationships/hyperlink" Target="https://pbs.twimg.com/profile_images/1990604784655605761/nCG48KE4_normal.jpg" TargetMode="External"/><Relationship Id="rId1119" Type="http://schemas.openxmlformats.org/officeDocument/2006/relationships/hyperlink" Target="https://x.com/Eu__Nane/status/1922711017387106379" TargetMode="External"/><Relationship Id="rId24" Type="http://schemas.openxmlformats.org/officeDocument/2006/relationships/hyperlink" Target="https://pbs.twimg.com/profile_images/1961282869478727682/FobhckOs_normal.jpg" TargetMode="External"/><Relationship Id="rId23" Type="http://schemas.openxmlformats.org/officeDocument/2006/relationships/hyperlink" Target="https://x.com/solracsael/status/1993812640859345328" TargetMode="External"/><Relationship Id="rId525" Type="http://schemas.openxmlformats.org/officeDocument/2006/relationships/hyperlink" Target="https://pbs.twimg.com/profile_banners/1311746150890901505/1764528510" TargetMode="External"/><Relationship Id="rId767" Type="http://schemas.openxmlformats.org/officeDocument/2006/relationships/hyperlink" Target="https://pbs.twimg.com/media/GvX23ZDWMAAQrWg.jpg" TargetMode="External"/><Relationship Id="rId524" Type="http://schemas.openxmlformats.org/officeDocument/2006/relationships/hyperlink" Target="https://pbs.twimg.com/profile_images/1995203445410705408/DqMcZXvj_normal.jpg" TargetMode="External"/><Relationship Id="rId766" Type="http://schemas.openxmlformats.org/officeDocument/2006/relationships/hyperlink" Target="https://pbs.twimg.com/profile_banners/236621586/1606877123" TargetMode="External"/><Relationship Id="rId523" Type="http://schemas.openxmlformats.org/officeDocument/2006/relationships/hyperlink" Target="https://x.com/jinkook_br/status/1961488240893927812" TargetMode="External"/><Relationship Id="rId765" Type="http://schemas.openxmlformats.org/officeDocument/2006/relationships/hyperlink" Target="https://pbs.twimg.com/profile_images/1540464860768731136/UM4JIXS3_normal.jpg" TargetMode="External"/><Relationship Id="rId522" Type="http://schemas.openxmlformats.org/officeDocument/2006/relationships/hyperlink" Target="https://pbs.twimg.com/profile_banners/1388351795232116737/1753671621" TargetMode="External"/><Relationship Id="rId764" Type="http://schemas.openxmlformats.org/officeDocument/2006/relationships/hyperlink" Target="https://x.com/ElPaido/status/1942730247528689706" TargetMode="External"/><Relationship Id="rId529" Type="http://schemas.openxmlformats.org/officeDocument/2006/relationships/hyperlink" Target="https://pbs.twimg.com/profile_images/1935226338291367936/1hO8E1MZ_normal.jpg" TargetMode="External"/><Relationship Id="rId528" Type="http://schemas.openxmlformats.org/officeDocument/2006/relationships/hyperlink" Target="https://x.com/updatebangtan_/status/1961474686472143219" TargetMode="External"/><Relationship Id="rId527" Type="http://schemas.openxmlformats.org/officeDocument/2006/relationships/hyperlink" Target="https://video.twimg.com/amplify_video/1961440142922493952/vid/avc1/2880x2160/94b7WGhRWWw79rbv.mp4?tag=21" TargetMode="External"/><Relationship Id="rId769" Type="http://schemas.openxmlformats.org/officeDocument/2006/relationships/hyperlink" Target="https://pbs.twimg.com/profile_images/1540464860768731136/UM4JIXS3_normal.jpg" TargetMode="External"/><Relationship Id="rId526" Type="http://schemas.openxmlformats.org/officeDocument/2006/relationships/hyperlink" Target="https://pbs.twimg.com/amplify_video_thumb/1961440142922493952/img/n3D8aZI7fSTYOyin.jpg" TargetMode="External"/><Relationship Id="rId768" Type="http://schemas.openxmlformats.org/officeDocument/2006/relationships/hyperlink" Target="https://x.com/ElPaido/status/1942346730110083106" TargetMode="External"/><Relationship Id="rId26" Type="http://schemas.openxmlformats.org/officeDocument/2006/relationships/hyperlink" Target="https://x.com/raphaelmvasc/status/1993784564351971659" TargetMode="External"/><Relationship Id="rId25" Type="http://schemas.openxmlformats.org/officeDocument/2006/relationships/hyperlink" Target="https://pbs.twimg.com/profile_banners/1128884799140179968/1715877116" TargetMode="External"/><Relationship Id="rId28" Type="http://schemas.openxmlformats.org/officeDocument/2006/relationships/hyperlink" Target="https://pbs.twimg.com/profile_banners/1973008919527124992/1759324482" TargetMode="External"/><Relationship Id="rId27" Type="http://schemas.openxmlformats.org/officeDocument/2006/relationships/hyperlink" Target="https://pbs.twimg.com/profile_images/1986518754654613504/uZvaFMLe_normal.jpg" TargetMode="External"/><Relationship Id="rId521" Type="http://schemas.openxmlformats.org/officeDocument/2006/relationships/hyperlink" Target="https://pbs.twimg.com/profile_images/1972844268986257408/PTnUPSCa_normal.jpg" TargetMode="External"/><Relationship Id="rId763" Type="http://schemas.openxmlformats.org/officeDocument/2006/relationships/hyperlink" Target="https://pbs.twimg.com/profile_banners/236621586/1606877123" TargetMode="External"/><Relationship Id="rId1110" Type="http://schemas.openxmlformats.org/officeDocument/2006/relationships/hyperlink" Target="https://pbs.twimg.com/profile_images/1940389913045729280/bA5cKxHU_normal.jpg" TargetMode="External"/><Relationship Id="rId29" Type="http://schemas.openxmlformats.org/officeDocument/2006/relationships/hyperlink" Target="https://x.com/RENE_ESCALONA/status/1993512196513685593" TargetMode="External"/><Relationship Id="rId520" Type="http://schemas.openxmlformats.org/officeDocument/2006/relationships/hyperlink" Target="https://x.com/vcuthope/status/1961540013646324174" TargetMode="External"/><Relationship Id="rId762" Type="http://schemas.openxmlformats.org/officeDocument/2006/relationships/hyperlink" Target="https://pbs.twimg.com/profile_images/1540464860768731136/UM4JIXS3_normal.jpg" TargetMode="External"/><Relationship Id="rId1111" Type="http://schemas.openxmlformats.org/officeDocument/2006/relationships/hyperlink" Target="https://pbs.twimg.com/profile_banners/2467626889/1732724736" TargetMode="External"/><Relationship Id="rId761" Type="http://schemas.openxmlformats.org/officeDocument/2006/relationships/hyperlink" Target="https://x.com/ElPaido/status/1942730282840514733" TargetMode="External"/><Relationship Id="rId1112" Type="http://schemas.openxmlformats.org/officeDocument/2006/relationships/hyperlink" Target="https://pbs.twimg.com/media/GrD2UUZWYAAVALk.jpg" TargetMode="External"/><Relationship Id="rId760" Type="http://schemas.openxmlformats.org/officeDocument/2006/relationships/hyperlink" Target="https://www.rizaldos.com/tdah-en-adultos/" TargetMode="External"/><Relationship Id="rId1113" Type="http://schemas.openxmlformats.org/officeDocument/2006/relationships/hyperlink" Target="https://x.com/DiegoOl59382690/status/1923240027359727694" TargetMode="External"/><Relationship Id="rId1103" Type="http://schemas.openxmlformats.org/officeDocument/2006/relationships/hyperlink" Target="https://x.com/Eowynth/status/1924069360483643518" TargetMode="External"/><Relationship Id="rId1104" Type="http://schemas.openxmlformats.org/officeDocument/2006/relationships/hyperlink" Target="https://pbs.twimg.com/profile_images/1790082049019203584/31iuO4ZQ_normal.jpg" TargetMode="External"/><Relationship Id="rId1105" Type="http://schemas.openxmlformats.org/officeDocument/2006/relationships/hyperlink" Target="https://pbs.twimg.com/profile_banners/89716500/1646777617" TargetMode="External"/><Relationship Id="rId1106" Type="http://schemas.openxmlformats.org/officeDocument/2006/relationships/hyperlink" Target="https://x.com/JomarioGama/status/1923423393916825884" TargetMode="External"/><Relationship Id="rId11" Type="http://schemas.openxmlformats.org/officeDocument/2006/relationships/hyperlink" Target="https://pbs.twimg.com/profile_images/1974177535626719232/d0QH5nS9_normal.jpg" TargetMode="External"/><Relationship Id="rId1107" Type="http://schemas.openxmlformats.org/officeDocument/2006/relationships/hyperlink" Target="https://pbs.twimg.com/profile_images/1416177969815490563/sZRd3TZq_normal.jpg" TargetMode="External"/><Relationship Id="rId10" Type="http://schemas.openxmlformats.org/officeDocument/2006/relationships/hyperlink" Target="https://x.com/twilightdevils/status/1994418277242548415" TargetMode="External"/><Relationship Id="rId1108" Type="http://schemas.openxmlformats.org/officeDocument/2006/relationships/hyperlink" Target="https://pbs.twimg.com/profile_banners/54222594/1626478253" TargetMode="External"/><Relationship Id="rId13" Type="http://schemas.openxmlformats.org/officeDocument/2006/relationships/hyperlink" Target="https://pbs.twimg.com/amplify_video_thumb/1994140704956620800/img/Y_soik_UzC1Ivr_R.jpg" TargetMode="External"/><Relationship Id="rId1109" Type="http://schemas.openxmlformats.org/officeDocument/2006/relationships/hyperlink" Target="https://x.com/LabRubio/status/1923308023822348364" TargetMode="External"/><Relationship Id="rId12" Type="http://schemas.openxmlformats.org/officeDocument/2006/relationships/hyperlink" Target="https://pbs.twimg.com/profile_banners/1609214522861961217/1756941594" TargetMode="External"/><Relationship Id="rId519" Type="http://schemas.openxmlformats.org/officeDocument/2006/relationships/hyperlink" Target="https://video.twimg.com/amplify_video/1961440142922493952/vid/avc1/2880x2160/94b7WGhRWWw79rbv.mp4?tag=21" TargetMode="External"/><Relationship Id="rId514" Type="http://schemas.openxmlformats.org/officeDocument/2006/relationships/hyperlink" Target="https://pbs.twimg.com/profile_banners/1844926918467936258/1764481488" TargetMode="External"/><Relationship Id="rId756" Type="http://schemas.openxmlformats.org/officeDocument/2006/relationships/hyperlink" Target="https://video.twimg.com/amplify_video/1943351824024547328/vid/avc1/1280x720/FNYa1aep2_BWO15s.mp4?tag=14" TargetMode="External"/><Relationship Id="rId998" Type="http://schemas.openxmlformats.org/officeDocument/2006/relationships/hyperlink" Target="https://pbs.twimg.com/profile_images/1994978391041122304/b09YorP9_normal.jpg" TargetMode="External"/><Relationship Id="rId513" Type="http://schemas.openxmlformats.org/officeDocument/2006/relationships/hyperlink" Target="https://pbs.twimg.com/profile_images/1994901314401144832/jM_zfCPC_normal.jpg" TargetMode="External"/><Relationship Id="rId755" Type="http://schemas.openxmlformats.org/officeDocument/2006/relationships/hyperlink" Target="https://pbs.twimg.com/amplify_video_thumb/1943351824024547328/img/ecWQoAKBL1DLIsRT.jpg" TargetMode="External"/><Relationship Id="rId997" Type="http://schemas.openxmlformats.org/officeDocument/2006/relationships/hyperlink" Target="https://x.com/kiwihwg/status/1929566005686096112" TargetMode="External"/><Relationship Id="rId512" Type="http://schemas.openxmlformats.org/officeDocument/2006/relationships/hyperlink" Target="https://x.com/Kdeira_ecletica/status/1961612007418782125" TargetMode="External"/><Relationship Id="rId754" Type="http://schemas.openxmlformats.org/officeDocument/2006/relationships/hyperlink" Target="https://pbs.twimg.com/profile_banners/2825615947/1674793295" TargetMode="External"/><Relationship Id="rId996" Type="http://schemas.openxmlformats.org/officeDocument/2006/relationships/hyperlink" Target="https://pbs.twimg.com/profile_banners/1872035516163452929/1763730097" TargetMode="External"/><Relationship Id="rId511" Type="http://schemas.openxmlformats.org/officeDocument/2006/relationships/hyperlink" Target="https://pbs.twimg.com/profile_banners/1561370330/1732725129" TargetMode="External"/><Relationship Id="rId753" Type="http://schemas.openxmlformats.org/officeDocument/2006/relationships/hyperlink" Target="https://pbs.twimg.com/profile_images/1988347861507952640/MmBWSSun_normal.jpg" TargetMode="External"/><Relationship Id="rId995" Type="http://schemas.openxmlformats.org/officeDocument/2006/relationships/hyperlink" Target="https://pbs.twimg.com/profile_images/1994405846487351296/cjKz26aa_normal.jpg" TargetMode="External"/><Relationship Id="rId518" Type="http://schemas.openxmlformats.org/officeDocument/2006/relationships/hyperlink" Target="https://pbs.twimg.com/amplify_video_thumb/1961440142922493952/img/n3D8aZI7fSTYOyin.jpg" TargetMode="External"/><Relationship Id="rId517" Type="http://schemas.openxmlformats.org/officeDocument/2006/relationships/hyperlink" Target="https://pbs.twimg.com/profile_banners/1308204379258916865/1707449861" TargetMode="External"/><Relationship Id="rId759" Type="http://schemas.openxmlformats.org/officeDocument/2006/relationships/hyperlink" Target="https://pbs.twimg.com/profile_banners/432322234/1706009030" TargetMode="External"/><Relationship Id="rId516" Type="http://schemas.openxmlformats.org/officeDocument/2006/relationships/hyperlink" Target="https://pbs.twimg.com/profile_images/1844070662568079360/SG2XhpiE_normal.jpg" TargetMode="External"/><Relationship Id="rId758" Type="http://schemas.openxmlformats.org/officeDocument/2006/relationships/hyperlink" Target="https://pbs.twimg.com/profile_images/1407082152475430912/5J-pMRPv_normal.jpg" TargetMode="External"/><Relationship Id="rId515" Type="http://schemas.openxmlformats.org/officeDocument/2006/relationships/hyperlink" Target="https://x.com/Karladeangelis1/status/1961608139620401652" TargetMode="External"/><Relationship Id="rId757" Type="http://schemas.openxmlformats.org/officeDocument/2006/relationships/hyperlink" Target="https://x.com/MRizaldos/status/1943334892642697618" TargetMode="External"/><Relationship Id="rId999" Type="http://schemas.openxmlformats.org/officeDocument/2006/relationships/hyperlink" Target="https://pbs.twimg.com/profile_banners/1817713181105487873/1764031820" TargetMode="External"/><Relationship Id="rId15" Type="http://schemas.openxmlformats.org/officeDocument/2006/relationships/hyperlink" Target="https://pbs.twimg.com/profile_images/1993098611756769280/jp2vv-i__normal.jpg" TargetMode="External"/><Relationship Id="rId990" Type="http://schemas.openxmlformats.org/officeDocument/2006/relationships/hyperlink" Target="https://pbs.twimg.com/profile_images/1136061746895106049/G8TS_hD3_normal.jpg" TargetMode="External"/><Relationship Id="rId14" Type="http://schemas.openxmlformats.org/officeDocument/2006/relationships/hyperlink" Target="https://x.com/toji_und_panzer/status/1994129002840379718" TargetMode="External"/><Relationship Id="rId17" Type="http://schemas.openxmlformats.org/officeDocument/2006/relationships/hyperlink" Target="https://x.com/difc_dubai/status/1994102071293866448" TargetMode="External"/><Relationship Id="rId16" Type="http://schemas.openxmlformats.org/officeDocument/2006/relationships/hyperlink" Target="https://pbs.twimg.com/profile_banners/1854321020057923602/1764026687" TargetMode="External"/><Relationship Id="rId19" Type="http://schemas.openxmlformats.org/officeDocument/2006/relationships/hyperlink" Target="https://pbs.twimg.com/profile_banners/907388817413459969/1505335956" TargetMode="External"/><Relationship Id="rId510" Type="http://schemas.openxmlformats.org/officeDocument/2006/relationships/hyperlink" Target="https://pbs.twimg.com/profile_images/1885690849897369600/zBHcyJKz_normal.jpg" TargetMode="External"/><Relationship Id="rId752" Type="http://schemas.openxmlformats.org/officeDocument/2006/relationships/hyperlink" Target="https://x.com/MauricioLeija/status/1943351954383524254" TargetMode="External"/><Relationship Id="rId994" Type="http://schemas.openxmlformats.org/officeDocument/2006/relationships/hyperlink" Target="https://x.com/hrjlver/status/1929575314822152236" TargetMode="External"/><Relationship Id="rId18" Type="http://schemas.openxmlformats.org/officeDocument/2006/relationships/hyperlink" Target="https://pbs.twimg.com/profile_images/907392809992421377/lSKlvmOn_normal.jpg" TargetMode="External"/><Relationship Id="rId751" Type="http://schemas.openxmlformats.org/officeDocument/2006/relationships/hyperlink" Target="https://video.twimg.com/amplify_video/1943390030434594817/vid/avc1/1280x720/dwGpb8LttaL1buRB.mp4?tag=14" TargetMode="External"/><Relationship Id="rId993" Type="http://schemas.openxmlformats.org/officeDocument/2006/relationships/hyperlink" Target="https://video.twimg.com/amplify_video/1929576881830944768/vid/avc1/720x898/xMMe0R7UsoBpX-7G.mp4?tag=14" TargetMode="External"/><Relationship Id="rId1100" Type="http://schemas.openxmlformats.org/officeDocument/2006/relationships/hyperlink" Target="https://x.com/gabrielafmars/status/1924120856923435235" TargetMode="External"/><Relationship Id="rId750" Type="http://schemas.openxmlformats.org/officeDocument/2006/relationships/hyperlink" Target="https://pbs.twimg.com/amplify_video_thumb/1943390030434594817/img/gt8BKRuWhewOx3hg.jpg" TargetMode="External"/><Relationship Id="rId992" Type="http://schemas.openxmlformats.org/officeDocument/2006/relationships/hyperlink" Target="https://pbs.twimg.com/amplify_video_thumb/1929576881830944768/img/kipLb8ux1eORQrYd.jpg" TargetMode="External"/><Relationship Id="rId1101" Type="http://schemas.openxmlformats.org/officeDocument/2006/relationships/hyperlink" Target="https://pbs.twimg.com/profile_images/1993104618021085184/u2fhCStC_normal.jpg" TargetMode="External"/><Relationship Id="rId991" Type="http://schemas.openxmlformats.org/officeDocument/2006/relationships/hyperlink" Target="https://pbs.twimg.com/profile_banners/944734585614716928/1747074694" TargetMode="External"/><Relationship Id="rId1102" Type="http://schemas.openxmlformats.org/officeDocument/2006/relationships/hyperlink" Target="https://pbs.twimg.com/profile_banners/1829334451777654784/1759949388" TargetMode="External"/><Relationship Id="rId84" Type="http://schemas.openxmlformats.org/officeDocument/2006/relationships/hyperlink" Target="https://x.com/AndoEnChisme/status/1988716398479024471" TargetMode="External"/><Relationship Id="rId83" Type="http://schemas.openxmlformats.org/officeDocument/2006/relationships/hyperlink" Target="https://pbs.twimg.com/profile_banners/166666615/1718764372" TargetMode="External"/><Relationship Id="rId86" Type="http://schemas.openxmlformats.org/officeDocument/2006/relationships/hyperlink" Target="https://pbs.twimg.com/profile_banners/1930815553582870529/1757488891" TargetMode="External"/><Relationship Id="rId85" Type="http://schemas.openxmlformats.org/officeDocument/2006/relationships/hyperlink" Target="https://pbs.twimg.com/profile_images/1965676949054918656/64xKSp6-_normal.jpg" TargetMode="External"/><Relationship Id="rId88" Type="http://schemas.openxmlformats.org/officeDocument/2006/relationships/hyperlink" Target="https://pbs.twimg.com/profile_images/1774640336301654016/C6z8O5Cp_normal.jpg" TargetMode="External"/><Relationship Id="rId87" Type="http://schemas.openxmlformats.org/officeDocument/2006/relationships/hyperlink" Target="https://x.com/cielorvr/status/1988705051591033046" TargetMode="External"/><Relationship Id="rId89" Type="http://schemas.openxmlformats.org/officeDocument/2006/relationships/hyperlink" Target="https://pbs.twimg.com/profile_banners/1018296742595448832/1711942427" TargetMode="External"/><Relationship Id="rId709" Type="http://schemas.openxmlformats.org/officeDocument/2006/relationships/hyperlink" Target="https://pbs.twimg.com/profile_banners/262827611/1670401524" TargetMode="External"/><Relationship Id="rId708" Type="http://schemas.openxmlformats.org/officeDocument/2006/relationships/hyperlink" Target="https://pbs.twimg.com/profile_images/1965494764544970752/pxKQSKne_normal.jpg" TargetMode="External"/><Relationship Id="rId707" Type="http://schemas.openxmlformats.org/officeDocument/2006/relationships/hyperlink" Target="https://x.com/wtfn4ti/status/1945646562375250373" TargetMode="External"/><Relationship Id="rId949" Type="http://schemas.openxmlformats.org/officeDocument/2006/relationships/hyperlink" Target="https://x.com/crepch/status/1930293991049719830" TargetMode="External"/><Relationship Id="rId706" Type="http://schemas.openxmlformats.org/officeDocument/2006/relationships/hyperlink" Target="https://pbs.twimg.com/profile_banners/1534132482139996162/1742419750" TargetMode="External"/><Relationship Id="rId948" Type="http://schemas.openxmlformats.org/officeDocument/2006/relationships/hyperlink" Target="https://video.twimg.com/ext_tw_video/1930326150703652864/pu/vid/avc1/720x1280/YBQQS4OveeZV4wJ1.mp4?tag=12" TargetMode="External"/><Relationship Id="rId80" Type="http://schemas.openxmlformats.org/officeDocument/2006/relationships/hyperlink" Target="https://pbs.twimg.com/profile_banners/1644967863441129472/1750355026" TargetMode="External"/><Relationship Id="rId82" Type="http://schemas.openxmlformats.org/officeDocument/2006/relationships/hyperlink" Target="https://pbs.twimg.com/profile_images/1692443415420497920/BJOTxUeH_normal.jpg" TargetMode="External"/><Relationship Id="rId81" Type="http://schemas.openxmlformats.org/officeDocument/2006/relationships/hyperlink" Target="https://x.com/ionlylovemyjuli/status/1988750705360851300" TargetMode="External"/><Relationship Id="rId701" Type="http://schemas.openxmlformats.org/officeDocument/2006/relationships/hyperlink" Target="https://pbs.twimg.com/profile_banners/2825615947/1674793295" TargetMode="External"/><Relationship Id="rId943" Type="http://schemas.openxmlformats.org/officeDocument/2006/relationships/hyperlink" Target="https://pbs.twimg.com/profile_banners/1432397304338784257/1742404315" TargetMode="External"/><Relationship Id="rId700" Type="http://schemas.openxmlformats.org/officeDocument/2006/relationships/hyperlink" Target="https://pbs.twimg.com/profile_images/1988347861507952640/MmBWSSun_normal.jpg" TargetMode="External"/><Relationship Id="rId942" Type="http://schemas.openxmlformats.org/officeDocument/2006/relationships/hyperlink" Target="https://pbs.twimg.com/profile_images/1935337935567560704/Exs98O0m_normal.jpg" TargetMode="External"/><Relationship Id="rId941" Type="http://schemas.openxmlformats.org/officeDocument/2006/relationships/hyperlink" Target="https://x.com/profluciabo/status/1930466909830389997" TargetMode="External"/><Relationship Id="rId940" Type="http://schemas.openxmlformats.org/officeDocument/2006/relationships/hyperlink" Target="https://pbs.twimg.com/media/Gs24YqyXwAAwYOm.jpg" TargetMode="External"/><Relationship Id="rId705" Type="http://schemas.openxmlformats.org/officeDocument/2006/relationships/hyperlink" Target="https://pbs.twimg.com/profile_images/1953317477611405312/Jz3_yhC-_normal.jpg" TargetMode="External"/><Relationship Id="rId947" Type="http://schemas.openxmlformats.org/officeDocument/2006/relationships/hyperlink" Target="https://pbs.twimg.com/ext_tw_video_thumb/1930326150703652864/pu/img/ChZUAeCACgWVUwlE.jpg" TargetMode="External"/><Relationship Id="rId704" Type="http://schemas.openxmlformats.org/officeDocument/2006/relationships/hyperlink" Target="https://x.com/bolouco_10/status/1945702968784773454" TargetMode="External"/><Relationship Id="rId946" Type="http://schemas.openxmlformats.org/officeDocument/2006/relationships/hyperlink" Target="https://pbs.twimg.com/profile_banners/220106733/1763359750" TargetMode="External"/><Relationship Id="rId703" Type="http://schemas.openxmlformats.org/officeDocument/2006/relationships/hyperlink" Target="https://video.twimg.com/amplify_video/1945719745291898880/vid/avc1/1280x720/9WnkVYARyroTKMAi.mp4?tag=14" TargetMode="External"/><Relationship Id="rId945" Type="http://schemas.openxmlformats.org/officeDocument/2006/relationships/hyperlink" Target="https://pbs.twimg.com/profile_images/1990300681232683010/YszKZUvu_normal.jpg" TargetMode="External"/><Relationship Id="rId702" Type="http://schemas.openxmlformats.org/officeDocument/2006/relationships/hyperlink" Target="https://pbs.twimg.com/amplify_video_thumb/1945719745291898880/img/49uKFGAra55GU3y9.jpg" TargetMode="External"/><Relationship Id="rId944" Type="http://schemas.openxmlformats.org/officeDocument/2006/relationships/hyperlink" Target="https://x.com/noadiateixeira/status/1930326354152522125" TargetMode="External"/><Relationship Id="rId73" Type="http://schemas.openxmlformats.org/officeDocument/2006/relationships/hyperlink" Target="https://pbs.twimg.com/profile_images/1957606594658643968/7tc2BPUf_normal.jpg" TargetMode="External"/><Relationship Id="rId72" Type="http://schemas.openxmlformats.org/officeDocument/2006/relationships/hyperlink" Target="https://x.com/precognitiva/status/1989809047131058234" TargetMode="External"/><Relationship Id="rId75" Type="http://schemas.openxmlformats.org/officeDocument/2006/relationships/hyperlink" Target="https://x.com/lionor_star/status/1989112889857421540" TargetMode="External"/><Relationship Id="rId74" Type="http://schemas.openxmlformats.org/officeDocument/2006/relationships/hyperlink" Target="https://pbs.twimg.com/profile_banners/1366105440212443139/1691065686" TargetMode="External"/><Relationship Id="rId77" Type="http://schemas.openxmlformats.org/officeDocument/2006/relationships/hyperlink" Target="https://pbs.twimg.com/profile_banners/1507780507878268936/1656694431" TargetMode="External"/><Relationship Id="rId76" Type="http://schemas.openxmlformats.org/officeDocument/2006/relationships/hyperlink" Target="https://pbs.twimg.com/profile_images/1592253629108572164/hVixPTyW_normal.jpg" TargetMode="External"/><Relationship Id="rId79" Type="http://schemas.openxmlformats.org/officeDocument/2006/relationships/hyperlink" Target="https://pbs.twimg.com/profile_images/1935696054353108992/OQhIB8vP_normal.jpg" TargetMode="External"/><Relationship Id="rId78" Type="http://schemas.openxmlformats.org/officeDocument/2006/relationships/hyperlink" Target="https://x.com/luv2nini/status/1989084490904592469" TargetMode="External"/><Relationship Id="rId939" Type="http://schemas.openxmlformats.org/officeDocument/2006/relationships/hyperlink" Target="https://pbs.twimg.com/profile_banners/236621586/1606877123" TargetMode="External"/><Relationship Id="rId938" Type="http://schemas.openxmlformats.org/officeDocument/2006/relationships/hyperlink" Target="https://pbs.twimg.com/profile_images/1540464860768731136/UM4JIXS3_normal.jpg" TargetMode="External"/><Relationship Id="rId937" Type="http://schemas.openxmlformats.org/officeDocument/2006/relationships/hyperlink" Target="https://x.com/ElPaido/status/1931402646964887556" TargetMode="External"/><Relationship Id="rId71" Type="http://schemas.openxmlformats.org/officeDocument/2006/relationships/hyperlink" Target="https://pbs.twimg.com/profile_banners/286316585/1627401263" TargetMode="External"/><Relationship Id="rId70" Type="http://schemas.openxmlformats.org/officeDocument/2006/relationships/hyperlink" Target="https://pbs.twimg.com/profile_images/1420049566737514497/Eg1E0dKR_normal.jpg" TargetMode="External"/><Relationship Id="rId932" Type="http://schemas.openxmlformats.org/officeDocument/2006/relationships/hyperlink" Target="https://youtu.be/27Iu9mDJpO4?si=utNmOi9O41JsRRhv" TargetMode="External"/><Relationship Id="rId931" Type="http://schemas.openxmlformats.org/officeDocument/2006/relationships/hyperlink" Target="https://pbs.twimg.com/profile_banners/2825615947/1674793295" TargetMode="External"/><Relationship Id="rId930" Type="http://schemas.openxmlformats.org/officeDocument/2006/relationships/hyperlink" Target="https://pbs.twimg.com/profile_images/1988347861507952640/MmBWSSun_normal.jpg" TargetMode="External"/><Relationship Id="rId936" Type="http://schemas.openxmlformats.org/officeDocument/2006/relationships/hyperlink" Target="https://pbs.twimg.com/media/Gs6E4D3WAAE3fPG.jpg" TargetMode="External"/><Relationship Id="rId935" Type="http://schemas.openxmlformats.org/officeDocument/2006/relationships/hyperlink" Target="https://pbs.twimg.com/profile_banners/601113942/1761843178" TargetMode="External"/><Relationship Id="rId934" Type="http://schemas.openxmlformats.org/officeDocument/2006/relationships/hyperlink" Target="https://pbs.twimg.com/profile_images/1975688429212954624/Iv_i81XJ_normal.jpg" TargetMode="External"/><Relationship Id="rId933" Type="http://schemas.openxmlformats.org/officeDocument/2006/relationships/hyperlink" Target="https://x.com/SEMERGENap/status/1931627536573677689" TargetMode="External"/><Relationship Id="rId62" Type="http://schemas.openxmlformats.org/officeDocument/2006/relationships/hyperlink" Target="https://pbs.twimg.com/profile_images/1821310457459703808/AE_UHI0x_normal.jpg" TargetMode="External"/><Relationship Id="rId61" Type="http://schemas.openxmlformats.org/officeDocument/2006/relationships/hyperlink" Target="https://x.com/brenroldan_09/status/1990868457890472069" TargetMode="External"/><Relationship Id="rId64" Type="http://schemas.openxmlformats.org/officeDocument/2006/relationships/hyperlink" Target="https://x.com/neurocirurgiabr/status/1990863893674274858" TargetMode="External"/><Relationship Id="rId63" Type="http://schemas.openxmlformats.org/officeDocument/2006/relationships/hyperlink" Target="https://pbs.twimg.com/profile_banners/1745940305461780480/1717037171" TargetMode="External"/><Relationship Id="rId66" Type="http://schemas.openxmlformats.org/officeDocument/2006/relationships/hyperlink" Target="https://pbs.twimg.com/profile_banners/104345686/1468927919" TargetMode="External"/><Relationship Id="rId65" Type="http://schemas.openxmlformats.org/officeDocument/2006/relationships/hyperlink" Target="https://pbs.twimg.com/profile_images/1663414802/logo_neurocirurgiaBR_normal.jpg" TargetMode="External"/><Relationship Id="rId68" Type="http://schemas.openxmlformats.org/officeDocument/2006/relationships/hyperlink" Target="https://www.youtube.com/shorts/hgXblxnvlPI?utm_source=dlvr.it&amp;utm_medium=twitter" TargetMode="External"/><Relationship Id="rId67" Type="http://schemas.openxmlformats.org/officeDocument/2006/relationships/hyperlink" Target="http://dlvr.it" TargetMode="External"/><Relationship Id="rId729" Type="http://schemas.openxmlformats.org/officeDocument/2006/relationships/hyperlink" Target="https://pbs.twimg.com/profile_images/1975666864031137792/pOyHLV4S_normal.jpg" TargetMode="External"/><Relationship Id="rId728" Type="http://schemas.openxmlformats.org/officeDocument/2006/relationships/hyperlink" Target="https://x.com/Sombreropiri/status/1943668990749888881" TargetMode="External"/><Relationship Id="rId60" Type="http://schemas.openxmlformats.org/officeDocument/2006/relationships/hyperlink" Target="https://pbs.twimg.com/profile_banners/169301427/1700645286" TargetMode="External"/><Relationship Id="rId723" Type="http://schemas.openxmlformats.org/officeDocument/2006/relationships/hyperlink" Target="https://x.com/SofiML05/status/1944045403806015578" TargetMode="External"/><Relationship Id="rId965" Type="http://schemas.openxmlformats.org/officeDocument/2006/relationships/hyperlink" Target="https://pbs.twimg.com/profile_images/1988347861507952640/MmBWSSun_normal.jpg" TargetMode="External"/><Relationship Id="rId722" Type="http://schemas.openxmlformats.org/officeDocument/2006/relationships/hyperlink" Target="https://pbs.twimg.com/profile_banners/167833631/1722221909" TargetMode="External"/><Relationship Id="rId964" Type="http://schemas.openxmlformats.org/officeDocument/2006/relationships/hyperlink" Target="https://x.com/MauricioLeija/status/1930135274798919870" TargetMode="External"/><Relationship Id="rId721" Type="http://schemas.openxmlformats.org/officeDocument/2006/relationships/hyperlink" Target="https://pbs.twimg.com/profile_images/1877291708758515712/avksuhct_normal.jpg" TargetMode="External"/><Relationship Id="rId963" Type="http://schemas.openxmlformats.org/officeDocument/2006/relationships/hyperlink" Target="https://pbs.twimg.com/profile_banners/4606934056/1611112110" TargetMode="External"/><Relationship Id="rId720" Type="http://schemas.openxmlformats.org/officeDocument/2006/relationships/hyperlink" Target="https://x.com/DnAlexMiguel/status/1944260313110495367" TargetMode="External"/><Relationship Id="rId962" Type="http://schemas.openxmlformats.org/officeDocument/2006/relationships/hyperlink" Target="https://pbs.twimg.com/profile_images/1351727408752308225/LLWJt1zH_normal.jpg" TargetMode="External"/><Relationship Id="rId727" Type="http://schemas.openxmlformats.org/officeDocument/2006/relationships/hyperlink" Target="https://pbs.twimg.com/profile_images/1176222119665065984/wABDnEEs_normal.jpg" TargetMode="External"/><Relationship Id="rId969" Type="http://schemas.openxmlformats.org/officeDocument/2006/relationships/hyperlink" Target="https://x.com/MauricioLeija/status/1930122161517121711" TargetMode="External"/><Relationship Id="rId726" Type="http://schemas.openxmlformats.org/officeDocument/2006/relationships/hyperlink" Target="http://terra.cat" TargetMode="External"/><Relationship Id="rId968" Type="http://schemas.openxmlformats.org/officeDocument/2006/relationships/hyperlink" Target="https://video.twimg.com/amplify_video/1930133636897988608/vid/avc1/1920x1080/AD0nQ_o1l-gT4Wd-.mp4?tag=21" TargetMode="External"/><Relationship Id="rId725" Type="http://schemas.openxmlformats.org/officeDocument/2006/relationships/hyperlink" Target="https://x.com/Terracat2/status/1943675147631596015" TargetMode="External"/><Relationship Id="rId967" Type="http://schemas.openxmlformats.org/officeDocument/2006/relationships/hyperlink" Target="https://pbs.twimg.com/amplify_video_thumb/1930133636897988608/img/4LSRTDmGGA1lROt4.jpg" TargetMode="External"/><Relationship Id="rId724" Type="http://schemas.openxmlformats.org/officeDocument/2006/relationships/hyperlink" Target="https://pbs.twimg.com/profile_images/1679533502499282955/f4VZTk4O_normal.jpg" TargetMode="External"/><Relationship Id="rId966" Type="http://schemas.openxmlformats.org/officeDocument/2006/relationships/hyperlink" Target="https://pbs.twimg.com/profile_banners/2825615947/1674793295" TargetMode="External"/><Relationship Id="rId69" Type="http://schemas.openxmlformats.org/officeDocument/2006/relationships/hyperlink" Target="https://x.com/Mundindealice/status/1990743707427979609" TargetMode="External"/><Relationship Id="rId961" Type="http://schemas.openxmlformats.org/officeDocument/2006/relationships/hyperlink" Target="https://x.com/arqvaninazamora/status/1930243438122852410" TargetMode="External"/><Relationship Id="rId960" Type="http://schemas.openxmlformats.org/officeDocument/2006/relationships/hyperlink" Target="https://pbs.twimg.com/media/GsmhrqgW8AACsm5.jpg" TargetMode="External"/><Relationship Id="rId51" Type="http://schemas.openxmlformats.org/officeDocument/2006/relationships/hyperlink" Target="https://x.com/talitismo/status/1991198628560662648" TargetMode="External"/><Relationship Id="rId50" Type="http://schemas.openxmlformats.org/officeDocument/2006/relationships/hyperlink" Target="https://pbs.twimg.com/profile_banners/1844177873755664384/1764195969" TargetMode="External"/><Relationship Id="rId53" Type="http://schemas.openxmlformats.org/officeDocument/2006/relationships/hyperlink" Target="https://pbs.twimg.com/profile_banners/1075200874484506624/1757884315" TargetMode="External"/><Relationship Id="rId52" Type="http://schemas.openxmlformats.org/officeDocument/2006/relationships/hyperlink" Target="https://pbs.twimg.com/profile_images/1992738473275506688/6PhQUak2_normal.jpg" TargetMode="External"/><Relationship Id="rId55" Type="http://schemas.openxmlformats.org/officeDocument/2006/relationships/hyperlink" Target="https://pbs.twimg.com/profile_images/1786334127391997952/gUl9_-Dn_normal.jpg" TargetMode="External"/><Relationship Id="rId54" Type="http://schemas.openxmlformats.org/officeDocument/2006/relationships/hyperlink" Target="https://x.com/CranfordCa33730/status/1991132265087111667" TargetMode="External"/><Relationship Id="rId57" Type="http://schemas.openxmlformats.org/officeDocument/2006/relationships/hyperlink" Target="https://pbs.twimg.com/media/G6HsJmzW4AAiJOH.jpg" TargetMode="External"/><Relationship Id="rId56" Type="http://schemas.openxmlformats.org/officeDocument/2006/relationships/hyperlink" Target="https://masterbooo.web.app/x/libro/128180/1418" TargetMode="External"/><Relationship Id="rId719" Type="http://schemas.openxmlformats.org/officeDocument/2006/relationships/hyperlink" Target="https://terapiaconrazon.com/adultos-con-deficit-atencional/" TargetMode="External"/><Relationship Id="rId718" Type="http://schemas.openxmlformats.org/officeDocument/2006/relationships/hyperlink" Target="https://pbs.twimg.com/profile_banners/1767199586068684800/1750808971" TargetMode="External"/><Relationship Id="rId717" Type="http://schemas.openxmlformats.org/officeDocument/2006/relationships/hyperlink" Target="https://pbs.twimg.com/profile_images/1914675922847801344/0plo2_Kx_normal.jpg" TargetMode="External"/><Relationship Id="rId959" Type="http://schemas.openxmlformats.org/officeDocument/2006/relationships/hyperlink" Target="https://pbs.twimg.com/profile_banners/1920650649156337664/1752432099" TargetMode="External"/><Relationship Id="rId712" Type="http://schemas.openxmlformats.org/officeDocument/2006/relationships/hyperlink" Target="https://pbs.twimg.com/profile_banners/104612130/1706809305" TargetMode="External"/><Relationship Id="rId954" Type="http://schemas.openxmlformats.org/officeDocument/2006/relationships/hyperlink" Target="https://x.com/3lenit/status/1930270871844765940" TargetMode="External"/><Relationship Id="rId711" Type="http://schemas.openxmlformats.org/officeDocument/2006/relationships/hyperlink" Target="https://pbs.twimg.com/profile_images/1778504862138851328/Tg9wlCCw_normal.jpg" TargetMode="External"/><Relationship Id="rId953" Type="http://schemas.openxmlformats.org/officeDocument/2006/relationships/hyperlink" Target="https://video.twimg.com/amplify_video/1930292858772230144/vid/avc1/720x720/50lEs-Zjo0I3gvGs.mp4?tag=14" TargetMode="External"/><Relationship Id="rId710" Type="http://schemas.openxmlformats.org/officeDocument/2006/relationships/hyperlink" Target="https://x.com/Thundersky_AH/status/1945528993291096377" TargetMode="External"/><Relationship Id="rId952" Type="http://schemas.openxmlformats.org/officeDocument/2006/relationships/hyperlink" Target="https://pbs.twimg.com/amplify_video_thumb/1930292858772230144/img/vzkiIzE0pzVVrXtv.jpg" TargetMode="External"/><Relationship Id="rId951" Type="http://schemas.openxmlformats.org/officeDocument/2006/relationships/hyperlink" Target="https://pbs.twimg.com/profile_banners/944734585614716928/1747074694" TargetMode="External"/><Relationship Id="rId716" Type="http://schemas.openxmlformats.org/officeDocument/2006/relationships/hyperlink" Target="https://x.com/terapiaconrazon/status/1944580964753285271" TargetMode="External"/><Relationship Id="rId958" Type="http://schemas.openxmlformats.org/officeDocument/2006/relationships/hyperlink" Target="https://pbs.twimg.com/profile_images/1938538112688197632/ogRhfxMK_normal.jpg" TargetMode="External"/><Relationship Id="rId715" Type="http://schemas.openxmlformats.org/officeDocument/2006/relationships/hyperlink" Target="https://pbs.twimg.com/profile_banners/1492291242507616257/1679624475" TargetMode="External"/><Relationship Id="rId957" Type="http://schemas.openxmlformats.org/officeDocument/2006/relationships/hyperlink" Target="https://x.com/cabsswattr/status/1930251694748672350" TargetMode="External"/><Relationship Id="rId714" Type="http://schemas.openxmlformats.org/officeDocument/2006/relationships/hyperlink" Target="https://pbs.twimg.com/profile_images/1979779843639099392/NsT2-ZwT_normal.jpg" TargetMode="External"/><Relationship Id="rId956" Type="http://schemas.openxmlformats.org/officeDocument/2006/relationships/hyperlink" Target="https://pbs.twimg.com/profile_banners/164058065/1738305227" TargetMode="External"/><Relationship Id="rId713" Type="http://schemas.openxmlformats.org/officeDocument/2006/relationships/hyperlink" Target="https://x.com/ThyagooMago/status/1945522700094517269" TargetMode="External"/><Relationship Id="rId955" Type="http://schemas.openxmlformats.org/officeDocument/2006/relationships/hyperlink" Target="https://pbs.twimg.com/profile_images/1985876936690671616/WiSs9vZD_normal.jpg" TargetMode="External"/><Relationship Id="rId59" Type="http://schemas.openxmlformats.org/officeDocument/2006/relationships/hyperlink" Target="https://pbs.twimg.com/profile_images/1982949319234740224/u4B_jfDW_normal.jpg" TargetMode="External"/><Relationship Id="rId58" Type="http://schemas.openxmlformats.org/officeDocument/2006/relationships/hyperlink" Target="https://x.com/Acanoes_/status/1990906236074631303" TargetMode="External"/><Relationship Id="rId950" Type="http://schemas.openxmlformats.org/officeDocument/2006/relationships/hyperlink" Target="https://pbs.twimg.com/profile_images/1136061746895106049/G8TS_hD3_normal.jpg" TargetMode="External"/><Relationship Id="rId590" Type="http://schemas.openxmlformats.org/officeDocument/2006/relationships/hyperlink" Target="https://x.com/TylerD65485326/status/1956314909467148483" TargetMode="External"/><Relationship Id="rId107" Type="http://schemas.openxmlformats.org/officeDocument/2006/relationships/hyperlink" Target="https://x.com/MMALICK9/status/1987526147651907738" TargetMode="External"/><Relationship Id="rId349" Type="http://schemas.openxmlformats.org/officeDocument/2006/relationships/hyperlink" Target="https://x.com/findesemanacope/status/1970517428766486537" TargetMode="External"/><Relationship Id="rId106" Type="http://schemas.openxmlformats.org/officeDocument/2006/relationships/hyperlink" Target="https://pbs.twimg.com/profile_banners/1050813805276659712/1657736082" TargetMode="External"/><Relationship Id="rId348" Type="http://schemas.openxmlformats.org/officeDocument/2006/relationships/hyperlink" Target="https://ver.cope.es/gt2at4" TargetMode="External"/><Relationship Id="rId105" Type="http://schemas.openxmlformats.org/officeDocument/2006/relationships/hyperlink" Target="https://pbs.twimg.com/profile_images/1463423643095031814/en_jwgIz_normal.jpg" TargetMode="External"/><Relationship Id="rId347" Type="http://schemas.openxmlformats.org/officeDocument/2006/relationships/hyperlink" Target="https://pbs.twimg.com/profile_banners/245809028/1701348186" TargetMode="External"/><Relationship Id="rId589" Type="http://schemas.openxmlformats.org/officeDocument/2006/relationships/hyperlink" Target="https://pbs.twimg.com/media/Gyj2QptWkAAWX_R.jpg" TargetMode="External"/><Relationship Id="rId104" Type="http://schemas.openxmlformats.org/officeDocument/2006/relationships/hyperlink" Target="https://x.com/neurorebelde/status/1987857473886109833" TargetMode="External"/><Relationship Id="rId346" Type="http://schemas.openxmlformats.org/officeDocument/2006/relationships/hyperlink" Target="https://pbs.twimg.com/profile_images/1710312743578861568/_itXUjcl_normal.jpg" TargetMode="External"/><Relationship Id="rId588" Type="http://schemas.openxmlformats.org/officeDocument/2006/relationships/hyperlink" Target="https://pbs.twimg.com/profile_banners/1565119538877923329/1761694320" TargetMode="External"/><Relationship Id="rId109" Type="http://schemas.openxmlformats.org/officeDocument/2006/relationships/hyperlink" Target="https://x.com/oconellfavz/status/1987260237531828472" TargetMode="External"/><Relationship Id="rId1170" Type="http://schemas.openxmlformats.org/officeDocument/2006/relationships/hyperlink" Target="https://pbs.twimg.com/profile_images/1830855310384287750/HyVGfXiG_normal.jpg" TargetMode="External"/><Relationship Id="rId108" Type="http://schemas.openxmlformats.org/officeDocument/2006/relationships/hyperlink" Target="https://pbs.twimg.com/profile_images/1974835428449513472/dPrcxhPg_normal.jpg" TargetMode="External"/><Relationship Id="rId1171" Type="http://schemas.openxmlformats.org/officeDocument/2006/relationships/hyperlink" Target="https://pbs.twimg.com/profile_banners/1589704718820990976/1724499995" TargetMode="External"/><Relationship Id="rId341" Type="http://schemas.openxmlformats.org/officeDocument/2006/relationships/hyperlink" Target="https://x.com/HerreraenCOPE/status/1970517431031386585" TargetMode="External"/><Relationship Id="rId583" Type="http://schemas.openxmlformats.org/officeDocument/2006/relationships/hyperlink" Target="https://x.com/istezanol/status/1958996171063718319" TargetMode="External"/><Relationship Id="rId1172" Type="http://schemas.openxmlformats.org/officeDocument/2006/relationships/hyperlink" Target="https://x.com/desthielray/status/1917237124253745237" TargetMode="External"/><Relationship Id="rId340" Type="http://schemas.openxmlformats.org/officeDocument/2006/relationships/hyperlink" Target="https://pbs.twimg.com/profile_images/1990871369056223234/4INapnl7_normal.jpg" TargetMode="External"/><Relationship Id="rId582" Type="http://schemas.openxmlformats.org/officeDocument/2006/relationships/hyperlink" Target="https://pbs.twimg.com/media/Gy-GK_sWMAEgEP4.jpg" TargetMode="External"/><Relationship Id="rId1173" Type="http://schemas.openxmlformats.org/officeDocument/2006/relationships/hyperlink" Target="https://pbs.twimg.com/profile_images/1975035459358126080/-9eapHaR_normal.jpg" TargetMode="External"/><Relationship Id="rId581" Type="http://schemas.openxmlformats.org/officeDocument/2006/relationships/hyperlink" Target="https://pbs.twimg.com/profile_banners/784732863392518144/1758061031" TargetMode="External"/><Relationship Id="rId1174" Type="http://schemas.openxmlformats.org/officeDocument/2006/relationships/hyperlink" Target="https://pbs.twimg.com/profile_banners/1593779897851432960/1734581963" TargetMode="External"/><Relationship Id="rId580" Type="http://schemas.openxmlformats.org/officeDocument/2006/relationships/hyperlink" Target="https://pbs.twimg.com/profile_images/1922607243930767361/_8THp5Eo_normal.jpg" TargetMode="External"/><Relationship Id="rId1175" Type="http://schemas.openxmlformats.org/officeDocument/2006/relationships/hyperlink" Target="https://x.com/daesungssexual/status/1917088187597390065" TargetMode="External"/><Relationship Id="rId103" Type="http://schemas.openxmlformats.org/officeDocument/2006/relationships/hyperlink" Target="https://pbs.twimg.com/profile_banners/1251470930582347776/1757894583" TargetMode="External"/><Relationship Id="rId345" Type="http://schemas.openxmlformats.org/officeDocument/2006/relationships/hyperlink" Target="https://x.com/linternacope/status/1970517428816736428" TargetMode="External"/><Relationship Id="rId587" Type="http://schemas.openxmlformats.org/officeDocument/2006/relationships/hyperlink" Target="https://pbs.twimg.com/profile_images/1951117435303579648/q3AG5A-W_normal.jpg" TargetMode="External"/><Relationship Id="rId1176" Type="http://schemas.openxmlformats.org/officeDocument/2006/relationships/hyperlink" Target="https://pbs.twimg.com/profile_images/1987670593966112768/WLsf6i0I_normal.jpg" TargetMode="External"/><Relationship Id="rId102" Type="http://schemas.openxmlformats.org/officeDocument/2006/relationships/hyperlink" Target="https://pbs.twimg.com/profile_images/1928151717985554432/WW5rzUxb_normal.jpg" TargetMode="External"/><Relationship Id="rId344" Type="http://schemas.openxmlformats.org/officeDocument/2006/relationships/hyperlink" Target="https://ver.cope.es/gt2at3" TargetMode="External"/><Relationship Id="rId586" Type="http://schemas.openxmlformats.org/officeDocument/2006/relationships/hyperlink" Target="https://x.com/FA1RYSI3/status/1957084810486202545" TargetMode="External"/><Relationship Id="rId1177" Type="http://schemas.openxmlformats.org/officeDocument/2006/relationships/hyperlink" Target="https://pbs.twimg.com/profile_banners/1176258873575038976/1761074601" TargetMode="External"/><Relationship Id="rId101" Type="http://schemas.openxmlformats.org/officeDocument/2006/relationships/hyperlink" Target="https://x.com/thotrrente/status/1988205407278698602" TargetMode="External"/><Relationship Id="rId343" Type="http://schemas.openxmlformats.org/officeDocument/2006/relationships/hyperlink" Target="https://pbs.twimg.com/profile_banners/3309116567/1740502149" TargetMode="External"/><Relationship Id="rId585" Type="http://schemas.openxmlformats.org/officeDocument/2006/relationships/hyperlink" Target="https://pbs.twimg.com/profile_banners/1857542953/1744282818" TargetMode="External"/><Relationship Id="rId1178" Type="http://schemas.openxmlformats.org/officeDocument/2006/relationships/hyperlink" Target="https://pbs.twimg.com/media/Gpo42RwW4AAIVXa.jpg" TargetMode="External"/><Relationship Id="rId100" Type="http://schemas.openxmlformats.org/officeDocument/2006/relationships/hyperlink" Target="https://nexoculto.com/%f0%9f%a7%a0-reflexion-critica-sobre-el-tdah-en-adultos/" TargetMode="External"/><Relationship Id="rId342" Type="http://schemas.openxmlformats.org/officeDocument/2006/relationships/hyperlink" Target="https://pbs.twimg.com/profile_images/1710310345644863488/eem2DQwB_normal.jpg" TargetMode="External"/><Relationship Id="rId584" Type="http://schemas.openxmlformats.org/officeDocument/2006/relationships/hyperlink" Target="https://pbs.twimg.com/profile_images/1939122666276892673/f3-pBLOa_normal.jpg" TargetMode="External"/><Relationship Id="rId1179" Type="http://schemas.openxmlformats.org/officeDocument/2006/relationships/hyperlink" Target="https://x.com/xxbadinfluence/status/1917037801461240046" TargetMode="External"/><Relationship Id="rId1169" Type="http://schemas.openxmlformats.org/officeDocument/2006/relationships/hyperlink" Target="https://x.com/akillj0y/status/1917374321967694093" TargetMode="External"/><Relationship Id="rId338" Type="http://schemas.openxmlformats.org/officeDocument/2006/relationships/hyperlink" Target="https://pbs.twimg.com/profile_images/1964427375891898368/qNfK24Xo_normal.jpg" TargetMode="External"/><Relationship Id="rId337" Type="http://schemas.openxmlformats.org/officeDocument/2006/relationships/hyperlink" Target="https://x.com/eduardopeccin/status/1970955030607036544" TargetMode="External"/><Relationship Id="rId579" Type="http://schemas.openxmlformats.org/officeDocument/2006/relationships/hyperlink" Target="https://x.com/palobomsz/status/1959043159293362302" TargetMode="External"/><Relationship Id="rId336" Type="http://schemas.openxmlformats.org/officeDocument/2006/relationships/hyperlink" Target="https://video.twimg.com/ext_tw_video/1971185681964609536/pu/vid/avc1/576x1024/E9VYXQrLHFK6WK5a.mp4?tag=12" TargetMode="External"/><Relationship Id="rId578" Type="http://schemas.openxmlformats.org/officeDocument/2006/relationships/hyperlink" Target="https://pbs.twimg.com/profile_banners/1197699181487542272/1712974390" TargetMode="External"/><Relationship Id="rId335" Type="http://schemas.openxmlformats.org/officeDocument/2006/relationships/hyperlink" Target="https://pbs.twimg.com/ext_tw_video_thumb/1971185681964609536/pu/img/-i7Jj1mZhwtUBGwd.jpg" TargetMode="External"/><Relationship Id="rId577" Type="http://schemas.openxmlformats.org/officeDocument/2006/relationships/hyperlink" Target="https://pbs.twimg.com/profile_images/1877524749481385984/rDFeLLwz_normal.jpg" TargetMode="External"/><Relationship Id="rId339" Type="http://schemas.openxmlformats.org/officeDocument/2006/relationships/hyperlink" Target="https://x.com/lina_f100/status/1970889927836721164" TargetMode="External"/><Relationship Id="rId1160" Type="http://schemas.openxmlformats.org/officeDocument/2006/relationships/hyperlink" Target="https://x.com/esunbambi/status/1917911626507800724" TargetMode="External"/><Relationship Id="rId330" Type="http://schemas.openxmlformats.org/officeDocument/2006/relationships/hyperlink" Target="https://pbs.twimg.com/profile_images/1941857553815584768/bG-scmHU_normal.jpg" TargetMode="External"/><Relationship Id="rId572" Type="http://schemas.openxmlformats.org/officeDocument/2006/relationships/hyperlink" Target="https://pbs.twimg.com/profile_images/1964317231879229440/NHbwrL64_normal.jpg" TargetMode="External"/><Relationship Id="rId1161" Type="http://schemas.openxmlformats.org/officeDocument/2006/relationships/hyperlink" Target="https://pbs.twimg.com/profile_images/1763371923206008832/AMRnDEbF_normal.jpg" TargetMode="External"/><Relationship Id="rId571" Type="http://schemas.openxmlformats.org/officeDocument/2006/relationships/hyperlink" Target="https://x.com/auto_delet3/status/1959942765946556811" TargetMode="External"/><Relationship Id="rId1162" Type="http://schemas.openxmlformats.org/officeDocument/2006/relationships/hyperlink" Target="https://pbs.twimg.com/profile_banners/978485765020835840/1709255709" TargetMode="External"/><Relationship Id="rId570" Type="http://schemas.openxmlformats.org/officeDocument/2006/relationships/hyperlink" Target="https://pbs.twimg.com/profile_banners/1420224879429922819/1761405215" TargetMode="External"/><Relationship Id="rId1163" Type="http://schemas.openxmlformats.org/officeDocument/2006/relationships/hyperlink" Target="https://x.com/seujeitolrs/status/1917651984837943772" TargetMode="External"/><Relationship Id="rId1164" Type="http://schemas.openxmlformats.org/officeDocument/2006/relationships/hyperlink" Target="https://pbs.twimg.com/profile_images/1901690971215065088/9ZlSpusc_normal.jpg" TargetMode="External"/><Relationship Id="rId334" Type="http://schemas.openxmlformats.org/officeDocument/2006/relationships/hyperlink" Target="https://pbs.twimg.com/profile_banners/28673574/1486247854" TargetMode="External"/><Relationship Id="rId576" Type="http://schemas.openxmlformats.org/officeDocument/2006/relationships/hyperlink" Target="https://x.com/unxciudadana/status/1959363585097789879" TargetMode="External"/><Relationship Id="rId1165" Type="http://schemas.openxmlformats.org/officeDocument/2006/relationships/hyperlink" Target="https://pbs.twimg.com/profile_banners/990296924396900354/1742233433" TargetMode="External"/><Relationship Id="rId333" Type="http://schemas.openxmlformats.org/officeDocument/2006/relationships/hyperlink" Target="https://pbs.twimg.com/profile_images/648275514420015104/YXnvi2pP_normal.jpg" TargetMode="External"/><Relationship Id="rId575" Type="http://schemas.openxmlformats.org/officeDocument/2006/relationships/hyperlink" Target="https://pbs.twimg.com/profile_images/1895564933158346752/0Tj8y-bl_normal.jpg" TargetMode="External"/><Relationship Id="rId1166" Type="http://schemas.openxmlformats.org/officeDocument/2006/relationships/hyperlink" Target="https://x.com/paularosiska/status/1917631948199190561" TargetMode="External"/><Relationship Id="rId332" Type="http://schemas.openxmlformats.org/officeDocument/2006/relationships/hyperlink" Target="https://x.com/alexandre_amato/status/1971185712612475219" TargetMode="External"/><Relationship Id="rId574" Type="http://schemas.openxmlformats.org/officeDocument/2006/relationships/hyperlink" Target="https://x.com/AndrinaSantos55/status/1959744047545045229" TargetMode="External"/><Relationship Id="rId1167" Type="http://schemas.openxmlformats.org/officeDocument/2006/relationships/hyperlink" Target="https://pbs.twimg.com/profile_images/1931157312443461632/MIg5UmoV_normal.jpg" TargetMode="External"/><Relationship Id="rId331" Type="http://schemas.openxmlformats.org/officeDocument/2006/relationships/hyperlink" Target="https://pbs.twimg.com/profile_banners/1651620461296353280/1682615786" TargetMode="External"/><Relationship Id="rId573" Type="http://schemas.openxmlformats.org/officeDocument/2006/relationships/hyperlink" Target="https://pbs.twimg.com/profile_banners/1847628112307097600/1757164948" TargetMode="External"/><Relationship Id="rId1168" Type="http://schemas.openxmlformats.org/officeDocument/2006/relationships/hyperlink" Target="https://pbs.twimg.com/profile_banners/54440370/1727452281" TargetMode="External"/><Relationship Id="rId370" Type="http://schemas.openxmlformats.org/officeDocument/2006/relationships/hyperlink" Target="https://x.com/gukhoonie/status/1970244107579863532" TargetMode="External"/><Relationship Id="rId129" Type="http://schemas.openxmlformats.org/officeDocument/2006/relationships/hyperlink" Target="https://x.com/jkmoii/status/1985203902577279035" TargetMode="External"/><Relationship Id="rId128" Type="http://schemas.openxmlformats.org/officeDocument/2006/relationships/hyperlink" Target="https://pbs.twimg.com/media/G5GL7i1WcAAvqAG.jpg" TargetMode="External"/><Relationship Id="rId127" Type="http://schemas.openxmlformats.org/officeDocument/2006/relationships/hyperlink" Target="https://pbs.twimg.com/profile_banners/1910827190410743808/1764527080" TargetMode="External"/><Relationship Id="rId369" Type="http://schemas.openxmlformats.org/officeDocument/2006/relationships/hyperlink" Target="https://pbs.twimg.com/profile_banners/1551244854092476416/1729182684" TargetMode="External"/><Relationship Id="rId126" Type="http://schemas.openxmlformats.org/officeDocument/2006/relationships/hyperlink" Target="https://pbs.twimg.com/profile_images/1994483494890749952/HDbUZc2c_normal.jpg" TargetMode="External"/><Relationship Id="rId368" Type="http://schemas.openxmlformats.org/officeDocument/2006/relationships/hyperlink" Target="https://pbs.twimg.com/profile_images/1868456558255898624/-f0t_36f_normal.jpg" TargetMode="External"/><Relationship Id="rId1190" Type="http://schemas.openxmlformats.org/officeDocument/2006/relationships/hyperlink" Target="https://pbs.twimg.com/profile_images/1992702217913057280/XwuByE7I_normal.jpg" TargetMode="External"/><Relationship Id="rId1191" Type="http://schemas.openxmlformats.org/officeDocument/2006/relationships/hyperlink" Target="https://pbs.twimg.com/profile_banners/106929764/1763942859" TargetMode="External"/><Relationship Id="rId1192" Type="http://schemas.openxmlformats.org/officeDocument/2006/relationships/hyperlink" Target="https://x.com/transnarquista/status/1916242214709010591" TargetMode="External"/><Relationship Id="rId1193" Type="http://schemas.openxmlformats.org/officeDocument/2006/relationships/hyperlink" Target="https://pbs.twimg.com/profile_images/1993083318137446400/ZWxj5p-z_normal.jpg" TargetMode="External"/><Relationship Id="rId121" Type="http://schemas.openxmlformats.org/officeDocument/2006/relationships/hyperlink" Target="https://pbs.twimg.com/profile_banners/1132418770696396801/1701787577" TargetMode="External"/><Relationship Id="rId363" Type="http://schemas.openxmlformats.org/officeDocument/2006/relationships/hyperlink" Target="https://pbs.twimg.com/profile_banners/9706822/1636029051" TargetMode="External"/><Relationship Id="rId1194" Type="http://schemas.openxmlformats.org/officeDocument/2006/relationships/hyperlink" Target="https://pbs.twimg.com/profile_banners/1857478046489686016/1764023067" TargetMode="External"/><Relationship Id="rId120" Type="http://schemas.openxmlformats.org/officeDocument/2006/relationships/hyperlink" Target="https://pbs.twimg.com/profile_images/1416916148654858240/xFr4xLrK_normal.jpg" TargetMode="External"/><Relationship Id="rId362" Type="http://schemas.openxmlformats.org/officeDocument/2006/relationships/hyperlink" Target="https://pbs.twimg.com/profile_images/1713945389668155392/9yDD807W_normal.jpg" TargetMode="External"/><Relationship Id="rId1195" Type="http://schemas.openxmlformats.org/officeDocument/2006/relationships/hyperlink" Target="https://x.com/DriSNperfil3/status/1915929956254715975" TargetMode="External"/><Relationship Id="rId361" Type="http://schemas.openxmlformats.org/officeDocument/2006/relationships/hyperlink" Target="https://x.com/COPE/status/1970517419505353080" TargetMode="External"/><Relationship Id="rId1196" Type="http://schemas.openxmlformats.org/officeDocument/2006/relationships/hyperlink" Target="https://pbs.twimg.com/profile_images/1594552329377824771/VxxaQSMC_normal.jpg" TargetMode="External"/><Relationship Id="rId360" Type="http://schemas.openxmlformats.org/officeDocument/2006/relationships/hyperlink" Target="https://ver.cope.es/gt2at8" TargetMode="External"/><Relationship Id="rId1197" Type="http://schemas.openxmlformats.org/officeDocument/2006/relationships/hyperlink" Target="https://pbs.twimg.com/profile_banners/1106333919778099203/1735338134" TargetMode="External"/><Relationship Id="rId125" Type="http://schemas.openxmlformats.org/officeDocument/2006/relationships/hyperlink" Target="https://x.com/dellullq/status/1986522768242811124" TargetMode="External"/><Relationship Id="rId367" Type="http://schemas.openxmlformats.org/officeDocument/2006/relationships/hyperlink" Target="https://x.com/Max_E_Power/status/1970313683449307449" TargetMode="External"/><Relationship Id="rId1198" Type="http://schemas.openxmlformats.org/officeDocument/2006/relationships/hyperlink" Target="https://x.com/theonefirelord/status/1915909718259748999" TargetMode="External"/><Relationship Id="rId124" Type="http://schemas.openxmlformats.org/officeDocument/2006/relationships/hyperlink" Target="https://pbs.twimg.com/profile_banners/1132418770696396801/1701787577" TargetMode="External"/><Relationship Id="rId366" Type="http://schemas.openxmlformats.org/officeDocument/2006/relationships/hyperlink" Target="https://pbs.twimg.com/profile_images/1974835428449513472/dPrcxhPg_normal.jpg" TargetMode="External"/><Relationship Id="rId1199" Type="http://schemas.openxmlformats.org/officeDocument/2006/relationships/hyperlink" Target="https://pbs.twimg.com/profile_images/1993163630100013056/PsOzEXzn_normal.jpg" TargetMode="External"/><Relationship Id="rId123" Type="http://schemas.openxmlformats.org/officeDocument/2006/relationships/hyperlink" Target="https://pbs.twimg.com/profile_images/1416916148654858240/xFr4xLrK_normal.jpg" TargetMode="External"/><Relationship Id="rId365" Type="http://schemas.openxmlformats.org/officeDocument/2006/relationships/hyperlink" Target="https://x.com/MMALICK9/status/1970469542619922465" TargetMode="External"/><Relationship Id="rId122" Type="http://schemas.openxmlformats.org/officeDocument/2006/relationships/hyperlink" Target="https://x.com/and_julianas/status/1986787112167817369" TargetMode="External"/><Relationship Id="rId364" Type="http://schemas.openxmlformats.org/officeDocument/2006/relationships/hyperlink" Target="https://ver.cope.es/gt2at2" TargetMode="External"/><Relationship Id="rId95" Type="http://schemas.openxmlformats.org/officeDocument/2006/relationships/hyperlink" Target="https://pbs.twimg.com/profile_banners/1325904158914908161/1748439374" TargetMode="External"/><Relationship Id="rId94" Type="http://schemas.openxmlformats.org/officeDocument/2006/relationships/hyperlink" Target="https://pbs.twimg.com/profile_images/1927719517142052864/4S26noEH_normal.jpg" TargetMode="External"/><Relationship Id="rId97" Type="http://schemas.openxmlformats.org/officeDocument/2006/relationships/hyperlink" Target="https://x.com/jdiaz_psy/status/1988377745781649650" TargetMode="External"/><Relationship Id="rId96" Type="http://schemas.openxmlformats.org/officeDocument/2006/relationships/hyperlink" Target="https://pbs.twimg.com/media/G5kuVn3WcAAatgj.jpg" TargetMode="External"/><Relationship Id="rId99" Type="http://schemas.openxmlformats.org/officeDocument/2006/relationships/hyperlink" Target="https://pbs.twimg.com/profile_banners/1703641082087591936/1745943533" TargetMode="External"/><Relationship Id="rId98" Type="http://schemas.openxmlformats.org/officeDocument/2006/relationships/hyperlink" Target="https://pbs.twimg.com/profile_images/1917255962433396736/kVSO_7s-_normal.jpg" TargetMode="External"/><Relationship Id="rId91" Type="http://schemas.openxmlformats.org/officeDocument/2006/relationships/hyperlink" Target="https://pbs.twimg.com/profile_images/1949534018938036224/xA87x9Xs_normal.jpg" TargetMode="External"/><Relationship Id="rId90" Type="http://schemas.openxmlformats.org/officeDocument/2006/relationships/hyperlink" Target="https://x.com/swiftbyheart/status/1988701802787905806" TargetMode="External"/><Relationship Id="rId93" Type="http://schemas.openxmlformats.org/officeDocument/2006/relationships/hyperlink" Target="https://x.com/cesarfontanapsi/status/1988671662636810656" TargetMode="External"/><Relationship Id="rId92" Type="http://schemas.openxmlformats.org/officeDocument/2006/relationships/hyperlink" Target="https://pbs.twimg.com/profile_banners/1071534338280435713/1753640116" TargetMode="External"/><Relationship Id="rId118" Type="http://schemas.openxmlformats.org/officeDocument/2006/relationships/hyperlink" Target="https://pbs.twimg.com/profile_banners/934390216391122944/1615459624" TargetMode="External"/><Relationship Id="rId117" Type="http://schemas.openxmlformats.org/officeDocument/2006/relationships/hyperlink" Target="https://pbs.twimg.com/profile_images/1413770916681633793/6ARpN5Tx_normal.jpg" TargetMode="External"/><Relationship Id="rId359" Type="http://schemas.openxmlformats.org/officeDocument/2006/relationships/hyperlink" Target="https://pbs.twimg.com/profile_banners/755692362890903552/1725258866" TargetMode="External"/><Relationship Id="rId116" Type="http://schemas.openxmlformats.org/officeDocument/2006/relationships/hyperlink" Target="https://x.com/TomasDoreste/status/1986806233287004250" TargetMode="External"/><Relationship Id="rId358" Type="http://schemas.openxmlformats.org/officeDocument/2006/relationships/hyperlink" Target="https://pbs.twimg.com/profile_images/1710312105088335872/Q9lwGVLI_normal.jpg" TargetMode="External"/><Relationship Id="rId115" Type="http://schemas.openxmlformats.org/officeDocument/2006/relationships/hyperlink" Target="https://pbs.twimg.com/media/G5KVb_sXgAAFlgw.jpg" TargetMode="External"/><Relationship Id="rId357" Type="http://schemas.openxmlformats.org/officeDocument/2006/relationships/hyperlink" Target="https://x.com/LaTardeCOPE/status/1970517428099506408" TargetMode="External"/><Relationship Id="rId599" Type="http://schemas.openxmlformats.org/officeDocument/2006/relationships/hyperlink" Target="https://pbs.twimg.com/media/GxD9jNmXIAASMs6.jpg" TargetMode="External"/><Relationship Id="rId1180" Type="http://schemas.openxmlformats.org/officeDocument/2006/relationships/hyperlink" Target="https://pbs.twimg.com/profile_images/1992603154441994241/P76XxXLi_normal.jpg" TargetMode="External"/><Relationship Id="rId1181" Type="http://schemas.openxmlformats.org/officeDocument/2006/relationships/hyperlink" Target="https://pbs.twimg.com/profile_banners/1428065647242661889/1674695710" TargetMode="External"/><Relationship Id="rId119" Type="http://schemas.openxmlformats.org/officeDocument/2006/relationships/hyperlink" Target="https://x.com/and_julianas/status/1986787390942285988" TargetMode="External"/><Relationship Id="rId1182" Type="http://schemas.openxmlformats.org/officeDocument/2006/relationships/hyperlink" Target="https://x.com/tdahworld/status/1916928417523794304" TargetMode="External"/><Relationship Id="rId110" Type="http://schemas.openxmlformats.org/officeDocument/2006/relationships/hyperlink" Target="https://pbs.twimg.com/profile_images/1990828153170714625/AwVy_do7_normal.jpg" TargetMode="External"/><Relationship Id="rId352" Type="http://schemas.openxmlformats.org/officeDocument/2006/relationships/hyperlink" Target="https://ver.cope.es/gt2at6" TargetMode="External"/><Relationship Id="rId594" Type="http://schemas.openxmlformats.org/officeDocument/2006/relationships/hyperlink" Target="https://pbs.twimg.com/profile_images/1612432585723879424/LiAKzHMq_normal.jpg" TargetMode="External"/><Relationship Id="rId1183" Type="http://schemas.openxmlformats.org/officeDocument/2006/relationships/hyperlink" Target="https://pbs.twimg.com/profile_images/1576614117342953472/IvYN8QgA_normal.png" TargetMode="External"/><Relationship Id="rId351" Type="http://schemas.openxmlformats.org/officeDocument/2006/relationships/hyperlink" Target="https://pbs.twimg.com/profile_banners/187948082/1701347974" TargetMode="External"/><Relationship Id="rId593" Type="http://schemas.openxmlformats.org/officeDocument/2006/relationships/hyperlink" Target="https://x.com/OrdesaPediatric/status/1954815049760903374" TargetMode="External"/><Relationship Id="rId1184" Type="http://schemas.openxmlformats.org/officeDocument/2006/relationships/hyperlink" Target="https://pbs.twimg.com/profile_banners/1576614038204825601/1664812670" TargetMode="External"/><Relationship Id="rId350" Type="http://schemas.openxmlformats.org/officeDocument/2006/relationships/hyperlink" Target="https://pbs.twimg.com/profile_images/1710313266872754176/uy941pAa_normal.jpg" TargetMode="External"/><Relationship Id="rId592" Type="http://schemas.openxmlformats.org/officeDocument/2006/relationships/hyperlink" Target="https://pbs.twimg.com/profile_banners/1353487286772576258/1762380816" TargetMode="External"/><Relationship Id="rId1185" Type="http://schemas.openxmlformats.org/officeDocument/2006/relationships/hyperlink" Target="https://tdah.world/anfetaminas-tdah-adulto-venvanse-adderal-ciencia-diz/" TargetMode="External"/><Relationship Id="rId591" Type="http://schemas.openxmlformats.org/officeDocument/2006/relationships/hyperlink" Target="https://pbs.twimg.com/profile_images/1986195008743964672/Rkwj_8Ym_normal.jpg" TargetMode="External"/><Relationship Id="rId1186" Type="http://schemas.openxmlformats.org/officeDocument/2006/relationships/hyperlink" Target="https://x.com/tdahworld/status/1916928414768107825" TargetMode="External"/><Relationship Id="rId114" Type="http://schemas.openxmlformats.org/officeDocument/2006/relationships/hyperlink" Target="https://pbs.twimg.com/profile_banners/1063844564/1556543726" TargetMode="External"/><Relationship Id="rId356" Type="http://schemas.openxmlformats.org/officeDocument/2006/relationships/hyperlink" Target="https://ver.cope.es/gt2at5" TargetMode="External"/><Relationship Id="rId598" Type="http://schemas.openxmlformats.org/officeDocument/2006/relationships/hyperlink" Target="https://pbs.twimg.com/profile_banners/1371603145995005955/1753137310" TargetMode="External"/><Relationship Id="rId1187" Type="http://schemas.openxmlformats.org/officeDocument/2006/relationships/hyperlink" Target="https://pbs.twimg.com/profile_images/1576614117342953472/IvYN8QgA_normal.png" TargetMode="External"/><Relationship Id="rId113" Type="http://schemas.openxmlformats.org/officeDocument/2006/relationships/hyperlink" Target="https://pbs.twimg.com/profile_images/1439950115528192001/kjsMeIlz_normal.jpg" TargetMode="External"/><Relationship Id="rId355" Type="http://schemas.openxmlformats.org/officeDocument/2006/relationships/hyperlink" Target="https://pbs.twimg.com/profile_banners/770557562471284736/1756131770" TargetMode="External"/><Relationship Id="rId597" Type="http://schemas.openxmlformats.org/officeDocument/2006/relationships/hyperlink" Target="https://pbs.twimg.com/profile_images/1884009474542714880/O1OFF0cC_normal.jpg" TargetMode="External"/><Relationship Id="rId1188" Type="http://schemas.openxmlformats.org/officeDocument/2006/relationships/hyperlink" Target="https://pbs.twimg.com/profile_banners/1576614038204825601/1664812670" TargetMode="External"/><Relationship Id="rId112" Type="http://schemas.openxmlformats.org/officeDocument/2006/relationships/hyperlink" Target="https://x.com/CEPSIONLINE/status/1986814860064379230" TargetMode="External"/><Relationship Id="rId354" Type="http://schemas.openxmlformats.org/officeDocument/2006/relationships/hyperlink" Target="https://pbs.twimg.com/profile_images/1710311542959259648/UEUi7uFS_normal.jpg" TargetMode="External"/><Relationship Id="rId596" Type="http://schemas.openxmlformats.org/officeDocument/2006/relationships/hyperlink" Target="https://x.com/dryrton/status/1954742175432093865" TargetMode="External"/><Relationship Id="rId1189" Type="http://schemas.openxmlformats.org/officeDocument/2006/relationships/hyperlink" Target="https://x.com/eduardocfaguiar/status/1916626008188322056" TargetMode="External"/><Relationship Id="rId111" Type="http://schemas.openxmlformats.org/officeDocument/2006/relationships/hyperlink" Target="https://pbs.twimg.com/profile_banners/1707413834804203520/1763485405" TargetMode="External"/><Relationship Id="rId353" Type="http://schemas.openxmlformats.org/officeDocument/2006/relationships/hyperlink" Target="https://x.com/MediodiaCOPE/status/1970517428724519289" TargetMode="External"/><Relationship Id="rId595" Type="http://schemas.openxmlformats.org/officeDocument/2006/relationships/hyperlink" Target="https://pbs.twimg.com/profile_banners/1589602990373179392/1667826889" TargetMode="External"/><Relationship Id="rId1136" Type="http://schemas.openxmlformats.org/officeDocument/2006/relationships/hyperlink" Target="https://pbs.twimg.com/profile_banners/978485765020835840/1709255709" TargetMode="External"/><Relationship Id="rId1137" Type="http://schemas.openxmlformats.org/officeDocument/2006/relationships/hyperlink" Target="https://x.com/selffconscious/status/1919777802091425883" TargetMode="External"/><Relationship Id="rId1138" Type="http://schemas.openxmlformats.org/officeDocument/2006/relationships/hyperlink" Target="https://pbs.twimg.com/profile_images/1953293676337152000/UhKgIklY_normal.jpg" TargetMode="External"/><Relationship Id="rId1139" Type="http://schemas.openxmlformats.org/officeDocument/2006/relationships/hyperlink" Target="https://pbs.twimg.com/profile_banners/1789401291950559232/1718938581" TargetMode="External"/><Relationship Id="rId305" Type="http://schemas.openxmlformats.org/officeDocument/2006/relationships/hyperlink" Target="https://pbs.twimg.com/profile_images/1988347861507952640/MmBWSSun_normal.jpg" TargetMode="External"/><Relationship Id="rId547" Type="http://schemas.openxmlformats.org/officeDocument/2006/relationships/hyperlink" Target="https://pbs.twimg.com/profile_images/1975219723659870208/S4y-Lmb__normal.jpg" TargetMode="External"/><Relationship Id="rId789" Type="http://schemas.openxmlformats.org/officeDocument/2006/relationships/hyperlink" Target="https://x.com/lacapital/status/1941487874853269649" TargetMode="External"/><Relationship Id="rId304" Type="http://schemas.openxmlformats.org/officeDocument/2006/relationships/hyperlink" Target="https://x.com/MauricioLeija/status/1973451647121760351" TargetMode="External"/><Relationship Id="rId546" Type="http://schemas.openxmlformats.org/officeDocument/2006/relationships/hyperlink" Target="https://x.com/btswingsjm7/status/1961442241009914041" TargetMode="External"/><Relationship Id="rId788" Type="http://schemas.openxmlformats.org/officeDocument/2006/relationships/hyperlink" Target="https://pbs.twimg.com/profile_banners/53059226/1523284921" TargetMode="External"/><Relationship Id="rId303" Type="http://schemas.openxmlformats.org/officeDocument/2006/relationships/hyperlink" Target="https://pbs.twimg.com/profile_banners/944221852678967296/1763161539" TargetMode="External"/><Relationship Id="rId545" Type="http://schemas.openxmlformats.org/officeDocument/2006/relationships/hyperlink" Target="https://video.twimg.com/amplify_video/1961440142922493952/vid/avc1/2880x2160/94b7WGhRWWw79rbv.mp4?tag=21" TargetMode="External"/><Relationship Id="rId787" Type="http://schemas.openxmlformats.org/officeDocument/2006/relationships/hyperlink" Target="https://pbs.twimg.com/profile_images/1334138041678573571/HMUxtMET_normal.png" TargetMode="External"/><Relationship Id="rId302" Type="http://schemas.openxmlformats.org/officeDocument/2006/relationships/hyperlink" Target="https://pbs.twimg.com/profile_images/1989367095658684418/40k6rTZF_normal.jpg" TargetMode="External"/><Relationship Id="rId544" Type="http://schemas.openxmlformats.org/officeDocument/2006/relationships/hyperlink" Target="https://pbs.twimg.com/amplify_video_thumb/1961440142922493952/img/n3D8aZI7fSTYOyin.jpg" TargetMode="External"/><Relationship Id="rId786" Type="http://schemas.openxmlformats.org/officeDocument/2006/relationships/hyperlink" Target="https://x.com/andr3e_/status/1941514466925085064" TargetMode="External"/><Relationship Id="rId309" Type="http://schemas.openxmlformats.org/officeDocument/2006/relationships/hyperlink" Target="https://x.com/Fabigonz1979/status/1973195211380760892" TargetMode="External"/><Relationship Id="rId308" Type="http://schemas.openxmlformats.org/officeDocument/2006/relationships/hyperlink" Target="https://video.twimg.com/amplify_video/1973451132778250240/vid/avc1/1920x1088/TQOqqBfocV_GTbaW.mp4?tag=21" TargetMode="External"/><Relationship Id="rId307" Type="http://schemas.openxmlformats.org/officeDocument/2006/relationships/hyperlink" Target="https://pbs.twimg.com/amplify_video_thumb/1973451132778250240/img/18uLin3HOAjDBhIh.jpg" TargetMode="External"/><Relationship Id="rId549" Type="http://schemas.openxmlformats.org/officeDocument/2006/relationships/hyperlink" Target="https://pbs.twimg.com/amplify_video_thumb/1961440142922493952/img/n3D8aZI7fSTYOyin.jpg" TargetMode="External"/><Relationship Id="rId306" Type="http://schemas.openxmlformats.org/officeDocument/2006/relationships/hyperlink" Target="https://pbs.twimg.com/profile_banners/2825615947/1674793295" TargetMode="External"/><Relationship Id="rId548" Type="http://schemas.openxmlformats.org/officeDocument/2006/relationships/hyperlink" Target="https://pbs.twimg.com/profile_banners/3528171918/1759763308" TargetMode="External"/><Relationship Id="rId781" Type="http://schemas.openxmlformats.org/officeDocument/2006/relationships/hyperlink" Target="https://pbs.twimg.com/profile_images/1748291393800261632/M_l7_07O_normal.jpg" TargetMode="External"/><Relationship Id="rId780" Type="http://schemas.openxmlformats.org/officeDocument/2006/relationships/hyperlink" Target="https://x.com/PauloRegen/status/1942233880402227474" TargetMode="External"/><Relationship Id="rId1130" Type="http://schemas.openxmlformats.org/officeDocument/2006/relationships/hyperlink" Target="https://pbs.twimg.com/profile_banners/1235079445632995328/1583301796" TargetMode="External"/><Relationship Id="rId1131" Type="http://schemas.openxmlformats.org/officeDocument/2006/relationships/hyperlink" Target="https://x.com/ingridbxd/status/1920103551042224135" TargetMode="External"/><Relationship Id="rId301" Type="http://schemas.openxmlformats.org/officeDocument/2006/relationships/hyperlink" Target="https://x.com/diabopeludo/status/1973489567832633494" TargetMode="External"/><Relationship Id="rId543" Type="http://schemas.openxmlformats.org/officeDocument/2006/relationships/hyperlink" Target="https://pbs.twimg.com/profile_banners/1716547017978363905/1764245866" TargetMode="External"/><Relationship Id="rId785" Type="http://schemas.openxmlformats.org/officeDocument/2006/relationships/hyperlink" Target="https://www.lacapital.com.ar/la-ciudad/como-saber-si-un-adulto-tiene-tdah-los-sintomas-que-no-hay-que-pasar-alto-n10202249.html" TargetMode="External"/><Relationship Id="rId1132" Type="http://schemas.openxmlformats.org/officeDocument/2006/relationships/hyperlink" Target="https://pbs.twimg.com/profile_images/1990334313116614656/ubaTfUoP_normal.jpg" TargetMode="External"/><Relationship Id="rId300" Type="http://schemas.openxmlformats.org/officeDocument/2006/relationships/hyperlink" Target="https://pbs.twimg.com/profile_banners/1580357997125140481/1744712818" TargetMode="External"/><Relationship Id="rId542" Type="http://schemas.openxmlformats.org/officeDocument/2006/relationships/hyperlink" Target="https://pbs.twimg.com/profile_images/1994346937865142272/14cx1hMJ_normal.jpg" TargetMode="External"/><Relationship Id="rId784" Type="http://schemas.openxmlformats.org/officeDocument/2006/relationships/hyperlink" Target="https://pbs.twimg.com/profile_banners/90483398/1703597843" TargetMode="External"/><Relationship Id="rId1133" Type="http://schemas.openxmlformats.org/officeDocument/2006/relationships/hyperlink" Target="https://pbs.twimg.com/profile_banners/1732119554241757184/1762829868" TargetMode="External"/><Relationship Id="rId541" Type="http://schemas.openxmlformats.org/officeDocument/2006/relationships/hyperlink" Target="https://x.com/thvselfs/status/1961463503350272182" TargetMode="External"/><Relationship Id="rId783" Type="http://schemas.openxmlformats.org/officeDocument/2006/relationships/hyperlink" Target="https://pbs.twimg.com/profile_images/1775612770634870784/6DNbMLPZ_normal.jpg" TargetMode="External"/><Relationship Id="rId1134" Type="http://schemas.openxmlformats.org/officeDocument/2006/relationships/hyperlink" Target="https://x.com/esunbambi/status/1919817674093142182" TargetMode="External"/><Relationship Id="rId540" Type="http://schemas.openxmlformats.org/officeDocument/2006/relationships/hyperlink" Target="https://video.twimg.com/amplify_video/1961440142922493952/vid/avc1/2880x2160/94b7WGhRWWw79rbv.mp4?tag=21" TargetMode="External"/><Relationship Id="rId782" Type="http://schemas.openxmlformats.org/officeDocument/2006/relationships/hyperlink" Target="https://x.com/MFernandaRey/status/1941518170738819127" TargetMode="External"/><Relationship Id="rId1135" Type="http://schemas.openxmlformats.org/officeDocument/2006/relationships/hyperlink" Target="https://pbs.twimg.com/profile_images/1763371923206008832/AMRnDEbF_normal.jpg" TargetMode="External"/><Relationship Id="rId1125" Type="http://schemas.openxmlformats.org/officeDocument/2006/relationships/hyperlink" Target="https://x.com/maedasaena/status/1921410454078791833" TargetMode="External"/><Relationship Id="rId1126" Type="http://schemas.openxmlformats.org/officeDocument/2006/relationships/hyperlink" Target="https://pbs.twimg.com/profile_images/1988363062273818624/Gc_NZHa3_normal.jpg" TargetMode="External"/><Relationship Id="rId1127" Type="http://schemas.openxmlformats.org/officeDocument/2006/relationships/hyperlink" Target="https://pbs.twimg.com/profile_banners/1904915735438041088/1764295724" TargetMode="External"/><Relationship Id="rId1128" Type="http://schemas.openxmlformats.org/officeDocument/2006/relationships/hyperlink" Target="https://x.com/_Almendrx/status/1920491230925934723" TargetMode="External"/><Relationship Id="rId1129" Type="http://schemas.openxmlformats.org/officeDocument/2006/relationships/hyperlink" Target="https://pbs.twimg.com/profile_images/1379727231979814916/IqCtgAl2_normal.jpg" TargetMode="External"/><Relationship Id="rId536" Type="http://schemas.openxmlformats.org/officeDocument/2006/relationships/hyperlink" Target="https://x.com/jjkclean/status/1961471025662607728" TargetMode="External"/><Relationship Id="rId778" Type="http://schemas.openxmlformats.org/officeDocument/2006/relationships/hyperlink" Target="https://pbs.twimg.com/profile_images/1975204645447368704/TSL7G7ua_normal.jpg" TargetMode="External"/><Relationship Id="rId535" Type="http://schemas.openxmlformats.org/officeDocument/2006/relationships/hyperlink" Target="https://pbs.twimg.com/profile_banners/1251399343778811904/1750228887" TargetMode="External"/><Relationship Id="rId777" Type="http://schemas.openxmlformats.org/officeDocument/2006/relationships/hyperlink" Target="https://x.com/itsallmeee/status/1942261437339967833" TargetMode="External"/><Relationship Id="rId534" Type="http://schemas.openxmlformats.org/officeDocument/2006/relationships/hyperlink" Target="https://pbs.twimg.com/profile_images/1935226338291367936/1hO8E1MZ_normal.jpg" TargetMode="External"/><Relationship Id="rId776" Type="http://schemas.openxmlformats.org/officeDocument/2006/relationships/hyperlink" Target="https://pbs.twimg.com/profile_banners/236621586/1606877123" TargetMode="External"/><Relationship Id="rId533" Type="http://schemas.openxmlformats.org/officeDocument/2006/relationships/hyperlink" Target="https://x.com/updatebangtan_/status/1961473295842250765" TargetMode="External"/><Relationship Id="rId775" Type="http://schemas.openxmlformats.org/officeDocument/2006/relationships/hyperlink" Target="https://pbs.twimg.com/profile_images/1540464860768731136/UM4JIXS3_normal.jpg" TargetMode="External"/><Relationship Id="rId539" Type="http://schemas.openxmlformats.org/officeDocument/2006/relationships/hyperlink" Target="https://pbs.twimg.com/amplify_video_thumb/1961440142922493952/img/n3D8aZI7fSTYOyin.jpg" TargetMode="External"/><Relationship Id="rId538" Type="http://schemas.openxmlformats.org/officeDocument/2006/relationships/hyperlink" Target="https://pbs.twimg.com/profile_banners/1232831855038214149/1757122807" TargetMode="External"/><Relationship Id="rId537" Type="http://schemas.openxmlformats.org/officeDocument/2006/relationships/hyperlink" Target="https://pbs.twimg.com/profile_images/1964141030556532736/rFL28oIz_normal.jpg" TargetMode="External"/><Relationship Id="rId779" Type="http://schemas.openxmlformats.org/officeDocument/2006/relationships/hyperlink" Target="https://pbs.twimg.com/profile_banners/1701407640595611648/1759760471" TargetMode="External"/><Relationship Id="rId770" Type="http://schemas.openxmlformats.org/officeDocument/2006/relationships/hyperlink" Target="https://pbs.twimg.com/profile_banners/236621586/1606877123" TargetMode="External"/><Relationship Id="rId1120" Type="http://schemas.openxmlformats.org/officeDocument/2006/relationships/hyperlink" Target="https://pbs.twimg.com/profile_images/1899284788134993920/3rq6aX3v_normal.jpg" TargetMode="External"/><Relationship Id="rId532" Type="http://schemas.openxmlformats.org/officeDocument/2006/relationships/hyperlink" Target="https://video.twimg.com/amplify_video/1961440142922493952/vid/avc1/2880x2160/94b7WGhRWWw79rbv.mp4?tag=21" TargetMode="External"/><Relationship Id="rId774" Type="http://schemas.openxmlformats.org/officeDocument/2006/relationships/hyperlink" Target="https://x.com/ElPaido/status/1942346706500370656" TargetMode="External"/><Relationship Id="rId1121" Type="http://schemas.openxmlformats.org/officeDocument/2006/relationships/hyperlink" Target="https://pbs.twimg.com/profile_banners/1200186192425340929/1700020284" TargetMode="External"/><Relationship Id="rId531" Type="http://schemas.openxmlformats.org/officeDocument/2006/relationships/hyperlink" Target="https://pbs.twimg.com/amplify_video_thumb/1961440142922493952/img/n3D8aZI7fSTYOyin.jpg" TargetMode="External"/><Relationship Id="rId773" Type="http://schemas.openxmlformats.org/officeDocument/2006/relationships/hyperlink" Target="https://pbs.twimg.com/profile_banners/236621586/1606877123" TargetMode="External"/><Relationship Id="rId1122" Type="http://schemas.openxmlformats.org/officeDocument/2006/relationships/hyperlink" Target="https://x.com/whycbl/status/1922040141557727401" TargetMode="External"/><Relationship Id="rId530" Type="http://schemas.openxmlformats.org/officeDocument/2006/relationships/hyperlink" Target="https://pbs.twimg.com/profile_banners/1251399343778811904/1750228887" TargetMode="External"/><Relationship Id="rId772" Type="http://schemas.openxmlformats.org/officeDocument/2006/relationships/hyperlink" Target="https://pbs.twimg.com/profile_images/1540464860768731136/UM4JIXS3_normal.jpg" TargetMode="External"/><Relationship Id="rId1123" Type="http://schemas.openxmlformats.org/officeDocument/2006/relationships/hyperlink" Target="https://pbs.twimg.com/profile_images/1987900130423410688/Iv0kZ0Fk_normal.jpg" TargetMode="External"/><Relationship Id="rId771" Type="http://schemas.openxmlformats.org/officeDocument/2006/relationships/hyperlink" Target="https://x.com/ElPaido/status/1942346712988680259" TargetMode="External"/><Relationship Id="rId1124" Type="http://schemas.openxmlformats.org/officeDocument/2006/relationships/hyperlink" Target="https://pbs.twimg.com/profile_banners/1814356363138523136/1722263222" TargetMode="External"/><Relationship Id="rId1158" Type="http://schemas.openxmlformats.org/officeDocument/2006/relationships/hyperlink" Target="https://pbs.twimg.com/profile_images/1540464860768731136/UM4JIXS3_normal.jpg" TargetMode="External"/><Relationship Id="rId1159" Type="http://schemas.openxmlformats.org/officeDocument/2006/relationships/hyperlink" Target="https://pbs.twimg.com/profile_banners/236621586/1606877123" TargetMode="External"/><Relationship Id="rId327" Type="http://schemas.openxmlformats.org/officeDocument/2006/relationships/hyperlink" Target="https://pbs.twimg.com/profile_banners/1365768366770819075/1663444425" TargetMode="External"/><Relationship Id="rId569" Type="http://schemas.openxmlformats.org/officeDocument/2006/relationships/hyperlink" Target="https://pbs.twimg.com/profile_images/1979327175321915393/V85QW0kh_normal.jpg" TargetMode="External"/><Relationship Id="rId326" Type="http://schemas.openxmlformats.org/officeDocument/2006/relationships/hyperlink" Target="https://pbs.twimg.com/profile_images/1571225910874890240/BRghNg0y_normal.jpg" TargetMode="External"/><Relationship Id="rId568" Type="http://schemas.openxmlformats.org/officeDocument/2006/relationships/hyperlink" Target="https://x.com/sigmagogogo__/status/1960094246842819029" TargetMode="External"/><Relationship Id="rId325" Type="http://schemas.openxmlformats.org/officeDocument/2006/relationships/hyperlink" Target="https://x.com/luannaacs/status/1971316211083542893" TargetMode="External"/><Relationship Id="rId567" Type="http://schemas.openxmlformats.org/officeDocument/2006/relationships/hyperlink" Target="https://pbs.twimg.com/profile_banners/4885318043/1456058491" TargetMode="External"/><Relationship Id="rId324" Type="http://schemas.openxmlformats.org/officeDocument/2006/relationships/hyperlink" Target="https://pbs.twimg.com/profile_banners/1254627509351714816/1630690788" TargetMode="External"/><Relationship Id="rId566" Type="http://schemas.openxmlformats.org/officeDocument/2006/relationships/hyperlink" Target="https://pbs.twimg.com/profile_images/1929818530892906496/FQ0V4kIY_normal.jpg" TargetMode="External"/><Relationship Id="rId329" Type="http://schemas.openxmlformats.org/officeDocument/2006/relationships/hyperlink" Target="https://x.com/QueerMarx_99/status/1971283366839513280" TargetMode="External"/><Relationship Id="rId328" Type="http://schemas.openxmlformats.org/officeDocument/2006/relationships/hyperlink" Target="https://pbs.twimg.com/ext_tw_video_thumb/1971249161593819137/pu/img/L0mBkVclLZTCMCIg.jpg" TargetMode="External"/><Relationship Id="rId561" Type="http://schemas.openxmlformats.org/officeDocument/2006/relationships/hyperlink" Target="https://pbs.twimg.com/profile_images/1463423643095031814/en_jwgIz_normal.jpg" TargetMode="External"/><Relationship Id="rId1150" Type="http://schemas.openxmlformats.org/officeDocument/2006/relationships/hyperlink" Target="https://pbs.twimg.com/profile_images/1980637882122379264/10h9IR15_normal.jpg" TargetMode="External"/><Relationship Id="rId560" Type="http://schemas.openxmlformats.org/officeDocument/2006/relationships/hyperlink" Target="https://x.com/neurorebelde/status/1960596201104904283" TargetMode="External"/><Relationship Id="rId1151" Type="http://schemas.openxmlformats.org/officeDocument/2006/relationships/hyperlink" Target="https://pbs.twimg.com/profile_banners/1731664416356159488/1701696262" TargetMode="External"/><Relationship Id="rId1152" Type="http://schemas.openxmlformats.org/officeDocument/2006/relationships/hyperlink" Target="https://x.com/DNATalentqro/status/1918125220608516379" TargetMode="External"/><Relationship Id="rId1153" Type="http://schemas.openxmlformats.org/officeDocument/2006/relationships/hyperlink" Target="https://pbs.twimg.com/profile_images/1955868134839136258/R9xQQFNI_normal.jpg" TargetMode="External"/><Relationship Id="rId323" Type="http://schemas.openxmlformats.org/officeDocument/2006/relationships/hyperlink" Target="https://pbs.twimg.com/profile_images/1878496340562284544/etH9hoTo_normal.jpg" TargetMode="External"/><Relationship Id="rId565" Type="http://schemas.openxmlformats.org/officeDocument/2006/relationships/hyperlink" Target="https://x.com/psiquiatraca/status/1960349208973582800" TargetMode="External"/><Relationship Id="rId1154" Type="http://schemas.openxmlformats.org/officeDocument/2006/relationships/hyperlink" Target="https://pbs.twimg.com/profile_banners/1107081892522807297/1763784304" TargetMode="External"/><Relationship Id="rId322" Type="http://schemas.openxmlformats.org/officeDocument/2006/relationships/hyperlink" Target="https://x.com/prisi_luna27/status/1971319335915602323" TargetMode="External"/><Relationship Id="rId564" Type="http://schemas.openxmlformats.org/officeDocument/2006/relationships/hyperlink" Target="https://video.twimg.com/amplify_video/1960596033081094145/vid/avc1/364x640/kNhLrdO_GOjrPled.mp4?tag=21" TargetMode="External"/><Relationship Id="rId1155" Type="http://schemas.openxmlformats.org/officeDocument/2006/relationships/hyperlink" Target="https://www.instagram.com/reel/DJIi-p0ulNt/?igsh=ZTVreDdtanBzOWox" TargetMode="External"/><Relationship Id="rId321" Type="http://schemas.openxmlformats.org/officeDocument/2006/relationships/hyperlink" Target="https://video.twimg.com/amplify_video/1972468339797532673/vid/avc1/1920x1088/xHgqPPtdeMHMS5eE.mp4?tag=21" TargetMode="External"/><Relationship Id="rId563" Type="http://schemas.openxmlformats.org/officeDocument/2006/relationships/hyperlink" Target="https://pbs.twimg.com/amplify_video_thumb/1960596033081094145/img/mta4yZyYRsx0Mbfo.jpg" TargetMode="External"/><Relationship Id="rId1156" Type="http://schemas.openxmlformats.org/officeDocument/2006/relationships/hyperlink" Target="https://pbs.twimg.com/media/Gp6MuJ5XgAAI52N.jpg" TargetMode="External"/><Relationship Id="rId320" Type="http://schemas.openxmlformats.org/officeDocument/2006/relationships/hyperlink" Target="https://pbs.twimg.com/amplify_video_thumb/1972468339797532673/img/1e13Uaflb7I3lHrL.jpg" TargetMode="External"/><Relationship Id="rId562" Type="http://schemas.openxmlformats.org/officeDocument/2006/relationships/hyperlink" Target="https://pbs.twimg.com/profile_banners/1050813805276659712/1657736082" TargetMode="External"/><Relationship Id="rId1157" Type="http://schemas.openxmlformats.org/officeDocument/2006/relationships/hyperlink" Target="https://x.com/ElPaido/status/1918012422373425264" TargetMode="External"/><Relationship Id="rId1147" Type="http://schemas.openxmlformats.org/officeDocument/2006/relationships/hyperlink" Target="https://pbs.twimg.com/profile_banners/2825615947/1674793295" TargetMode="External"/><Relationship Id="rId1148" Type="http://schemas.openxmlformats.org/officeDocument/2006/relationships/hyperlink" Target="https://x.com/i/broadcasts/1zqKVjWkzpnKB" TargetMode="External"/><Relationship Id="rId1149" Type="http://schemas.openxmlformats.org/officeDocument/2006/relationships/hyperlink" Target="https://x.com/Moridimortem_/status/1918236204383822319" TargetMode="External"/><Relationship Id="rId316" Type="http://schemas.openxmlformats.org/officeDocument/2006/relationships/hyperlink" Target="https://pbs.twimg.com/media/G2B6hJUWEAAkmVD.jpg" TargetMode="External"/><Relationship Id="rId558" Type="http://schemas.openxmlformats.org/officeDocument/2006/relationships/hyperlink" Target="https://pbs.twimg.com/profile_images/1803399403908038656/bxn8ZUZQ_normal.jpg" TargetMode="External"/><Relationship Id="rId315" Type="http://schemas.openxmlformats.org/officeDocument/2006/relationships/hyperlink" Target="https://pbs.twimg.com/profile_banners/944734585614716928/1747074694" TargetMode="External"/><Relationship Id="rId557" Type="http://schemas.openxmlformats.org/officeDocument/2006/relationships/hyperlink" Target="https://x.com/SedanoCalleja/status/1960596550683365453" TargetMode="External"/><Relationship Id="rId799" Type="http://schemas.openxmlformats.org/officeDocument/2006/relationships/hyperlink" Target="https://pbs.twimg.com/profile_banners/1817536189911482368/1725628460" TargetMode="External"/><Relationship Id="rId314" Type="http://schemas.openxmlformats.org/officeDocument/2006/relationships/hyperlink" Target="https://pbs.twimg.com/profile_images/1136061746895106049/G8TS_hD3_normal.jpg" TargetMode="External"/><Relationship Id="rId556" Type="http://schemas.openxmlformats.org/officeDocument/2006/relationships/hyperlink" Target="https://pbs.twimg.com/profile_banners/48185021/1761655418" TargetMode="External"/><Relationship Id="rId798" Type="http://schemas.openxmlformats.org/officeDocument/2006/relationships/hyperlink" Target="https://pbs.twimg.com/profile_images/1846469044288843777/1QeBrLLI_normal.jpg" TargetMode="External"/><Relationship Id="rId313" Type="http://schemas.openxmlformats.org/officeDocument/2006/relationships/hyperlink" Target="https://x.com/crepch/status/1972711348950946024" TargetMode="External"/><Relationship Id="rId555" Type="http://schemas.openxmlformats.org/officeDocument/2006/relationships/hyperlink" Target="https://pbs.twimg.com/profile_images/1995325562076684288/OC_aKibn_normal.jpg" TargetMode="External"/><Relationship Id="rId797" Type="http://schemas.openxmlformats.org/officeDocument/2006/relationships/hyperlink" Target="https://x.com/TDAH_BuenosDias/status/1939945818557227132" TargetMode="External"/><Relationship Id="rId319" Type="http://schemas.openxmlformats.org/officeDocument/2006/relationships/hyperlink" Target="https://pbs.twimg.com/profile_banners/2825615947/1674793295" TargetMode="External"/><Relationship Id="rId318" Type="http://schemas.openxmlformats.org/officeDocument/2006/relationships/hyperlink" Target="https://pbs.twimg.com/profile_images/1988347861507952640/MmBWSSun_normal.jpg" TargetMode="External"/><Relationship Id="rId317" Type="http://schemas.openxmlformats.org/officeDocument/2006/relationships/hyperlink" Target="https://x.com/MauricioLeija/status/1972470455379349666" TargetMode="External"/><Relationship Id="rId559" Type="http://schemas.openxmlformats.org/officeDocument/2006/relationships/hyperlink" Target="https://pbs.twimg.com/profile_banners/1473331271896080389/1688412751" TargetMode="External"/><Relationship Id="rId550" Type="http://schemas.openxmlformats.org/officeDocument/2006/relationships/hyperlink" Target="https://video.twimg.com/amplify_video/1961440142922493952/vid/avc1/2880x2160/94b7WGhRWWw79rbv.mp4?tag=21" TargetMode="External"/><Relationship Id="rId792" Type="http://schemas.openxmlformats.org/officeDocument/2006/relationships/hyperlink" Target="http://dlvr.it" TargetMode="External"/><Relationship Id="rId791" Type="http://schemas.openxmlformats.org/officeDocument/2006/relationships/hyperlink" Target="https://pbs.twimg.com/profile_banners/179990537/1718105118" TargetMode="External"/><Relationship Id="rId1140" Type="http://schemas.openxmlformats.org/officeDocument/2006/relationships/hyperlink" Target="https://x.com/lizzybdarcy28/status/1919523541067673687" TargetMode="External"/><Relationship Id="rId790" Type="http://schemas.openxmlformats.org/officeDocument/2006/relationships/hyperlink" Target="https://pbs.twimg.com/profile_images/1694155721724538880/B6lUZpHj_normal.jpg" TargetMode="External"/><Relationship Id="rId1141" Type="http://schemas.openxmlformats.org/officeDocument/2006/relationships/hyperlink" Target="https://pbs.twimg.com/profile_images/1986032114542706688/xCkK3NP9_normal.jpg" TargetMode="External"/><Relationship Id="rId1142" Type="http://schemas.openxmlformats.org/officeDocument/2006/relationships/hyperlink" Target="https://pbs.twimg.com/profile_banners/1365834084736520192/1697065955" TargetMode="External"/><Relationship Id="rId312" Type="http://schemas.openxmlformats.org/officeDocument/2006/relationships/hyperlink" Target="https://pbs.twimg.com/ext_tw_video_thumb/1972714315191844864/pu/img/G5AJ7UwLOMprJAqt.jpg" TargetMode="External"/><Relationship Id="rId554" Type="http://schemas.openxmlformats.org/officeDocument/2006/relationships/hyperlink" Target="https://x.com/nabiunkula/status/1960722102446661667" TargetMode="External"/><Relationship Id="rId796" Type="http://schemas.openxmlformats.org/officeDocument/2006/relationships/hyperlink" Target="https://pbs.twimg.com/profile_banners/1149747429585182722/1694284446" TargetMode="External"/><Relationship Id="rId1143" Type="http://schemas.openxmlformats.org/officeDocument/2006/relationships/hyperlink" Target="https://x.com/MariaCamposZTC/status/1919003976059560257" TargetMode="External"/><Relationship Id="rId311" Type="http://schemas.openxmlformats.org/officeDocument/2006/relationships/hyperlink" Target="https://pbs.twimg.com/profile_banners/1702818804370186240/1708994418" TargetMode="External"/><Relationship Id="rId553" Type="http://schemas.openxmlformats.org/officeDocument/2006/relationships/hyperlink" Target="https://pbs.twimg.com/profile_banners/1926405016492871680/1762356368" TargetMode="External"/><Relationship Id="rId795" Type="http://schemas.openxmlformats.org/officeDocument/2006/relationships/hyperlink" Target="https://pbs.twimg.com/profile_images/1700577479885217792/4J0r-Cq8_normal.jpg" TargetMode="External"/><Relationship Id="rId1144" Type="http://schemas.openxmlformats.org/officeDocument/2006/relationships/hyperlink" Target="https://pbs.twimg.com/profile_images/1518254958847696897/Z-twE7cd_normal.png" TargetMode="External"/><Relationship Id="rId310" Type="http://schemas.openxmlformats.org/officeDocument/2006/relationships/hyperlink" Target="https://pbs.twimg.com/profile_images/1881491082040549378/MGKkpsF6_normal.jpg" TargetMode="External"/><Relationship Id="rId552" Type="http://schemas.openxmlformats.org/officeDocument/2006/relationships/hyperlink" Target="https://pbs.twimg.com/profile_images/1986092336804200448/XZ8WDvUN_normal.jpg" TargetMode="External"/><Relationship Id="rId794" Type="http://schemas.openxmlformats.org/officeDocument/2006/relationships/hyperlink" Target="https://x.com/m_duardas/status/1940221394325053460" TargetMode="External"/><Relationship Id="rId1145" Type="http://schemas.openxmlformats.org/officeDocument/2006/relationships/hyperlink" Target="https://x.com/MauricioLeija/status/1918387562269323616" TargetMode="External"/><Relationship Id="rId551" Type="http://schemas.openxmlformats.org/officeDocument/2006/relationships/hyperlink" Target="https://x.com/henssnunkv/status/1961442007944962325" TargetMode="External"/><Relationship Id="rId793" Type="http://schemas.openxmlformats.org/officeDocument/2006/relationships/hyperlink" Target="http://dlvr.it/TLlVL0" TargetMode="External"/><Relationship Id="rId1146" Type="http://schemas.openxmlformats.org/officeDocument/2006/relationships/hyperlink" Target="https://pbs.twimg.com/profile_images/1988347861507952640/MmBWSSun_normal.jpg" TargetMode="External"/><Relationship Id="rId297" Type="http://schemas.openxmlformats.org/officeDocument/2006/relationships/hyperlink" Target="https://pbs.twimg.com/profile_banners/1001953953632923655/1756951902" TargetMode="External"/><Relationship Id="rId296" Type="http://schemas.openxmlformats.org/officeDocument/2006/relationships/hyperlink" Target="https://pbs.twimg.com/profile_images/1963424653608681473/TUdY8NAt_normal.jpg" TargetMode="External"/><Relationship Id="rId295" Type="http://schemas.openxmlformats.org/officeDocument/2006/relationships/hyperlink" Target="https://x.com/okayvante/status/1973811651251220549" TargetMode="External"/><Relationship Id="rId294" Type="http://schemas.openxmlformats.org/officeDocument/2006/relationships/hyperlink" Target="https://pbs.twimg.com/media/G2WppSjXEAAeYUU.jpg" TargetMode="External"/><Relationship Id="rId299" Type="http://schemas.openxmlformats.org/officeDocument/2006/relationships/hyperlink" Target="https://pbs.twimg.com/profile_images/1986630343181410304/p9l1I3Fa_normal.jpg" TargetMode="External"/><Relationship Id="rId298" Type="http://schemas.openxmlformats.org/officeDocument/2006/relationships/hyperlink" Target="https://x.com/heartwobawige/status/1973747672847929749" TargetMode="External"/><Relationship Id="rId271" Type="http://schemas.openxmlformats.org/officeDocument/2006/relationships/hyperlink" Target="https://pbs.twimg.com/profile_images/1463423643095031814/en_jwgIz_normal.jpg" TargetMode="External"/><Relationship Id="rId270" Type="http://schemas.openxmlformats.org/officeDocument/2006/relationships/hyperlink" Target="https://x.com/neurorebelde/status/1975848378186772641" TargetMode="External"/><Relationship Id="rId269" Type="http://schemas.openxmlformats.org/officeDocument/2006/relationships/hyperlink" Target="https://pbs.twimg.com/profile_banners/1934056666674110464/1754527556" TargetMode="External"/><Relationship Id="rId264" Type="http://schemas.openxmlformats.org/officeDocument/2006/relationships/hyperlink" Target="https://x.com/Didi_TreG/status/1976134916418019612" TargetMode="External"/><Relationship Id="rId263" Type="http://schemas.openxmlformats.org/officeDocument/2006/relationships/hyperlink" Target="https://pbs.twimg.com/profile_banners/260040990/1763340024" TargetMode="External"/><Relationship Id="rId262" Type="http://schemas.openxmlformats.org/officeDocument/2006/relationships/hyperlink" Target="https://pbs.twimg.com/profile_images/1753625658603798528/dCsFV2vA_normal.jpg" TargetMode="External"/><Relationship Id="rId261" Type="http://schemas.openxmlformats.org/officeDocument/2006/relationships/hyperlink" Target="https://x.com/lemavosk/status/1977061972697850340" TargetMode="External"/><Relationship Id="rId268" Type="http://schemas.openxmlformats.org/officeDocument/2006/relationships/hyperlink" Target="https://pbs.twimg.com/profile_images/1950018802286018560/dIYdtxRU_normal.jpg" TargetMode="External"/><Relationship Id="rId267" Type="http://schemas.openxmlformats.org/officeDocument/2006/relationships/hyperlink" Target="https://x.com/Inovarem_lounge/status/1976066420153909489" TargetMode="External"/><Relationship Id="rId266" Type="http://schemas.openxmlformats.org/officeDocument/2006/relationships/hyperlink" Target="https://pbs.twimg.com/profile_banners/1672068493972258819/1749291201" TargetMode="External"/><Relationship Id="rId265" Type="http://schemas.openxmlformats.org/officeDocument/2006/relationships/hyperlink" Target="https://pbs.twimg.com/profile_images/1977574357095350272/pXT7Q63C_normal.jpg" TargetMode="External"/><Relationship Id="rId260" Type="http://schemas.openxmlformats.org/officeDocument/2006/relationships/hyperlink" Target="https://pbs.twimg.com/media/G2_4TAhWAAAFB6G.jpg" TargetMode="External"/><Relationship Id="rId259" Type="http://schemas.openxmlformats.org/officeDocument/2006/relationships/hyperlink" Target="https://buff.ly/yYRZTpf" TargetMode="External"/><Relationship Id="rId258" Type="http://schemas.openxmlformats.org/officeDocument/2006/relationships/hyperlink" Target="https://pbs.twimg.com/profile_banners/31093614/1400058512" TargetMode="External"/><Relationship Id="rId253" Type="http://schemas.openxmlformats.org/officeDocument/2006/relationships/hyperlink" Target="https://x.com/lovatorealist/status/1977197725382066626" TargetMode="External"/><Relationship Id="rId495" Type="http://schemas.openxmlformats.org/officeDocument/2006/relationships/hyperlink" Target="https://x.com/daniiellefn/status/1962490234609791484" TargetMode="External"/><Relationship Id="rId252" Type="http://schemas.openxmlformats.org/officeDocument/2006/relationships/hyperlink" Target="https://www.psyciencia.com/el-tdah-adulto-por-que-ser-mujer-implica-un-mayor-impacto/" TargetMode="External"/><Relationship Id="rId494" Type="http://schemas.openxmlformats.org/officeDocument/2006/relationships/hyperlink" Target="https://pbs.twimg.com/profile_banners/984873996381540353/1668041638" TargetMode="External"/><Relationship Id="rId251" Type="http://schemas.openxmlformats.org/officeDocument/2006/relationships/hyperlink" Target="https://pbs.twimg.com/profile_banners/141214180/1583003072" TargetMode="External"/><Relationship Id="rId493" Type="http://schemas.openxmlformats.org/officeDocument/2006/relationships/hyperlink" Target="https://pbs.twimg.com/profile_images/1969939550270058496/qiq-M-tp_normal.jpg" TargetMode="External"/><Relationship Id="rId250" Type="http://schemas.openxmlformats.org/officeDocument/2006/relationships/hyperlink" Target="https://pbs.twimg.com/profile_images/1232378473651539968/O1Ihu2EC_normal.jpg" TargetMode="External"/><Relationship Id="rId492" Type="http://schemas.openxmlformats.org/officeDocument/2006/relationships/hyperlink" Target="https://x.com/miumiueum/status/1962628956806402346" TargetMode="External"/><Relationship Id="rId257" Type="http://schemas.openxmlformats.org/officeDocument/2006/relationships/hyperlink" Target="https://pbs.twimg.com/profile_images/466500995346755584/Fyhu8cAd_normal.png" TargetMode="External"/><Relationship Id="rId499" Type="http://schemas.openxmlformats.org/officeDocument/2006/relationships/hyperlink" Target="https://pbs.twimg.com/profile_banners/1039632943415812097/1680830556" TargetMode="External"/><Relationship Id="rId256" Type="http://schemas.openxmlformats.org/officeDocument/2006/relationships/hyperlink" Target="https://x.com/logopedico/status/1977071769400848784" TargetMode="External"/><Relationship Id="rId498" Type="http://schemas.openxmlformats.org/officeDocument/2006/relationships/hyperlink" Target="https://pbs.twimg.com/profile_images/1979716512362430464/mDFWfxku_normal.jpg" TargetMode="External"/><Relationship Id="rId255" Type="http://schemas.openxmlformats.org/officeDocument/2006/relationships/hyperlink" Target="https://pbs.twimg.com/profile_banners/1034932200381317120/1757968822" TargetMode="External"/><Relationship Id="rId497" Type="http://schemas.openxmlformats.org/officeDocument/2006/relationships/hyperlink" Target="https://x.com/_jeyth/status/1962305913101959211" TargetMode="External"/><Relationship Id="rId254" Type="http://schemas.openxmlformats.org/officeDocument/2006/relationships/hyperlink" Target="https://pbs.twimg.com/profile_images/1993042641995341824/8u4HiOac_normal.jpg" TargetMode="External"/><Relationship Id="rId496" Type="http://schemas.openxmlformats.org/officeDocument/2006/relationships/hyperlink" Target="https://pbs.twimg.com/profile_images/1975515624550895616/CfxbQlnI_normal.jpg" TargetMode="External"/><Relationship Id="rId293" Type="http://schemas.openxmlformats.org/officeDocument/2006/relationships/hyperlink" Target="https://pbs.twimg.com/profile_banners/301473763/1741343123" TargetMode="External"/><Relationship Id="rId292" Type="http://schemas.openxmlformats.org/officeDocument/2006/relationships/hyperlink" Target="https://pbs.twimg.com/profile_images/1938687777400389632/lwvajkvb_normal.jpg" TargetMode="External"/><Relationship Id="rId291" Type="http://schemas.openxmlformats.org/officeDocument/2006/relationships/hyperlink" Target="https://x.com/nabi_onandia/status/1974170843828924589" TargetMode="External"/><Relationship Id="rId290" Type="http://schemas.openxmlformats.org/officeDocument/2006/relationships/hyperlink" Target="https://pbs.twimg.com/profile_banners/1656851066825191424/1698518585" TargetMode="External"/><Relationship Id="rId286" Type="http://schemas.openxmlformats.org/officeDocument/2006/relationships/hyperlink" Target="https://pbs.twimg.com/amplify_video_thumb/1975000162469584896/img/J3QIPa8gzsWjYfeG.jpg" TargetMode="External"/><Relationship Id="rId285" Type="http://schemas.openxmlformats.org/officeDocument/2006/relationships/hyperlink" Target="http://opus.pro" TargetMode="External"/><Relationship Id="rId284" Type="http://schemas.openxmlformats.org/officeDocument/2006/relationships/hyperlink" Target="https://pbs.twimg.com/profile_banners/154403438/1747941937" TargetMode="External"/><Relationship Id="rId283" Type="http://schemas.openxmlformats.org/officeDocument/2006/relationships/hyperlink" Target="https://pbs.twimg.com/profile_images/482530070209130497/Gt7ngfhx_normal.jpeg" TargetMode="External"/><Relationship Id="rId289" Type="http://schemas.openxmlformats.org/officeDocument/2006/relationships/hyperlink" Target="https://pbs.twimg.com/profile_images/1962524049155756033/I-slbMrx_normal.jpg" TargetMode="External"/><Relationship Id="rId288" Type="http://schemas.openxmlformats.org/officeDocument/2006/relationships/hyperlink" Target="https://x.com/manucaralho_/status/1974672399036727526" TargetMode="External"/><Relationship Id="rId287" Type="http://schemas.openxmlformats.org/officeDocument/2006/relationships/hyperlink" Target="https://video.twimg.com/amplify_video/1975000162469584896/vid/avc1/720x1280/LytIMKwzJ1SbIN76.mp4?tag=14" TargetMode="External"/><Relationship Id="rId282" Type="http://schemas.openxmlformats.org/officeDocument/2006/relationships/hyperlink" Target="https://x.com/AlfredoAlvarezz/status/1975000183164346744" TargetMode="External"/><Relationship Id="rId281" Type="http://schemas.openxmlformats.org/officeDocument/2006/relationships/hyperlink" Target="https://pbs.twimg.com/profile_banners/2187251041/1450510480" TargetMode="External"/><Relationship Id="rId280" Type="http://schemas.openxmlformats.org/officeDocument/2006/relationships/hyperlink" Target="https://pbs.twimg.com/profile_images/1880492505298300928/-5wLvuJC_normal.jpg" TargetMode="External"/><Relationship Id="rId275" Type="http://schemas.openxmlformats.org/officeDocument/2006/relationships/hyperlink" Target="https://pbs.twimg.com/profile_banners/1581762738782670849/1686070174" TargetMode="External"/><Relationship Id="rId274" Type="http://schemas.openxmlformats.org/officeDocument/2006/relationships/hyperlink" Target="https://pbs.twimg.com/profile_images/1666123556122394626/VtDPlJVX_normal.jpg" TargetMode="External"/><Relationship Id="rId273" Type="http://schemas.openxmlformats.org/officeDocument/2006/relationships/hyperlink" Target="https://x.com/Marc_avasco/status/1975587869470101874" TargetMode="External"/><Relationship Id="rId272" Type="http://schemas.openxmlformats.org/officeDocument/2006/relationships/hyperlink" Target="https://pbs.twimg.com/profile_banners/1050813805276659712/1657736082" TargetMode="External"/><Relationship Id="rId279" Type="http://schemas.openxmlformats.org/officeDocument/2006/relationships/hyperlink" Target="https://x.com/bizarraventura/status/1975068834580361285" TargetMode="External"/><Relationship Id="rId278" Type="http://schemas.openxmlformats.org/officeDocument/2006/relationships/hyperlink" Target="https://pbs.twimg.com/profile_banners/752939522439180290/1671072896" TargetMode="External"/><Relationship Id="rId277" Type="http://schemas.openxmlformats.org/officeDocument/2006/relationships/hyperlink" Target="https://pbs.twimg.com/profile_images/1696183638142906368/B1aVllFI_normal.jpg" TargetMode="External"/><Relationship Id="rId276" Type="http://schemas.openxmlformats.org/officeDocument/2006/relationships/hyperlink" Target="https://x.com/shadowcatrj/status/1975576673476309279" TargetMode="External"/><Relationship Id="rId907" Type="http://schemas.openxmlformats.org/officeDocument/2006/relationships/hyperlink" Target="https://x.com/crepch/status/1932855425193369787" TargetMode="External"/><Relationship Id="rId906" Type="http://schemas.openxmlformats.org/officeDocument/2006/relationships/hyperlink" Target="https://pbs.twimg.com/profile_banners/1495809315394961415/1738338462" TargetMode="External"/><Relationship Id="rId905" Type="http://schemas.openxmlformats.org/officeDocument/2006/relationships/hyperlink" Target="https://pbs.twimg.com/profile_images/1930734996672643072/AnKcSce4_normal.jpg" TargetMode="External"/><Relationship Id="rId904" Type="http://schemas.openxmlformats.org/officeDocument/2006/relationships/hyperlink" Target="https://x.com/tammyneuro/status/1932862802127171822" TargetMode="External"/><Relationship Id="rId909" Type="http://schemas.openxmlformats.org/officeDocument/2006/relationships/hyperlink" Target="https://pbs.twimg.com/profile_banners/944734585614716928/1747074694" TargetMode="External"/><Relationship Id="rId908" Type="http://schemas.openxmlformats.org/officeDocument/2006/relationships/hyperlink" Target="https://pbs.twimg.com/profile_images/1136061746895106049/G8TS_hD3_normal.jpg" TargetMode="External"/><Relationship Id="rId903" Type="http://schemas.openxmlformats.org/officeDocument/2006/relationships/hyperlink" Target="https://pbs.twimg.com/media/GtQITJaWcAEp5cI.jpg" TargetMode="External"/><Relationship Id="rId902" Type="http://schemas.openxmlformats.org/officeDocument/2006/relationships/hyperlink" Target="https://pbs.twimg.com/profile_banners/944734585614716928/1747074694" TargetMode="External"/><Relationship Id="rId901" Type="http://schemas.openxmlformats.org/officeDocument/2006/relationships/hyperlink" Target="https://pbs.twimg.com/profile_images/1136061746895106049/G8TS_hD3_normal.jpg" TargetMode="External"/><Relationship Id="rId900" Type="http://schemas.openxmlformats.org/officeDocument/2006/relationships/hyperlink" Target="https://x.com/crepch/status/1933187410415718546" TargetMode="External"/><Relationship Id="rId929" Type="http://schemas.openxmlformats.org/officeDocument/2006/relationships/hyperlink" Target="https://x.com/MauricioLeija/status/1931786348727284052" TargetMode="External"/><Relationship Id="rId928" Type="http://schemas.openxmlformats.org/officeDocument/2006/relationships/hyperlink" Target="https://pbs.twimg.com/profile_banners/1121559863954427907/1694158596" TargetMode="External"/><Relationship Id="rId927" Type="http://schemas.openxmlformats.org/officeDocument/2006/relationships/hyperlink" Target="https://pbs.twimg.com/profile_images/1665696424049164289/Ia1dKYRU_normal.jpg" TargetMode="External"/><Relationship Id="rId926" Type="http://schemas.openxmlformats.org/officeDocument/2006/relationships/hyperlink" Target="https://x.com/vit_velasco/status/1931888565958676616" TargetMode="External"/><Relationship Id="rId921" Type="http://schemas.openxmlformats.org/officeDocument/2006/relationships/hyperlink" Target="https://pbs.twimg.com/profile_banners/337569038/1515873527" TargetMode="External"/><Relationship Id="rId920" Type="http://schemas.openxmlformats.org/officeDocument/2006/relationships/hyperlink" Target="https://pbs.twimg.com/profile_images/1707653377050521600/uRq160FU_normal.jpg" TargetMode="External"/><Relationship Id="rId925" Type="http://schemas.openxmlformats.org/officeDocument/2006/relationships/hyperlink" Target="https://pbs.twimg.com/profile_banners/1619415308543868929/1702922623" TargetMode="External"/><Relationship Id="rId924" Type="http://schemas.openxmlformats.org/officeDocument/2006/relationships/hyperlink" Target="https://pbs.twimg.com/profile_images/1815418761060466688/l1iCEYFY_normal.jpg" TargetMode="External"/><Relationship Id="rId923" Type="http://schemas.openxmlformats.org/officeDocument/2006/relationships/hyperlink" Target="https://x.com/cakebelz/status/1932134371127165290" TargetMode="External"/><Relationship Id="rId922" Type="http://schemas.openxmlformats.org/officeDocument/2006/relationships/hyperlink" Target="https://elneuropediatra.es/psicologo-con-tdah/" TargetMode="External"/><Relationship Id="rId918" Type="http://schemas.openxmlformats.org/officeDocument/2006/relationships/hyperlink" Target="https://pbs.twimg.com/profile_banners/2413171268/1746933780" TargetMode="External"/><Relationship Id="rId917" Type="http://schemas.openxmlformats.org/officeDocument/2006/relationships/hyperlink" Target="https://pbs.twimg.com/profile_images/1917251068678856704/_DodtUyN_normal.jpg" TargetMode="External"/><Relationship Id="rId916" Type="http://schemas.openxmlformats.org/officeDocument/2006/relationships/hyperlink" Target="https://x.com/danii_heell/status/1932503881583354042" TargetMode="External"/><Relationship Id="rId915" Type="http://schemas.openxmlformats.org/officeDocument/2006/relationships/hyperlink" Target="https://forms.gle/7b5GucXLK3Vmg2v36" TargetMode="External"/><Relationship Id="rId919" Type="http://schemas.openxmlformats.org/officeDocument/2006/relationships/hyperlink" Target="https://x.com/elneuropediatra/status/1932387525118623984" TargetMode="External"/><Relationship Id="rId910" Type="http://schemas.openxmlformats.org/officeDocument/2006/relationships/hyperlink" Target="https://pbs.twimg.com/amplify_video_thumb/1932855273200271360/img/dOEpFluzLXa1YxsG.jpg" TargetMode="External"/><Relationship Id="rId914" Type="http://schemas.openxmlformats.org/officeDocument/2006/relationships/hyperlink" Target="https://pbs.twimg.com/profile_banners/3329875162/1743190833" TargetMode="External"/><Relationship Id="rId913" Type="http://schemas.openxmlformats.org/officeDocument/2006/relationships/hyperlink" Target="https://pbs.twimg.com/profile_images/1864701137938419713/rSYj-mMB_normal.jpg" TargetMode="External"/><Relationship Id="rId912" Type="http://schemas.openxmlformats.org/officeDocument/2006/relationships/hyperlink" Target="https://x.com/apnadah/status/1932812006844948529" TargetMode="External"/><Relationship Id="rId911" Type="http://schemas.openxmlformats.org/officeDocument/2006/relationships/hyperlink" Target="https://video.twimg.com/amplify_video/1932855273200271360/vid/avc1/858x720/35wFdI-sCHP-GE7q.mp4?tag=14" TargetMode="External"/><Relationship Id="rId629" Type="http://schemas.openxmlformats.org/officeDocument/2006/relationships/hyperlink" Target="https://x.com/itzlunars/status/1952737784994627717" TargetMode="External"/><Relationship Id="rId624" Type="http://schemas.openxmlformats.org/officeDocument/2006/relationships/hyperlink" Target="https://pbs.twimg.com/profile_images/1267231391454048256/KfLhvobt_normal.jpg" TargetMode="External"/><Relationship Id="rId866" Type="http://schemas.openxmlformats.org/officeDocument/2006/relationships/hyperlink" Target="https://pbs.twimg.com/profile_images/1989318418168762368/wm_uBii7_normal.jpg" TargetMode="External"/><Relationship Id="rId623" Type="http://schemas.openxmlformats.org/officeDocument/2006/relationships/hyperlink" Target="https://x.com/guii_alvessc/status/1953785595278332364" TargetMode="External"/><Relationship Id="rId865" Type="http://schemas.openxmlformats.org/officeDocument/2006/relationships/hyperlink" Target="https://x.com/jenosataniko/status/1934989803709202906" TargetMode="External"/><Relationship Id="rId622" Type="http://schemas.openxmlformats.org/officeDocument/2006/relationships/hyperlink" Target="https://video.twimg.com/amplify_video/1954334002732507136/vid/avc1/1920x1080/B00aIOf0bxyPfD_j.mp4?tag=21" TargetMode="External"/><Relationship Id="rId864" Type="http://schemas.openxmlformats.org/officeDocument/2006/relationships/hyperlink" Target="https://pbs.twimg.com/profile_images/1801527891093499904/_jXwhYzg_normal.jpg" TargetMode="External"/><Relationship Id="rId621" Type="http://schemas.openxmlformats.org/officeDocument/2006/relationships/hyperlink" Target="https://pbs.twimg.com/amplify_video_thumb/1954334002732507136/img/tRxFYRjXyLFpFSh0.jpg" TargetMode="External"/><Relationship Id="rId863" Type="http://schemas.openxmlformats.org/officeDocument/2006/relationships/hyperlink" Target="https://x.com/N0sc3T3Ipsum/status/1935401802179985645" TargetMode="External"/><Relationship Id="rId628" Type="http://schemas.openxmlformats.org/officeDocument/2006/relationships/hyperlink" Target="https://pbs.twimg.com/profile_banners/67431398/1748465328" TargetMode="External"/><Relationship Id="rId627" Type="http://schemas.openxmlformats.org/officeDocument/2006/relationships/hyperlink" Target="https://pbs.twimg.com/profile_images/1973039443926827008/CnDHVmSA_normal.jpg" TargetMode="External"/><Relationship Id="rId869" Type="http://schemas.openxmlformats.org/officeDocument/2006/relationships/hyperlink" Target="https://pbs.twimg.com/profile_images/1995203667885019136/VpxcjUGI_normal.jpg" TargetMode="External"/><Relationship Id="rId626" Type="http://schemas.openxmlformats.org/officeDocument/2006/relationships/hyperlink" Target="https://x.com/pamdastik/status/1953217619328180548" TargetMode="External"/><Relationship Id="rId868" Type="http://schemas.openxmlformats.org/officeDocument/2006/relationships/hyperlink" Target="https://x.com/isafcp/status/1934791554650018068" TargetMode="External"/><Relationship Id="rId625" Type="http://schemas.openxmlformats.org/officeDocument/2006/relationships/hyperlink" Target="https://pbs.twimg.com/profile_banners/821365201576542208/1548420408" TargetMode="External"/><Relationship Id="rId867" Type="http://schemas.openxmlformats.org/officeDocument/2006/relationships/hyperlink" Target="https://pbs.twimg.com/profile_banners/1650468332737290243/1763125517" TargetMode="External"/><Relationship Id="rId620" Type="http://schemas.openxmlformats.org/officeDocument/2006/relationships/hyperlink" Target="https://pbs.twimg.com/profile_banners/2825615947/1674793295" TargetMode="External"/><Relationship Id="rId862" Type="http://schemas.openxmlformats.org/officeDocument/2006/relationships/hyperlink" Target="https://pbs.twimg.com/profile_banners/1216907022215589889/1759239097" TargetMode="External"/><Relationship Id="rId861" Type="http://schemas.openxmlformats.org/officeDocument/2006/relationships/hyperlink" Target="https://pbs.twimg.com/profile_images/1988193536101990400/ndfGVzV-_normal.jpg" TargetMode="External"/><Relationship Id="rId860" Type="http://schemas.openxmlformats.org/officeDocument/2006/relationships/hyperlink" Target="https://x.com/sowonemesis/status/1935421562494345639" TargetMode="External"/><Relationship Id="rId1202" Type="http://schemas.openxmlformats.org/officeDocument/2006/relationships/hyperlink" Target="https://pbs.twimg.com/profile_images/1990567386831806464/QWauQqZA_normal.jpg" TargetMode="External"/><Relationship Id="rId1203" Type="http://schemas.openxmlformats.org/officeDocument/2006/relationships/hyperlink" Target="https://pbs.twimg.com/profile_banners/734915181311037441/1761434732" TargetMode="External"/><Relationship Id="rId1204" Type="http://schemas.openxmlformats.org/officeDocument/2006/relationships/drawing" Target="../drawings/drawing2.xml"/><Relationship Id="rId619" Type="http://schemas.openxmlformats.org/officeDocument/2006/relationships/hyperlink" Target="https://pbs.twimg.com/profile_images/1988347861507952640/MmBWSSun_normal.jpg" TargetMode="External"/><Relationship Id="rId618" Type="http://schemas.openxmlformats.org/officeDocument/2006/relationships/hyperlink" Target="https://x.com/MauricioLeija/status/1954343187809722450" TargetMode="External"/><Relationship Id="rId613" Type="http://schemas.openxmlformats.org/officeDocument/2006/relationships/hyperlink" Target="https://x.com/MauricioLeija/status/1954355089587487231" TargetMode="External"/><Relationship Id="rId855" Type="http://schemas.openxmlformats.org/officeDocument/2006/relationships/hyperlink" Target="https://pbs.twimg.com/profile_images/1910040638797512704/3APElkrO_normal.jpg" TargetMode="External"/><Relationship Id="rId612" Type="http://schemas.openxmlformats.org/officeDocument/2006/relationships/hyperlink" Target="https://video.twimg.com/amplify_video/1954510713600262145/vid/avc1/1920x1088/P_PrpLfs_7V4KMPl.mp4?tag=21" TargetMode="External"/><Relationship Id="rId854" Type="http://schemas.openxmlformats.org/officeDocument/2006/relationships/hyperlink" Target="https://x.com/PsyMapSV/status/1936128966265299327" TargetMode="External"/><Relationship Id="rId611" Type="http://schemas.openxmlformats.org/officeDocument/2006/relationships/hyperlink" Target="https://pbs.twimg.com/amplify_video_thumb/1954510713600262145/img/f61UCcaZr-79JgWH.jpg" TargetMode="External"/><Relationship Id="rId853" Type="http://schemas.openxmlformats.org/officeDocument/2006/relationships/hyperlink" Target="https://pbs.twimg.com/profile_banners/1910032904370929664/1744224576" TargetMode="External"/><Relationship Id="rId610" Type="http://schemas.openxmlformats.org/officeDocument/2006/relationships/hyperlink" Target="https://pbs.twimg.com/profile_banners/2825615947/1674793295" TargetMode="External"/><Relationship Id="rId852" Type="http://schemas.openxmlformats.org/officeDocument/2006/relationships/hyperlink" Target="https://pbs.twimg.com/profile_images/1910040638797512704/3APElkrO_normal.jpg" TargetMode="External"/><Relationship Id="rId617" Type="http://schemas.openxmlformats.org/officeDocument/2006/relationships/hyperlink" Target="https://video.twimg.com/amplify_video/1954354807419858946/vid/avc1/1280x720/ybZz7t1wcReQLWpE.mp4?tag=21" TargetMode="External"/><Relationship Id="rId859" Type="http://schemas.openxmlformats.org/officeDocument/2006/relationships/hyperlink" Target="https://pbs.twimg.com/profile_banners/1910032904370929664/1744224576" TargetMode="External"/><Relationship Id="rId616" Type="http://schemas.openxmlformats.org/officeDocument/2006/relationships/hyperlink" Target="https://pbs.twimg.com/amplify_video_thumb/1954354807419858946/img/BUGvTl0dr0KOjjLq.jpg" TargetMode="External"/><Relationship Id="rId858" Type="http://schemas.openxmlformats.org/officeDocument/2006/relationships/hyperlink" Target="https://pbs.twimg.com/profile_images/1910040638797512704/3APElkrO_normal.jpg" TargetMode="External"/><Relationship Id="rId615" Type="http://schemas.openxmlformats.org/officeDocument/2006/relationships/hyperlink" Target="https://pbs.twimg.com/profile_banners/2825615947/1674793295" TargetMode="External"/><Relationship Id="rId857" Type="http://schemas.openxmlformats.org/officeDocument/2006/relationships/hyperlink" Target="https://x.com/PsyMapSV/status/1936128820991738326" TargetMode="External"/><Relationship Id="rId614" Type="http://schemas.openxmlformats.org/officeDocument/2006/relationships/hyperlink" Target="https://pbs.twimg.com/profile_images/1988347861507952640/MmBWSSun_normal.jpg" TargetMode="External"/><Relationship Id="rId856" Type="http://schemas.openxmlformats.org/officeDocument/2006/relationships/hyperlink" Target="https://pbs.twimg.com/profile_banners/1910032904370929664/1744224576" TargetMode="External"/><Relationship Id="rId851" Type="http://schemas.openxmlformats.org/officeDocument/2006/relationships/hyperlink" Target="https://x.com/PsyMapSV/status/1936129156359544868" TargetMode="External"/><Relationship Id="rId850" Type="http://schemas.openxmlformats.org/officeDocument/2006/relationships/hyperlink" Target="https://pbs.twimg.com/profile_banners/1546690246271766537/1671860464" TargetMode="External"/><Relationship Id="rId1200" Type="http://schemas.openxmlformats.org/officeDocument/2006/relationships/hyperlink" Target="https://pbs.twimg.com/profile_banners/1583669238463709184/1763000741" TargetMode="External"/><Relationship Id="rId1201" Type="http://schemas.openxmlformats.org/officeDocument/2006/relationships/hyperlink" Target="https://x.com/martestrese/status/1915872229596000521" TargetMode="External"/><Relationship Id="rId409" Type="http://schemas.openxmlformats.org/officeDocument/2006/relationships/hyperlink" Target="https://x.com/ElPaido/status/1967691405213810728" TargetMode="External"/><Relationship Id="rId404" Type="http://schemas.openxmlformats.org/officeDocument/2006/relationships/hyperlink" Target="https://pbs.twimg.com/profile_images/1540464860768731136/UM4JIXS3_normal.jpg" TargetMode="External"/><Relationship Id="rId646" Type="http://schemas.openxmlformats.org/officeDocument/2006/relationships/hyperlink" Target="https://pbs.twimg.com/profile_images/1988603748898267136/U2XFVKEf_normal.jpg" TargetMode="External"/><Relationship Id="rId888" Type="http://schemas.openxmlformats.org/officeDocument/2006/relationships/hyperlink" Target="https://pbs.twimg.com/profile_images/1988347861507952640/MmBWSSun_normal.jpg" TargetMode="External"/><Relationship Id="rId403" Type="http://schemas.openxmlformats.org/officeDocument/2006/relationships/hyperlink" Target="https://x.com/ElPaido/status/1967691420636155964" TargetMode="External"/><Relationship Id="rId645" Type="http://schemas.openxmlformats.org/officeDocument/2006/relationships/hyperlink" Target="https://x.com/jpocomedia/status/1950329066424586389" TargetMode="External"/><Relationship Id="rId887" Type="http://schemas.openxmlformats.org/officeDocument/2006/relationships/hyperlink" Target="https://x.com/MauricioLeija/status/1933605162108825963" TargetMode="External"/><Relationship Id="rId402" Type="http://schemas.openxmlformats.org/officeDocument/2006/relationships/hyperlink" Target="https://pbs.twimg.com/profile_banners/236621586/1606877123" TargetMode="External"/><Relationship Id="rId644" Type="http://schemas.openxmlformats.org/officeDocument/2006/relationships/hyperlink" Target="https://pbs.twimg.com/profile_images/1913967312979341312/VZkTEDCI_normal.jpg" TargetMode="External"/><Relationship Id="rId886" Type="http://schemas.openxmlformats.org/officeDocument/2006/relationships/hyperlink" Target="https://pbs.twimg.com/media/GtbMDDsXAAAdwkI.jpg" TargetMode="External"/><Relationship Id="rId401" Type="http://schemas.openxmlformats.org/officeDocument/2006/relationships/hyperlink" Target="https://pbs.twimg.com/profile_images/1540464860768731136/UM4JIXS3_normal.jpg" TargetMode="External"/><Relationship Id="rId643" Type="http://schemas.openxmlformats.org/officeDocument/2006/relationships/hyperlink" Target="https://x.com/Renee2531993941/status/1950582663431254418" TargetMode="External"/><Relationship Id="rId885" Type="http://schemas.openxmlformats.org/officeDocument/2006/relationships/hyperlink" Target="https://pbs.twimg.com/profile_banners/944734585614716928/1747074694" TargetMode="External"/><Relationship Id="rId408" Type="http://schemas.openxmlformats.org/officeDocument/2006/relationships/hyperlink" Target="https://pbs.twimg.com/profile_banners/236621586/1606877123" TargetMode="External"/><Relationship Id="rId407" Type="http://schemas.openxmlformats.org/officeDocument/2006/relationships/hyperlink" Target="https://pbs.twimg.com/profile_images/1540464860768731136/UM4JIXS3_normal.jpg" TargetMode="External"/><Relationship Id="rId649" Type="http://schemas.openxmlformats.org/officeDocument/2006/relationships/hyperlink" Target="https://pbs.twimg.com/profile_images/1683114239492333570/zeg6wGCm_normal.jpg" TargetMode="External"/><Relationship Id="rId406" Type="http://schemas.openxmlformats.org/officeDocument/2006/relationships/hyperlink" Target="https://x.com/ElPaido/status/1967691418245402921" TargetMode="External"/><Relationship Id="rId648" Type="http://schemas.openxmlformats.org/officeDocument/2006/relationships/hyperlink" Target="https://x.com/exjeny/status/1950077698665042406" TargetMode="External"/><Relationship Id="rId405" Type="http://schemas.openxmlformats.org/officeDocument/2006/relationships/hyperlink" Target="https://pbs.twimg.com/profile_banners/236621586/1606877123" TargetMode="External"/><Relationship Id="rId647" Type="http://schemas.openxmlformats.org/officeDocument/2006/relationships/hyperlink" Target="https://pbs.twimg.com/profile_banners/1540494160993689600/1762571659" TargetMode="External"/><Relationship Id="rId889" Type="http://schemas.openxmlformats.org/officeDocument/2006/relationships/hyperlink" Target="https://pbs.twimg.com/profile_banners/2825615947/1674793295" TargetMode="External"/><Relationship Id="rId880" Type="http://schemas.openxmlformats.org/officeDocument/2006/relationships/hyperlink" Target="https://pbs.twimg.com/profile_images/1575965105187078151/zzIoxI7N_normal.jpg" TargetMode="External"/><Relationship Id="rId400" Type="http://schemas.openxmlformats.org/officeDocument/2006/relationships/hyperlink" Target="https://x.com/ElPaido/status/1967691425300222232" TargetMode="External"/><Relationship Id="rId642" Type="http://schemas.openxmlformats.org/officeDocument/2006/relationships/hyperlink" Target="https://pbs.twimg.com/profile_banners/232038569/1641626744" TargetMode="External"/><Relationship Id="rId884" Type="http://schemas.openxmlformats.org/officeDocument/2006/relationships/hyperlink" Target="https://pbs.twimg.com/profile_images/1136061746895106049/G8TS_hD3_normal.jpg" TargetMode="External"/><Relationship Id="rId641" Type="http://schemas.openxmlformats.org/officeDocument/2006/relationships/hyperlink" Target="https://pbs.twimg.com/profile_images/1920911740587413504/P7YCIMV0_normal.jpg" TargetMode="External"/><Relationship Id="rId883" Type="http://schemas.openxmlformats.org/officeDocument/2006/relationships/hyperlink" Target="https://x.com/crepch/status/1933957936638005291" TargetMode="External"/><Relationship Id="rId640" Type="http://schemas.openxmlformats.org/officeDocument/2006/relationships/hyperlink" Target="https://x.com/eypurrr/status/1951120398537597321" TargetMode="External"/><Relationship Id="rId882" Type="http://schemas.openxmlformats.org/officeDocument/2006/relationships/hyperlink" Target="https://www.aisse.es/post/tdah-adulto-mitos-y-realidad" TargetMode="External"/><Relationship Id="rId881" Type="http://schemas.openxmlformats.org/officeDocument/2006/relationships/hyperlink" Target="https://pbs.twimg.com/profile_banners/1142431224/1533917710" TargetMode="External"/><Relationship Id="rId635" Type="http://schemas.openxmlformats.org/officeDocument/2006/relationships/hyperlink" Target="https://pbs.twimg.com/profile_images/1973585794716553216/8Zhr0VZ2_normal.jpg" TargetMode="External"/><Relationship Id="rId877" Type="http://schemas.openxmlformats.org/officeDocument/2006/relationships/hyperlink" Target="https://pbs.twimg.com/amplify_video_thumb/1934465251862282240/img/PvO7qJ9wgDzRaH04.jpg" TargetMode="External"/><Relationship Id="rId634" Type="http://schemas.openxmlformats.org/officeDocument/2006/relationships/hyperlink" Target="https://x.com/haleperidoli/status/1952205191538974802" TargetMode="External"/><Relationship Id="rId876" Type="http://schemas.openxmlformats.org/officeDocument/2006/relationships/hyperlink" Target="https://pbs.twimg.com/profile_banners/2825615947/1674793295" TargetMode="External"/><Relationship Id="rId633" Type="http://schemas.openxmlformats.org/officeDocument/2006/relationships/hyperlink" Target="https://pbs.twimg.com/profile_images/1910335107866480640/tGXcwu7a_normal.jpg" TargetMode="External"/><Relationship Id="rId875" Type="http://schemas.openxmlformats.org/officeDocument/2006/relationships/hyperlink" Target="https://pbs.twimg.com/profile_images/1988347861507952640/MmBWSSun_normal.jpg" TargetMode="External"/><Relationship Id="rId632" Type="http://schemas.openxmlformats.org/officeDocument/2006/relationships/hyperlink" Target="https://x.com/oinconquistado/status/1952489015267188753" TargetMode="External"/><Relationship Id="rId874" Type="http://schemas.openxmlformats.org/officeDocument/2006/relationships/hyperlink" Target="https://x.com/MauricioLeija/status/1934468429278327271" TargetMode="External"/><Relationship Id="rId639" Type="http://schemas.openxmlformats.org/officeDocument/2006/relationships/hyperlink" Target="https://pbs.twimg.com/profile_banners/760820819975139328/1737148233" TargetMode="External"/><Relationship Id="rId638" Type="http://schemas.openxmlformats.org/officeDocument/2006/relationships/hyperlink" Target="https://pbs.twimg.com/profile_images/1862978595053789184/_E3Ywr8e_normal.jpg" TargetMode="External"/><Relationship Id="rId637" Type="http://schemas.openxmlformats.org/officeDocument/2006/relationships/hyperlink" Target="https://x.com/difundimosideas/status/1951572482818785614" TargetMode="External"/><Relationship Id="rId879" Type="http://schemas.openxmlformats.org/officeDocument/2006/relationships/hyperlink" Target="https://x.com/Paula_igr/status/1934205919933407542" TargetMode="External"/><Relationship Id="rId636" Type="http://schemas.openxmlformats.org/officeDocument/2006/relationships/hyperlink" Target="https://pbs.twimg.com/profile_banners/1540793478933889024/1759789075" TargetMode="External"/><Relationship Id="rId878" Type="http://schemas.openxmlformats.org/officeDocument/2006/relationships/hyperlink" Target="https://video.twimg.com/amplify_video/1934465251862282240/vid/avc1/1920x1080/yqF5WO_0oxiMpTaI.mp4?tag=21" TargetMode="External"/><Relationship Id="rId631" Type="http://schemas.openxmlformats.org/officeDocument/2006/relationships/hyperlink" Target="https://pbs.twimg.com/profile_banners/1105221060973215744/1728502898" TargetMode="External"/><Relationship Id="rId873" Type="http://schemas.openxmlformats.org/officeDocument/2006/relationships/hyperlink" Target="https://pbs.twimg.com/profile_banners/423669787/1761427261" TargetMode="External"/><Relationship Id="rId630" Type="http://schemas.openxmlformats.org/officeDocument/2006/relationships/hyperlink" Target="https://pbs.twimg.com/profile_images/1952815691381219328/_pTTNKxB_normal.jpg" TargetMode="External"/><Relationship Id="rId872" Type="http://schemas.openxmlformats.org/officeDocument/2006/relationships/hyperlink" Target="https://pbs.twimg.com/profile_images/1982167657706078208/FjkSaO-x_normal.jpg" TargetMode="External"/><Relationship Id="rId871" Type="http://schemas.openxmlformats.org/officeDocument/2006/relationships/hyperlink" Target="https://x.com/katysnobe/status/1934632759252930838" TargetMode="External"/><Relationship Id="rId870" Type="http://schemas.openxmlformats.org/officeDocument/2006/relationships/hyperlink" Target="https://pbs.twimg.com/profile_banners/3295560831/1761736321" TargetMode="External"/><Relationship Id="rId829" Type="http://schemas.openxmlformats.org/officeDocument/2006/relationships/hyperlink" Target="https://x.com/GabsDicas/status/1937255302392402120" TargetMode="External"/><Relationship Id="rId828" Type="http://schemas.openxmlformats.org/officeDocument/2006/relationships/hyperlink" Target="https://pbs.twimg.com/profile_banners/1337942784/1759711967" TargetMode="External"/><Relationship Id="rId827" Type="http://schemas.openxmlformats.org/officeDocument/2006/relationships/hyperlink" Target="https://pbs.twimg.com/profile_images/1994154654658183168/ygQepjrm_normal.jpg" TargetMode="External"/><Relationship Id="rId822" Type="http://schemas.openxmlformats.org/officeDocument/2006/relationships/hyperlink" Target="https://pbs.twimg.com/media/GubDuqUWIAAebvg.jpg" TargetMode="External"/><Relationship Id="rId821" Type="http://schemas.openxmlformats.org/officeDocument/2006/relationships/hyperlink" Target="https://pbs.twimg.com/profile_banners/2825615947/1674793295" TargetMode="External"/><Relationship Id="rId820" Type="http://schemas.openxmlformats.org/officeDocument/2006/relationships/hyperlink" Target="https://pbs.twimg.com/profile_images/1988347861507952640/MmBWSSun_normal.jpg" TargetMode="External"/><Relationship Id="rId826" Type="http://schemas.openxmlformats.org/officeDocument/2006/relationships/hyperlink" Target="https://x.com/Glimmah_/status/1937324850252505429" TargetMode="External"/><Relationship Id="rId825" Type="http://schemas.openxmlformats.org/officeDocument/2006/relationships/hyperlink" Target="https://pbs.twimg.com/profile_banners/1832915492740231168/1725843336" TargetMode="External"/><Relationship Id="rId824" Type="http://schemas.openxmlformats.org/officeDocument/2006/relationships/hyperlink" Target="https://pbs.twimg.com/profile_images/1832945865981411328/ShtAzzew_normal.jpg" TargetMode="External"/><Relationship Id="rId823" Type="http://schemas.openxmlformats.org/officeDocument/2006/relationships/hyperlink" Target="https://x.com/zeepdrive/status/1937680114298265825" TargetMode="External"/><Relationship Id="rId819" Type="http://schemas.openxmlformats.org/officeDocument/2006/relationships/hyperlink" Target="https://x.com/MauricioLeija/status/1938451902527611187" TargetMode="External"/><Relationship Id="rId818" Type="http://schemas.openxmlformats.org/officeDocument/2006/relationships/hyperlink" Target="https://x.com/i/broadcasts/1mnGegQQnAbxX" TargetMode="External"/><Relationship Id="rId817" Type="http://schemas.openxmlformats.org/officeDocument/2006/relationships/hyperlink" Target="https://pbs.twimg.com/profile_banners/2825615947/1674793295" TargetMode="External"/><Relationship Id="rId816" Type="http://schemas.openxmlformats.org/officeDocument/2006/relationships/hyperlink" Target="https://pbs.twimg.com/profile_images/1988347861507952640/MmBWSSun_normal.jpg" TargetMode="External"/><Relationship Id="rId811" Type="http://schemas.openxmlformats.org/officeDocument/2006/relationships/hyperlink" Target="https://abs.twimg.com/sticky/default_profile_images/default_profile_normal.png" TargetMode="External"/><Relationship Id="rId810" Type="http://schemas.openxmlformats.org/officeDocument/2006/relationships/hyperlink" Target="https://x.com/Filipe1526917/status/1938901115199762760" TargetMode="External"/><Relationship Id="rId815" Type="http://schemas.openxmlformats.org/officeDocument/2006/relationships/hyperlink" Target="https://x.com/MauricioLeija/status/1938685666059264387" TargetMode="External"/><Relationship Id="rId814" Type="http://schemas.openxmlformats.org/officeDocument/2006/relationships/hyperlink" Target="https://pbs.twimg.com/profile_banners/1109138263841878017/1749935715" TargetMode="External"/><Relationship Id="rId813" Type="http://schemas.openxmlformats.org/officeDocument/2006/relationships/hyperlink" Target="https://pbs.twimg.com/profile_images/1978857104233377792/TEadPn73_normal.jpg" TargetMode="External"/><Relationship Id="rId812" Type="http://schemas.openxmlformats.org/officeDocument/2006/relationships/hyperlink" Target="https://x.com/gonchrv/status/1938767741311164641" TargetMode="External"/><Relationship Id="rId609" Type="http://schemas.openxmlformats.org/officeDocument/2006/relationships/hyperlink" Target="https://pbs.twimg.com/profile_images/1988347861507952640/MmBWSSun_normal.jpg" TargetMode="External"/><Relationship Id="rId608" Type="http://schemas.openxmlformats.org/officeDocument/2006/relationships/hyperlink" Target="https://x.com/MauricioLeija/status/1954513578922283113" TargetMode="External"/><Relationship Id="rId607" Type="http://schemas.openxmlformats.org/officeDocument/2006/relationships/hyperlink" Target="https://video.twimg.com/amplify_video/1954517147935203328/vid/avc1/1920x1088/-GXm0_4xs0TOulnQ.mp4?tag=21" TargetMode="External"/><Relationship Id="rId849" Type="http://schemas.openxmlformats.org/officeDocument/2006/relationships/hyperlink" Target="https://pbs.twimg.com/profile_images/1976191639438729216/yC8L6h-a_normal.jpg" TargetMode="External"/><Relationship Id="rId602" Type="http://schemas.openxmlformats.org/officeDocument/2006/relationships/hyperlink" Target="https://pbs.twimg.com/profile_banners/1485216873432162309/1755887651" TargetMode="External"/><Relationship Id="rId844" Type="http://schemas.openxmlformats.org/officeDocument/2006/relationships/hyperlink" Target="https://pbs.twimg.com/profile_images/1989821075736203264/uQmYKpxa_normal.jpg" TargetMode="External"/><Relationship Id="rId601" Type="http://schemas.openxmlformats.org/officeDocument/2006/relationships/hyperlink" Target="https://pbs.twimg.com/profile_images/1984939248689025024/Zu7-dsnG_normal.jpg" TargetMode="External"/><Relationship Id="rId843" Type="http://schemas.openxmlformats.org/officeDocument/2006/relationships/hyperlink" Target="https://x.com/yaszinhaik/status/1936522203308151010" TargetMode="External"/><Relationship Id="rId600" Type="http://schemas.openxmlformats.org/officeDocument/2006/relationships/hyperlink" Target="https://x.com/AndreLSS91/status/1954560968031101414" TargetMode="External"/><Relationship Id="rId842" Type="http://schemas.openxmlformats.org/officeDocument/2006/relationships/hyperlink" Target="https://aapsm.net/adenda-al-protocolo-para-el-trastorno-por-deficit-de-atencion-con-hiperactividad-tdah-adulto/" TargetMode="External"/><Relationship Id="rId841" Type="http://schemas.openxmlformats.org/officeDocument/2006/relationships/hyperlink" Target="https://pbs.twimg.com/profile_banners/1281965499627319300/1698400667" TargetMode="External"/><Relationship Id="rId606" Type="http://schemas.openxmlformats.org/officeDocument/2006/relationships/hyperlink" Target="https://pbs.twimg.com/amplify_video_thumb/1954517147935203328/img/DFOjQwBaBEmRwIRd.jpg" TargetMode="External"/><Relationship Id="rId848" Type="http://schemas.openxmlformats.org/officeDocument/2006/relationships/hyperlink" Target="https://x.com/airtonnnnnnn/status/1936488997791875447" TargetMode="External"/><Relationship Id="rId605" Type="http://schemas.openxmlformats.org/officeDocument/2006/relationships/hyperlink" Target="https://pbs.twimg.com/profile_banners/2825615947/1674793295" TargetMode="External"/><Relationship Id="rId847" Type="http://schemas.openxmlformats.org/officeDocument/2006/relationships/hyperlink" Target="https://pbs.twimg.com/media/Gt7O-SYXIAAOk1v.jpg" TargetMode="External"/><Relationship Id="rId604" Type="http://schemas.openxmlformats.org/officeDocument/2006/relationships/hyperlink" Target="https://pbs.twimg.com/profile_images/1988347861507952640/MmBWSSun_normal.jpg" TargetMode="External"/><Relationship Id="rId846" Type="http://schemas.openxmlformats.org/officeDocument/2006/relationships/hyperlink" Target="https://t.co/JxKJRYaBCd" TargetMode="External"/><Relationship Id="rId603" Type="http://schemas.openxmlformats.org/officeDocument/2006/relationships/hyperlink" Target="https://x.com/MauricioLeija/status/1954517963807060217" TargetMode="External"/><Relationship Id="rId845" Type="http://schemas.openxmlformats.org/officeDocument/2006/relationships/hyperlink" Target="https://pbs.twimg.com/profile_banners/1736907837039652864/1763245305" TargetMode="External"/><Relationship Id="rId840" Type="http://schemas.openxmlformats.org/officeDocument/2006/relationships/hyperlink" Target="https://pbs.twimg.com/profile_images/1298621136536776705/4kMvwCRG_normal.jpg" TargetMode="External"/><Relationship Id="rId839" Type="http://schemas.openxmlformats.org/officeDocument/2006/relationships/hyperlink" Target="https://t.co/OcHJiKdIPw" TargetMode="External"/><Relationship Id="rId838" Type="http://schemas.openxmlformats.org/officeDocument/2006/relationships/hyperlink" Target="https://x.com/mery_crismas7/status/1936813135765123131" TargetMode="External"/><Relationship Id="rId833" Type="http://schemas.openxmlformats.org/officeDocument/2006/relationships/hyperlink" Target="https://pbs.twimg.com/media/GuKDCsYXIAIw1CJ.jpg,https://pbs.twimg.com/media/GuKDBhGXsAAGzYV.jpg,https://pbs.twimg.com/media/GuKDEAfXEAArzQ0.jpg" TargetMode="External"/><Relationship Id="rId832" Type="http://schemas.openxmlformats.org/officeDocument/2006/relationships/hyperlink" Target="https://amzn.to/45xZ7Y1,https://amzn.to/4neUOqV,https://amzn.to/44fta4n" TargetMode="External"/><Relationship Id="rId831" Type="http://schemas.openxmlformats.org/officeDocument/2006/relationships/hyperlink" Target="https://pbs.twimg.com/profile_banners/1905705090486591488/1744566769" TargetMode="External"/><Relationship Id="rId830" Type="http://schemas.openxmlformats.org/officeDocument/2006/relationships/hyperlink" Target="https://pbs.twimg.com/profile_images/1911477613257756672/amdGXwtm_normal.jpg" TargetMode="External"/><Relationship Id="rId837" Type="http://schemas.openxmlformats.org/officeDocument/2006/relationships/hyperlink" Target="https://pbs.twimg.com/media/GuEqJblWQAA6pkY.jpg,https://pbs.twimg.com/media/GuEqJbkXgAAtOUi.jpg,https://pbs.twimg.com/media/GuEqJblXgAAbxU2.jpg,https://pbs.twimg.com/media/GuEqJbkXUAAHgp2.jpg" TargetMode="External"/><Relationship Id="rId836" Type="http://schemas.openxmlformats.org/officeDocument/2006/relationships/hyperlink" Target="https://pbs.twimg.com/profile_banners/1400777557/1465037153" TargetMode="External"/><Relationship Id="rId835" Type="http://schemas.openxmlformats.org/officeDocument/2006/relationships/hyperlink" Target="https://pbs.twimg.com/profile_images/1622600960273940482/xi_3j3O9_normal.jpg" TargetMode="External"/><Relationship Id="rId834" Type="http://schemas.openxmlformats.org/officeDocument/2006/relationships/hyperlink" Target="https://x.com/AENSaludMental/status/1936875661844717817" TargetMode="External"/><Relationship Id="rId1059" Type="http://schemas.openxmlformats.org/officeDocument/2006/relationships/hyperlink" Target="https://x.com/lancanal/status/1926740550629110119" TargetMode="External"/><Relationship Id="rId228" Type="http://schemas.openxmlformats.org/officeDocument/2006/relationships/hyperlink" Target="https://x.com/brxceasxcxs/status/1980307834580652049" TargetMode="External"/><Relationship Id="rId227" Type="http://schemas.openxmlformats.org/officeDocument/2006/relationships/hyperlink" Target="https://pbs.twimg.com/media/G3uAeVkWMAAOKT5.jpg" TargetMode="External"/><Relationship Id="rId469" Type="http://schemas.openxmlformats.org/officeDocument/2006/relationships/hyperlink" Target="https://pbs.twimg.com/profile_banners/2384402196/1760306656" TargetMode="External"/><Relationship Id="rId226" Type="http://schemas.openxmlformats.org/officeDocument/2006/relationships/hyperlink" Target="http://filesbooks.info/x/libro/128180/1388" TargetMode="External"/><Relationship Id="rId468" Type="http://schemas.openxmlformats.org/officeDocument/2006/relationships/hyperlink" Target="https://pbs.twimg.com/profile_images/1987694951791009792/ij3u3xUO_normal.jpg" TargetMode="External"/><Relationship Id="rId225" Type="http://schemas.openxmlformats.org/officeDocument/2006/relationships/hyperlink" Target="https://pbs.twimg.com/profile_images/1943249874239262723/PHiS0Snq_normal.jpg" TargetMode="External"/><Relationship Id="rId467" Type="http://schemas.openxmlformats.org/officeDocument/2006/relationships/hyperlink" Target="https://x.com/Joan_KimP/status/1963629422298153393" TargetMode="External"/><Relationship Id="rId229" Type="http://schemas.openxmlformats.org/officeDocument/2006/relationships/hyperlink" Target="https://pbs.twimg.com/profile_images/1985392840629682176/BxM4RvO-_normal.jpg" TargetMode="External"/><Relationship Id="rId1050" Type="http://schemas.openxmlformats.org/officeDocument/2006/relationships/hyperlink" Target="https://pbs.twimg.com/profile_images/1876507030585835520/MLLRbbiM_normal.jpg" TargetMode="External"/><Relationship Id="rId220" Type="http://schemas.openxmlformats.org/officeDocument/2006/relationships/hyperlink" Target="https://pbs.twimg.com/profile_images/1967646759720460288/YdjMDEKZ_normal.jpg" TargetMode="External"/><Relationship Id="rId462" Type="http://schemas.openxmlformats.org/officeDocument/2006/relationships/hyperlink" Target="https://pbs.twimg.com/profile_images/1994598455935672320/fK4nBS-4_normal.jpg" TargetMode="External"/><Relationship Id="rId1051" Type="http://schemas.openxmlformats.org/officeDocument/2006/relationships/hyperlink" Target="https://pbs.twimg.com/profile_banners/168548716/1736229116" TargetMode="External"/><Relationship Id="rId461" Type="http://schemas.openxmlformats.org/officeDocument/2006/relationships/hyperlink" Target="https://x.com/HeeJaeyuniie/status/1963866964717158853" TargetMode="External"/><Relationship Id="rId1052" Type="http://schemas.openxmlformats.org/officeDocument/2006/relationships/hyperlink" Target="https://x.com/abacate_dasilva/status/1926858282607538272" TargetMode="External"/><Relationship Id="rId460" Type="http://schemas.openxmlformats.org/officeDocument/2006/relationships/hyperlink" Target="https://pbs.twimg.com/media/G0Bi8fUWUAALH7v.jpg,https://pbs.twimg.com/media/G0Bi7zRXMAAOTqY.jpg" TargetMode="External"/><Relationship Id="rId1053" Type="http://schemas.openxmlformats.org/officeDocument/2006/relationships/hyperlink" Target="https://pbs.twimg.com/profile_images/1966355100755980288/UV3UzUl0_normal.jpg" TargetMode="External"/><Relationship Id="rId1054" Type="http://schemas.openxmlformats.org/officeDocument/2006/relationships/hyperlink" Target="https://pbs.twimg.com/profile_banners/1483079419421986818/1758234092" TargetMode="External"/><Relationship Id="rId224" Type="http://schemas.openxmlformats.org/officeDocument/2006/relationships/hyperlink" Target="https://x.com/DuganVonda1986/status/1980317816957083798" TargetMode="External"/><Relationship Id="rId466" Type="http://schemas.openxmlformats.org/officeDocument/2006/relationships/hyperlink" Target="https://pbs.twimg.com/profile_banners/1172250162049224709/1619548573" TargetMode="External"/><Relationship Id="rId1055" Type="http://schemas.openxmlformats.org/officeDocument/2006/relationships/hyperlink" Target="https://x.com/elrick111/status/1926749150042894380" TargetMode="External"/><Relationship Id="rId223" Type="http://schemas.openxmlformats.org/officeDocument/2006/relationships/hyperlink" Target="https://video.twimg.com/ext_tw_video/1621438878212100096/pu/vid/750x704/lJp_j8NnivilTrNX.mp4?tag=12" TargetMode="External"/><Relationship Id="rId465" Type="http://schemas.openxmlformats.org/officeDocument/2006/relationships/hyperlink" Target="https://pbs.twimg.com/profile_images/1187706794983985153/s3iHjeRx_normal.jpg" TargetMode="External"/><Relationship Id="rId1056" Type="http://schemas.openxmlformats.org/officeDocument/2006/relationships/hyperlink" Target="https://pbs.twimg.com/profile_images/1939755901646159873/Be3_VsJE_normal.jpg" TargetMode="External"/><Relationship Id="rId222" Type="http://schemas.openxmlformats.org/officeDocument/2006/relationships/hyperlink" Target="https://pbs.twimg.com/ext_tw_video_thumb/1621438878212100096/pu/img/9jxaoGcwPWvx_ywR.jpg" TargetMode="External"/><Relationship Id="rId464" Type="http://schemas.openxmlformats.org/officeDocument/2006/relationships/hyperlink" Target="https://x.com/IIBALOR/status/1963634089010844113" TargetMode="External"/><Relationship Id="rId1057" Type="http://schemas.openxmlformats.org/officeDocument/2006/relationships/hyperlink" Target="https://pbs.twimg.com/profile_banners/422074420/1751308607" TargetMode="External"/><Relationship Id="rId221" Type="http://schemas.openxmlformats.org/officeDocument/2006/relationships/hyperlink" Target="https://pbs.twimg.com/profile_banners/1967630715526512640/1763745977" TargetMode="External"/><Relationship Id="rId463" Type="http://schemas.openxmlformats.org/officeDocument/2006/relationships/hyperlink" Target="https://pbs.twimg.com/profile_banners/1926081442154446848/1758145694" TargetMode="External"/><Relationship Id="rId1058" Type="http://schemas.openxmlformats.org/officeDocument/2006/relationships/hyperlink" Target="https://pbs.twimg.com/media/Gr0wI_zW4AAK6o6.jpg" TargetMode="External"/><Relationship Id="rId1048" Type="http://schemas.openxmlformats.org/officeDocument/2006/relationships/hyperlink" Target="https://eldiariodechihuahua.mx/salud/2025/may/26/como-saber-si-soy-un-adulto-con-tdah-702750.html" TargetMode="External"/><Relationship Id="rId1049" Type="http://schemas.openxmlformats.org/officeDocument/2006/relationships/hyperlink" Target="https://x.com/DaviBraid/status/1927030539376037952" TargetMode="External"/><Relationship Id="rId217" Type="http://schemas.openxmlformats.org/officeDocument/2006/relationships/hyperlink" Target="https://pbs.twimg.com/profile_images/1123586409930137600/aaKwNg3l_normal.jpg" TargetMode="External"/><Relationship Id="rId459" Type="http://schemas.openxmlformats.org/officeDocument/2006/relationships/hyperlink" Target="http://neuro-class.com/psicologia-al-sur" TargetMode="External"/><Relationship Id="rId216" Type="http://schemas.openxmlformats.org/officeDocument/2006/relationships/hyperlink" Target="https://x.com/jarkr82/status/1980627158625132932" TargetMode="External"/><Relationship Id="rId458" Type="http://schemas.openxmlformats.org/officeDocument/2006/relationships/hyperlink" Target="https://pbs.twimg.com/profile_banners/1777389396838252544/1712604780" TargetMode="External"/><Relationship Id="rId215" Type="http://schemas.openxmlformats.org/officeDocument/2006/relationships/hyperlink" Target="https://pbs.twimg.com/profile_banners/1066000708892352512/1640867142" TargetMode="External"/><Relationship Id="rId457" Type="http://schemas.openxmlformats.org/officeDocument/2006/relationships/hyperlink" Target="https://pbs.twimg.com/profile_images/1777419380634025985/2Jsog_oX_normal.jpg" TargetMode="External"/><Relationship Id="rId699" Type="http://schemas.openxmlformats.org/officeDocument/2006/relationships/hyperlink" Target="https://x.com/MauricioLeija/status/1945720032576565388" TargetMode="External"/><Relationship Id="rId214" Type="http://schemas.openxmlformats.org/officeDocument/2006/relationships/hyperlink" Target="https://pbs.twimg.com/profile_images/1488001152746676224/NwafY7v7_normal.jpg" TargetMode="External"/><Relationship Id="rId456" Type="http://schemas.openxmlformats.org/officeDocument/2006/relationships/hyperlink" Target="https://x.com/PsicologiaAlSur/status/1964352894464860513" TargetMode="External"/><Relationship Id="rId698" Type="http://schemas.openxmlformats.org/officeDocument/2006/relationships/hyperlink" Target="https://pbs.twimg.com/profile_banners/2779168662/1445295651" TargetMode="External"/><Relationship Id="rId219" Type="http://schemas.openxmlformats.org/officeDocument/2006/relationships/hyperlink" Target="https://x.com/offlutt/status/1980369299366899925" TargetMode="External"/><Relationship Id="rId218" Type="http://schemas.openxmlformats.org/officeDocument/2006/relationships/hyperlink" Target="https://pbs.twimg.com/profile_banners/153311206/1535580536" TargetMode="External"/><Relationship Id="rId451" Type="http://schemas.openxmlformats.org/officeDocument/2006/relationships/hyperlink" Target="https://pbs.twimg.com/profile_images/1918961665892093953/-MibPZgc_normal.jpg" TargetMode="External"/><Relationship Id="rId693" Type="http://schemas.openxmlformats.org/officeDocument/2006/relationships/hyperlink" Target="https://x.com/N1k3eck/status/1946158975491178772" TargetMode="External"/><Relationship Id="rId1040" Type="http://schemas.openxmlformats.org/officeDocument/2006/relationships/hyperlink" Target="https://x.com/yagonavoz/status/1927368837671833901" TargetMode="External"/><Relationship Id="rId450" Type="http://schemas.openxmlformats.org/officeDocument/2006/relationships/hyperlink" Target="https://x.com/matias_gleza/status/1965018997268807683" TargetMode="External"/><Relationship Id="rId692" Type="http://schemas.openxmlformats.org/officeDocument/2006/relationships/hyperlink" Target="https://pbs.twimg.com/profile_banners/4520965702/1764201008" TargetMode="External"/><Relationship Id="rId1041" Type="http://schemas.openxmlformats.org/officeDocument/2006/relationships/hyperlink" Target="https://pbs.twimg.com/profile_images/1937526261506560000/GMGtQstn_normal.jpg" TargetMode="External"/><Relationship Id="rId691" Type="http://schemas.openxmlformats.org/officeDocument/2006/relationships/hyperlink" Target="https://pbs.twimg.com/profile_images/1972447941089492992/N_sVylsH_normal.jpg" TargetMode="External"/><Relationship Id="rId1042" Type="http://schemas.openxmlformats.org/officeDocument/2006/relationships/hyperlink" Target="https://pbs.twimg.com/profile_banners/2301649502/1630428249" TargetMode="External"/><Relationship Id="rId690" Type="http://schemas.openxmlformats.org/officeDocument/2006/relationships/hyperlink" Target="https://x.com/GabrieleProbio/status/1946181931734868275" TargetMode="External"/><Relationship Id="rId1043" Type="http://schemas.openxmlformats.org/officeDocument/2006/relationships/hyperlink" Target="https://x.com/Johnwillpix/status/1927320859451994383" TargetMode="External"/><Relationship Id="rId213" Type="http://schemas.openxmlformats.org/officeDocument/2006/relationships/hyperlink" Target="https://x.com/zaydevalentinaz/status/1980676908464394715" TargetMode="External"/><Relationship Id="rId455" Type="http://schemas.openxmlformats.org/officeDocument/2006/relationships/hyperlink" Target="https://pbs.twimg.com/profile_banners/291497155/1582841297" TargetMode="External"/><Relationship Id="rId697" Type="http://schemas.openxmlformats.org/officeDocument/2006/relationships/hyperlink" Target="https://pbs.twimg.com/profile_images/1151965975165722636/BuPTvAC__normal.jpg" TargetMode="External"/><Relationship Id="rId1044" Type="http://schemas.openxmlformats.org/officeDocument/2006/relationships/hyperlink" Target="https://pbs.twimg.com/profile_images/1844022393146122240/aRhdHgYG_normal.jpg" TargetMode="External"/><Relationship Id="rId212" Type="http://schemas.openxmlformats.org/officeDocument/2006/relationships/hyperlink" Target="https://video.twimg.com/amplify_video/1980789616023130112/vid/avc1/720x1280/KcCgwD8J24H4dX-h.mp4?tag=21" TargetMode="External"/><Relationship Id="rId454" Type="http://schemas.openxmlformats.org/officeDocument/2006/relationships/hyperlink" Target="https://pbs.twimg.com/profile_images/1246520830378508294/wUfQaceS_normal.jpg" TargetMode="External"/><Relationship Id="rId696" Type="http://schemas.openxmlformats.org/officeDocument/2006/relationships/hyperlink" Target="https://x.com/chuck_guns/status/1945903142446469493" TargetMode="External"/><Relationship Id="rId1045" Type="http://schemas.openxmlformats.org/officeDocument/2006/relationships/hyperlink" Target="https://x.com/diariochihuahua/status/1927051170054345084" TargetMode="External"/><Relationship Id="rId211" Type="http://schemas.openxmlformats.org/officeDocument/2006/relationships/hyperlink" Target="https://pbs.twimg.com/amplify_video_thumb/1980789616023130112/img/sUvp9Iz2sWBrwg2Q.jpg" TargetMode="External"/><Relationship Id="rId453" Type="http://schemas.openxmlformats.org/officeDocument/2006/relationships/hyperlink" Target="https://x.com/karenluizacr/status/1964529431051194689" TargetMode="External"/><Relationship Id="rId695" Type="http://schemas.openxmlformats.org/officeDocument/2006/relationships/hyperlink" Target="https://pbs.twimg.com/profile_banners/842930601929986048/1744070747" TargetMode="External"/><Relationship Id="rId1046" Type="http://schemas.openxmlformats.org/officeDocument/2006/relationships/hyperlink" Target="https://pbs.twimg.com/profile_images/1143584649182154755/lQ5qC4AJ_normal.png" TargetMode="External"/><Relationship Id="rId210" Type="http://schemas.openxmlformats.org/officeDocument/2006/relationships/hyperlink" Target="https://pbs.twimg.com/profile_banners/121287943/1738616733" TargetMode="External"/><Relationship Id="rId452" Type="http://schemas.openxmlformats.org/officeDocument/2006/relationships/hyperlink" Target="https://pbs.twimg.com/profile_banners/744214204685627396/1547157727" TargetMode="External"/><Relationship Id="rId694" Type="http://schemas.openxmlformats.org/officeDocument/2006/relationships/hyperlink" Target="https://pbs.twimg.com/profile_images/1909397222426300416/Q0Gg6qt2_normal.jpg" TargetMode="External"/><Relationship Id="rId1047" Type="http://schemas.openxmlformats.org/officeDocument/2006/relationships/hyperlink" Target="https://pbs.twimg.com/profile_banners/107224800/1561486785" TargetMode="External"/><Relationship Id="rId491" Type="http://schemas.openxmlformats.org/officeDocument/2006/relationships/hyperlink" Target="https://video.twimg.com/amplify_video/1962695506192113664/vid/avc1/720x1280/sOdVttZImcQu2nhk.mp4?tag=14" TargetMode="External"/><Relationship Id="rId490" Type="http://schemas.openxmlformats.org/officeDocument/2006/relationships/hyperlink" Target="https://pbs.twimg.com/amplify_video_thumb/1962695506192113664/img/b4MTbfWSg5G-P8BP.jpg" TargetMode="External"/><Relationship Id="rId249" Type="http://schemas.openxmlformats.org/officeDocument/2006/relationships/hyperlink" Target="https://x.com/viadescapetv/status/1977958391969415301" TargetMode="External"/><Relationship Id="rId248" Type="http://schemas.openxmlformats.org/officeDocument/2006/relationships/hyperlink" Target="https://pbs.twimg.com/profile_banners/276388974/1480008318" TargetMode="External"/><Relationship Id="rId247" Type="http://schemas.openxmlformats.org/officeDocument/2006/relationships/hyperlink" Target="https://pbs.twimg.com/profile_images/1612189531167498240/knLgm8x8_normal.jpg" TargetMode="External"/><Relationship Id="rId489" Type="http://schemas.openxmlformats.org/officeDocument/2006/relationships/hyperlink" Target="https://pbs.twimg.com/profile_images/1745094281449103360/Len2zkMK_normal.jpg" TargetMode="External"/><Relationship Id="rId1070" Type="http://schemas.openxmlformats.org/officeDocument/2006/relationships/hyperlink" Target="https://pbs.twimg.com/profile_images/1945604336404283392/Hnr7bWVo_normal.jpg" TargetMode="External"/><Relationship Id="rId1071" Type="http://schemas.openxmlformats.org/officeDocument/2006/relationships/hyperlink" Target="https://pbs.twimg.com/profile_banners/2831662233/1761602175" TargetMode="External"/><Relationship Id="rId1072" Type="http://schemas.openxmlformats.org/officeDocument/2006/relationships/hyperlink" Target="https://x.com/crepch/status/1925612162040390031" TargetMode="External"/><Relationship Id="rId242" Type="http://schemas.openxmlformats.org/officeDocument/2006/relationships/hyperlink" Target="https://pbs.twimg.com/profile_banners/2347392518/1410465342" TargetMode="External"/><Relationship Id="rId484" Type="http://schemas.openxmlformats.org/officeDocument/2006/relationships/hyperlink" Target="https://pbs.twimg.com/media/Gz7hXruWMAAL18r.jpg" TargetMode="External"/><Relationship Id="rId1073" Type="http://schemas.openxmlformats.org/officeDocument/2006/relationships/hyperlink" Target="https://pbs.twimg.com/profile_images/1136061746895106049/G8TS_hD3_normal.jpg" TargetMode="External"/><Relationship Id="rId241" Type="http://schemas.openxmlformats.org/officeDocument/2006/relationships/hyperlink" Target="https://pbs.twimg.com/profile_images/1921683251703304192/RwDcxc7p_normal.jpg" TargetMode="External"/><Relationship Id="rId483" Type="http://schemas.openxmlformats.org/officeDocument/2006/relationships/hyperlink" Target="https://pbs.twimg.com/profile_banners/176540641/1760642930" TargetMode="External"/><Relationship Id="rId1074" Type="http://schemas.openxmlformats.org/officeDocument/2006/relationships/hyperlink" Target="https://pbs.twimg.com/profile_banners/944734585614716928/1747074694" TargetMode="External"/><Relationship Id="rId240" Type="http://schemas.openxmlformats.org/officeDocument/2006/relationships/hyperlink" Target="https://x.com/gi_fiuza/status/1978129157755146370" TargetMode="External"/><Relationship Id="rId482" Type="http://schemas.openxmlformats.org/officeDocument/2006/relationships/hyperlink" Target="https://pbs.twimg.com/profile_images/1673638015703347207/oNdyztvD_normal.jpg" TargetMode="External"/><Relationship Id="rId1075" Type="http://schemas.openxmlformats.org/officeDocument/2006/relationships/hyperlink" Target="https://pbs.twimg.com/media/Grkl8m6W0AA6XfO.jpg" TargetMode="External"/><Relationship Id="rId481" Type="http://schemas.openxmlformats.org/officeDocument/2006/relationships/hyperlink" Target="https://x.com/canal26noticias/status/1963300961956630995" TargetMode="External"/><Relationship Id="rId1076" Type="http://schemas.openxmlformats.org/officeDocument/2006/relationships/hyperlink" Target="https://x.com/crepch/status/1925242256287535222" TargetMode="External"/><Relationship Id="rId246" Type="http://schemas.openxmlformats.org/officeDocument/2006/relationships/hyperlink" Target="https://x.com/cienlargosdias/status/1978002179358147068" TargetMode="External"/><Relationship Id="rId488" Type="http://schemas.openxmlformats.org/officeDocument/2006/relationships/hyperlink" Target="https://x.com/landysJairPsic/status/1962695785713135959" TargetMode="External"/><Relationship Id="rId1077" Type="http://schemas.openxmlformats.org/officeDocument/2006/relationships/hyperlink" Target="https://pbs.twimg.com/profile_images/1136061746895106049/G8TS_hD3_normal.jpg" TargetMode="External"/><Relationship Id="rId245" Type="http://schemas.openxmlformats.org/officeDocument/2006/relationships/hyperlink" Target="https://pbs.twimg.com/profile_banners/1487686428/1610482036" TargetMode="External"/><Relationship Id="rId487" Type="http://schemas.openxmlformats.org/officeDocument/2006/relationships/hyperlink" Target="https://pbs.twimg.com/profile_banners/119561738/1532843611" TargetMode="External"/><Relationship Id="rId1078" Type="http://schemas.openxmlformats.org/officeDocument/2006/relationships/hyperlink" Target="https://pbs.twimg.com/profile_banners/944734585614716928/1747074694" TargetMode="External"/><Relationship Id="rId244" Type="http://schemas.openxmlformats.org/officeDocument/2006/relationships/hyperlink" Target="https://pbs.twimg.com/profile_images/1819702321787338752/fsm1bt7r_normal.jpg" TargetMode="External"/><Relationship Id="rId486" Type="http://schemas.openxmlformats.org/officeDocument/2006/relationships/hyperlink" Target="https://pbs.twimg.com/profile_images/1684944416685821953/NS8Cg8Jw_normal.jpg" TargetMode="External"/><Relationship Id="rId1079" Type="http://schemas.openxmlformats.org/officeDocument/2006/relationships/hyperlink" Target="https://pbs.twimg.com/media/GrfUt7aWcAAUJ7-.jpg" TargetMode="External"/><Relationship Id="rId243" Type="http://schemas.openxmlformats.org/officeDocument/2006/relationships/hyperlink" Target="https://x.com/Malzaelhumilde_/status/1978072243721699396" TargetMode="External"/><Relationship Id="rId485" Type="http://schemas.openxmlformats.org/officeDocument/2006/relationships/hyperlink" Target="https://x.com/agusglv/status/1963270146182529191" TargetMode="External"/><Relationship Id="rId480" Type="http://schemas.openxmlformats.org/officeDocument/2006/relationships/hyperlink" Target="https://pbs.twimg.com/profile_images/1881415616797548545/bCsgpKV7_normal.jpg" TargetMode="External"/><Relationship Id="rId239" Type="http://schemas.openxmlformats.org/officeDocument/2006/relationships/hyperlink" Target="https://pbs.twimg.com/profile_images/1566578781325770753/Vj1_DTYA_normal.jpg" TargetMode="External"/><Relationship Id="rId238" Type="http://schemas.openxmlformats.org/officeDocument/2006/relationships/hyperlink" Target="https://x.com/vicxangwl23/status/1978938337478988096" TargetMode="External"/><Relationship Id="rId237" Type="http://schemas.openxmlformats.org/officeDocument/2006/relationships/hyperlink" Target="https://pbs.twimg.com/media/G3eiYTDXsAA3wym.jpg,https://pbs.twimg.com/media/G3eiYTZWoAE56kM.jpg" TargetMode="External"/><Relationship Id="rId479" Type="http://schemas.openxmlformats.org/officeDocument/2006/relationships/hyperlink" Target="https://x.com/pumgolazo/status/1963317856978047079" TargetMode="External"/><Relationship Id="rId236" Type="http://schemas.openxmlformats.org/officeDocument/2006/relationships/hyperlink" Target="https://pbs.twimg.com/profile_images/1948253908075241472/GC6K-E-F_normal.jpg" TargetMode="External"/><Relationship Id="rId478" Type="http://schemas.openxmlformats.org/officeDocument/2006/relationships/hyperlink" Target="https://pbs.twimg.com/profile_banners/912844146548920320/1748739319" TargetMode="External"/><Relationship Id="rId1060" Type="http://schemas.openxmlformats.org/officeDocument/2006/relationships/hyperlink" Target="https://pbs.twimg.com/profile_images/1867247845213962242/PWUon7TO_normal.jpg" TargetMode="External"/><Relationship Id="rId1061" Type="http://schemas.openxmlformats.org/officeDocument/2006/relationships/hyperlink" Target="https://pbs.twimg.com/profile_banners/1011401515301527553/1529977903" TargetMode="External"/><Relationship Id="rId231" Type="http://schemas.openxmlformats.org/officeDocument/2006/relationships/hyperlink" Target="https://x.com/thaisemery/status/1979543248667591098" TargetMode="External"/><Relationship Id="rId473" Type="http://schemas.openxmlformats.org/officeDocument/2006/relationships/hyperlink" Target="https://x.com/sammy_p1901/status/1963578820478349441" TargetMode="External"/><Relationship Id="rId1062" Type="http://schemas.openxmlformats.org/officeDocument/2006/relationships/hyperlink" Target="https://x.com/crepch/status/1925952748022878341" TargetMode="External"/><Relationship Id="rId230" Type="http://schemas.openxmlformats.org/officeDocument/2006/relationships/hyperlink" Target="https://pbs.twimg.com/profile_banners/67420920/1736460852" TargetMode="External"/><Relationship Id="rId472" Type="http://schemas.openxmlformats.org/officeDocument/2006/relationships/hyperlink" Target="https://pbs.twimg.com/profile_banners/942514878211940352/1515376665" TargetMode="External"/><Relationship Id="rId1063" Type="http://schemas.openxmlformats.org/officeDocument/2006/relationships/hyperlink" Target="https://pbs.twimg.com/profile_images/1136061746895106049/G8TS_hD3_normal.jpg" TargetMode="External"/><Relationship Id="rId471" Type="http://schemas.openxmlformats.org/officeDocument/2006/relationships/hyperlink" Target="https://pbs.twimg.com/profile_images/1984338225553362944/gAdoiOjB_normal.jpg" TargetMode="External"/><Relationship Id="rId1064" Type="http://schemas.openxmlformats.org/officeDocument/2006/relationships/hyperlink" Target="https://pbs.twimg.com/profile_banners/944734585614716928/1747074694" TargetMode="External"/><Relationship Id="rId470" Type="http://schemas.openxmlformats.org/officeDocument/2006/relationships/hyperlink" Target="https://x.com/Noemi21734263/status/1963591466061644157" TargetMode="External"/><Relationship Id="rId1065" Type="http://schemas.openxmlformats.org/officeDocument/2006/relationships/hyperlink" Target="https://pbs.twimg.com/media/GrpbzT2WYAE_4zu.jpg" TargetMode="External"/><Relationship Id="rId235" Type="http://schemas.openxmlformats.org/officeDocument/2006/relationships/hyperlink" Target="https://x.com/neurosanarte/status/1979229104634306562" TargetMode="External"/><Relationship Id="rId477" Type="http://schemas.openxmlformats.org/officeDocument/2006/relationships/hyperlink" Target="https://pbs.twimg.com/profile_images/1995111820818796544/f5PFIx9d_normal.jpg" TargetMode="External"/><Relationship Id="rId1066" Type="http://schemas.openxmlformats.org/officeDocument/2006/relationships/hyperlink" Target="https://x.com/fernetyfranui/status/1925825202119676163" TargetMode="External"/><Relationship Id="rId234" Type="http://schemas.openxmlformats.org/officeDocument/2006/relationships/hyperlink" Target="https://heloisatolipan.com.br/gente/jesus-luz-fala-sobre-vazamento-de-conteudo-adulto-desejo-de-voltar-a-tv-e-convivencia-com-o-tdah/" TargetMode="External"/><Relationship Id="rId476" Type="http://schemas.openxmlformats.org/officeDocument/2006/relationships/hyperlink" Target="https://x.com/juridicominghao/status/1963340062336102495" TargetMode="External"/><Relationship Id="rId1067" Type="http://schemas.openxmlformats.org/officeDocument/2006/relationships/hyperlink" Target="https://pbs.twimg.com/profile_images/1982241013188935680/NZGzORW__normal.jpg" TargetMode="External"/><Relationship Id="rId233" Type="http://schemas.openxmlformats.org/officeDocument/2006/relationships/hyperlink" Target="https://pbs.twimg.com/profile_banners/50846061/1759449070" TargetMode="External"/><Relationship Id="rId475" Type="http://schemas.openxmlformats.org/officeDocument/2006/relationships/hyperlink" Target="https://pbs.twimg.com/profile_banners/1612969465158705152/1753646822" TargetMode="External"/><Relationship Id="rId1068" Type="http://schemas.openxmlformats.org/officeDocument/2006/relationships/hyperlink" Target="https://pbs.twimg.com/profile_banners/1923104317147353089/1761438061" TargetMode="External"/><Relationship Id="rId232" Type="http://schemas.openxmlformats.org/officeDocument/2006/relationships/hyperlink" Target="https://pbs.twimg.com/profile_images/1973898582601207808/Vk_bSWec_normal.jpg" TargetMode="External"/><Relationship Id="rId474" Type="http://schemas.openxmlformats.org/officeDocument/2006/relationships/hyperlink" Target="https://pbs.twimg.com/profile_images/1984683232294572032/YiZLRXbO_normal.jpg" TargetMode="External"/><Relationship Id="rId1069" Type="http://schemas.openxmlformats.org/officeDocument/2006/relationships/hyperlink" Target="https://x.com/issbelinha/status/1925679304622416121" TargetMode="External"/><Relationship Id="rId1015" Type="http://schemas.openxmlformats.org/officeDocument/2006/relationships/hyperlink" Target="https://pbs.twimg.com/profile_banners/48170245/1762217597" TargetMode="External"/><Relationship Id="rId1016" Type="http://schemas.openxmlformats.org/officeDocument/2006/relationships/hyperlink" Target="https://x.com/SelfishCig/status/1928643286526284022" TargetMode="External"/><Relationship Id="rId1017" Type="http://schemas.openxmlformats.org/officeDocument/2006/relationships/hyperlink" Target="https://pbs.twimg.com/profile_images/1942455227845648384/hPXgMx2v_normal.jpg" TargetMode="External"/><Relationship Id="rId1018" Type="http://schemas.openxmlformats.org/officeDocument/2006/relationships/hyperlink" Target="https://pbs.twimg.com/profile_banners/1908520032084094976/1751952390" TargetMode="External"/><Relationship Id="rId1019" Type="http://schemas.openxmlformats.org/officeDocument/2006/relationships/hyperlink" Target="https://x.com/grilo_cremoso/status/1928562417606201352" TargetMode="External"/><Relationship Id="rId426" Type="http://schemas.openxmlformats.org/officeDocument/2006/relationships/hyperlink" Target="https://pbs.twimg.com/profile_images/1775078100939718656/HH_-J0ib_normal.jpg" TargetMode="External"/><Relationship Id="rId668" Type="http://schemas.openxmlformats.org/officeDocument/2006/relationships/hyperlink" Target="https://pbs.twimg.com/profile_images/1790391141214433281/_x5t7ZCp_normal.jpg" TargetMode="External"/><Relationship Id="rId425" Type="http://schemas.openxmlformats.org/officeDocument/2006/relationships/hyperlink" Target="https://x.com/penguinlibros/status/1966773849724514425" TargetMode="External"/><Relationship Id="rId667" Type="http://schemas.openxmlformats.org/officeDocument/2006/relationships/hyperlink" Target="https://x.com/rusherizando/status/1948817759602876846" TargetMode="External"/><Relationship Id="rId424" Type="http://schemas.openxmlformats.org/officeDocument/2006/relationships/hyperlink" Target="https://pbs.twimg.com/media/G00nLg0WgAEAeIM.jpg,https://pbs.twimg.com/media/G00nLgvXUAAM0vt.jpg" TargetMode="External"/><Relationship Id="rId666" Type="http://schemas.openxmlformats.org/officeDocument/2006/relationships/hyperlink" Target="https://pbs.twimg.com/profile_banners/827809092/1721683309" TargetMode="External"/><Relationship Id="rId423" Type="http://schemas.openxmlformats.org/officeDocument/2006/relationships/hyperlink" Target="https://pbs.twimg.com/profile_banners/944734585614716928/1747074694" TargetMode="External"/><Relationship Id="rId665" Type="http://schemas.openxmlformats.org/officeDocument/2006/relationships/hyperlink" Target="https://pbs.twimg.com/profile_images/1948875427054784512/NINrF-Kh_normal.jpg" TargetMode="External"/><Relationship Id="rId429" Type="http://schemas.openxmlformats.org/officeDocument/2006/relationships/hyperlink" Target="https://x.com/fortunagitana/status/1965633157321171295" TargetMode="External"/><Relationship Id="rId428" Type="http://schemas.openxmlformats.org/officeDocument/2006/relationships/hyperlink" Target="https://pbs.twimg.com/media/G0U6xYJXcAEp7ne.png,https://pbs.twimg.com/media/G0U62GwXEAATUEz.png,https://pbs.twimg.com/media/G0U61nsWEAADIKw.png,https://pbs.twimg.com/media/G0U6h8GW4AANepV.jpg" TargetMode="External"/><Relationship Id="rId427" Type="http://schemas.openxmlformats.org/officeDocument/2006/relationships/hyperlink" Target="https://pbs.twimg.com/profile_banners/15019391/1762786924" TargetMode="External"/><Relationship Id="rId669" Type="http://schemas.openxmlformats.org/officeDocument/2006/relationships/hyperlink" Target="https://pbs.twimg.com/profile_banners/2869315798/1681357464" TargetMode="External"/><Relationship Id="rId660" Type="http://schemas.openxmlformats.org/officeDocument/2006/relationships/hyperlink" Target="https://pbs.twimg.com/media/GwuFfdHXAAAGpuO.jpg" TargetMode="External"/><Relationship Id="rId1010" Type="http://schemas.openxmlformats.org/officeDocument/2006/relationships/hyperlink" Target="https://pbs.twimg.com/profile_images/1136061746895106049/G8TS_hD3_normal.jpg" TargetMode="External"/><Relationship Id="rId422" Type="http://schemas.openxmlformats.org/officeDocument/2006/relationships/hyperlink" Target="https://pbs.twimg.com/profile_images/1136061746895106049/G8TS_hD3_normal.jpg" TargetMode="External"/><Relationship Id="rId664" Type="http://schemas.openxmlformats.org/officeDocument/2006/relationships/hyperlink" Target="https://x.com/rodsalia/status/1948851550874402879" TargetMode="External"/><Relationship Id="rId1011" Type="http://schemas.openxmlformats.org/officeDocument/2006/relationships/hyperlink" Target="https://pbs.twimg.com/profile_banners/944734585614716928/1747074694" TargetMode="External"/><Relationship Id="rId421" Type="http://schemas.openxmlformats.org/officeDocument/2006/relationships/hyperlink" Target="https://x.com/crepch/status/1967271695292792985" TargetMode="External"/><Relationship Id="rId663" Type="http://schemas.openxmlformats.org/officeDocument/2006/relationships/hyperlink" Target="https://pbs.twimg.com/profile_banners/2825615947/1674793295" TargetMode="External"/><Relationship Id="rId1012" Type="http://schemas.openxmlformats.org/officeDocument/2006/relationships/hyperlink" Target="https://pbs.twimg.com/media/GsTcGVuXQAAZS66.jpg,https://pbs.twimg.com/media/GsTcGV0WkAA3wP5.jpg,https://pbs.twimg.com/media/GsTcGWCWUAAS3iA.jpg" TargetMode="External"/><Relationship Id="rId420" Type="http://schemas.openxmlformats.org/officeDocument/2006/relationships/hyperlink" Target="https://pbs.twimg.com/profile_banners/167144501/1728702575" TargetMode="External"/><Relationship Id="rId662" Type="http://schemas.openxmlformats.org/officeDocument/2006/relationships/hyperlink" Target="https://pbs.twimg.com/profile_images/1988347861507952640/MmBWSSun_normal.jpg" TargetMode="External"/><Relationship Id="rId1013" Type="http://schemas.openxmlformats.org/officeDocument/2006/relationships/hyperlink" Target="https://x.com/cesarshanty/status/1928686417313464340" TargetMode="External"/><Relationship Id="rId661" Type="http://schemas.openxmlformats.org/officeDocument/2006/relationships/hyperlink" Target="https://x.com/MauricioLeija/status/1948855434598662445" TargetMode="External"/><Relationship Id="rId1014" Type="http://schemas.openxmlformats.org/officeDocument/2006/relationships/hyperlink" Target="https://pbs.twimg.com/profile_images/1817702554219737088/6shJyILz_normal.jpg" TargetMode="External"/><Relationship Id="rId1004" Type="http://schemas.openxmlformats.org/officeDocument/2006/relationships/hyperlink" Target="https://pbs.twimg.com/profile_images/1812910935876464640/HZQAv9bv_normal.jpg" TargetMode="External"/><Relationship Id="rId1005" Type="http://schemas.openxmlformats.org/officeDocument/2006/relationships/hyperlink" Target="https://pbs.twimg.com/profile_banners/1142291096036347905/1721066637" TargetMode="External"/><Relationship Id="rId1006" Type="http://schemas.openxmlformats.org/officeDocument/2006/relationships/hyperlink" Target="https://x.com/Mueve_Esqueleto/status/1929079847634006222" TargetMode="External"/><Relationship Id="rId1007" Type="http://schemas.openxmlformats.org/officeDocument/2006/relationships/hyperlink" Target="https://pbs.twimg.com/profile_images/1810413010394984448/AMoGYaOW_normal.jpg" TargetMode="External"/><Relationship Id="rId1008" Type="http://schemas.openxmlformats.org/officeDocument/2006/relationships/hyperlink" Target="https://pbs.twimg.com/profile_banners/1428407634/1663734425" TargetMode="External"/><Relationship Id="rId1009" Type="http://schemas.openxmlformats.org/officeDocument/2006/relationships/hyperlink" Target="https://x.com/crepch/status/1928909107068608664" TargetMode="External"/><Relationship Id="rId415" Type="http://schemas.openxmlformats.org/officeDocument/2006/relationships/hyperlink" Target="https://x.com/just_vals/status/1967391748893909443" TargetMode="External"/><Relationship Id="rId657" Type="http://schemas.openxmlformats.org/officeDocument/2006/relationships/hyperlink" Target="https://x.com/Contexto_Visual/status/1948890344613183581" TargetMode="External"/><Relationship Id="rId899" Type="http://schemas.openxmlformats.org/officeDocument/2006/relationships/hyperlink" Target="https://pbs.twimg.com/profile_banners/1004085680283308032/1712362191" TargetMode="External"/><Relationship Id="rId414" Type="http://schemas.openxmlformats.org/officeDocument/2006/relationships/hyperlink" Target="https://pbs.twimg.com/profile_banners/236621586/1606877123" TargetMode="External"/><Relationship Id="rId656" Type="http://schemas.openxmlformats.org/officeDocument/2006/relationships/hyperlink" Target="https://pbs.twimg.com/profile_banners/206776127/1761915300" TargetMode="External"/><Relationship Id="rId898" Type="http://schemas.openxmlformats.org/officeDocument/2006/relationships/hyperlink" Target="https://pbs.twimg.com/profile_images/1703603467988713472/f4e8ndcP_normal.jpg" TargetMode="External"/><Relationship Id="rId413" Type="http://schemas.openxmlformats.org/officeDocument/2006/relationships/hyperlink" Target="https://pbs.twimg.com/profile_images/1540464860768731136/UM4JIXS3_normal.jpg" TargetMode="External"/><Relationship Id="rId655" Type="http://schemas.openxmlformats.org/officeDocument/2006/relationships/hyperlink" Target="https://pbs.twimg.com/profile_images/1292993707373993992/qnyOsXJY_normal.jpg" TargetMode="External"/><Relationship Id="rId897" Type="http://schemas.openxmlformats.org/officeDocument/2006/relationships/hyperlink" Target="https://x.com/Thorquatum/status/1933539168409223617" TargetMode="External"/><Relationship Id="rId412" Type="http://schemas.openxmlformats.org/officeDocument/2006/relationships/hyperlink" Target="https://x.com/ElPaido/status/1967691401896006024" TargetMode="External"/><Relationship Id="rId654" Type="http://schemas.openxmlformats.org/officeDocument/2006/relationships/hyperlink" Target="https://x.com/JustLils/status/1949844628850504064" TargetMode="External"/><Relationship Id="rId896" Type="http://schemas.openxmlformats.org/officeDocument/2006/relationships/hyperlink" Target="https://pbs.twimg.com/profile_images/1948155059289677824/u_fUQFxq_normal.jpg" TargetMode="External"/><Relationship Id="rId419" Type="http://schemas.openxmlformats.org/officeDocument/2006/relationships/hyperlink" Target="https://pbs.twimg.com/profile_images/1953303614262239233/oGB7u0x2_normal.jpg" TargetMode="External"/><Relationship Id="rId418" Type="http://schemas.openxmlformats.org/officeDocument/2006/relationships/hyperlink" Target="https://x.com/just_vals/status/1967391537316376731" TargetMode="External"/><Relationship Id="rId417" Type="http://schemas.openxmlformats.org/officeDocument/2006/relationships/hyperlink" Target="https://pbs.twimg.com/profile_banners/167144501/1728702575" TargetMode="External"/><Relationship Id="rId659" Type="http://schemas.openxmlformats.org/officeDocument/2006/relationships/hyperlink" Target="https://pbs.twimg.com/profile_banners/923007562873802752/1763593172" TargetMode="External"/><Relationship Id="rId416" Type="http://schemas.openxmlformats.org/officeDocument/2006/relationships/hyperlink" Target="https://pbs.twimg.com/profile_images/1953303614262239233/oGB7u0x2_normal.jpg" TargetMode="External"/><Relationship Id="rId658" Type="http://schemas.openxmlformats.org/officeDocument/2006/relationships/hyperlink" Target="https://pbs.twimg.com/profile_images/1994450315731505152/4iFAEAT4_normal.png" TargetMode="External"/><Relationship Id="rId891" Type="http://schemas.openxmlformats.org/officeDocument/2006/relationships/hyperlink" Target="https://x.com/MauricioLeija/status/1933576398158917640" TargetMode="External"/><Relationship Id="rId890" Type="http://schemas.openxmlformats.org/officeDocument/2006/relationships/hyperlink" Target="https://x.com/i/broadcasts/1eaKbWvdnbYGX" TargetMode="External"/><Relationship Id="rId411" Type="http://schemas.openxmlformats.org/officeDocument/2006/relationships/hyperlink" Target="https://pbs.twimg.com/profile_banners/236621586/1606877123" TargetMode="External"/><Relationship Id="rId653" Type="http://schemas.openxmlformats.org/officeDocument/2006/relationships/hyperlink" Target="https://pbs.twimg.com/profile_banners/1913423206423142400/1746373021" TargetMode="External"/><Relationship Id="rId895" Type="http://schemas.openxmlformats.org/officeDocument/2006/relationships/hyperlink" Target="https://x.com/BaldazoIlitch/status/1933550975911854439" TargetMode="External"/><Relationship Id="rId1000" Type="http://schemas.openxmlformats.org/officeDocument/2006/relationships/hyperlink" Target="https://x.com/camimendessz/status/1929557160037429474" TargetMode="External"/><Relationship Id="rId410" Type="http://schemas.openxmlformats.org/officeDocument/2006/relationships/hyperlink" Target="https://pbs.twimg.com/profile_images/1540464860768731136/UM4JIXS3_normal.jpg" TargetMode="External"/><Relationship Id="rId652" Type="http://schemas.openxmlformats.org/officeDocument/2006/relationships/hyperlink" Target="https://pbs.twimg.com/profile_images/1919053379612868609/8VCEWKYV_normal.jpg" TargetMode="External"/><Relationship Id="rId894" Type="http://schemas.openxmlformats.org/officeDocument/2006/relationships/hyperlink" Target="https://pbs.twimg.com/media/GtVxfJeXAAAk0Kg.jpg" TargetMode="External"/><Relationship Id="rId1001" Type="http://schemas.openxmlformats.org/officeDocument/2006/relationships/hyperlink" Target="https://pbs.twimg.com/profile_images/1964529482208772096/TK67Vvad_normal.jpg" TargetMode="External"/><Relationship Id="rId651" Type="http://schemas.openxmlformats.org/officeDocument/2006/relationships/hyperlink" Target="https://x.com/SaraSaraiv66879/status/1949973052319535339" TargetMode="External"/><Relationship Id="rId893" Type="http://schemas.openxmlformats.org/officeDocument/2006/relationships/hyperlink" Target="https://pbs.twimg.com/profile_banners/2825615947/1674793295" TargetMode="External"/><Relationship Id="rId1002" Type="http://schemas.openxmlformats.org/officeDocument/2006/relationships/hyperlink" Target="https://pbs.twimg.com/profile_banners/1643764970381869058/1748397312" TargetMode="External"/><Relationship Id="rId650" Type="http://schemas.openxmlformats.org/officeDocument/2006/relationships/hyperlink" Target="https://pbs.twimg.com/profile_banners/1253233430428606465/1679373754" TargetMode="External"/><Relationship Id="rId892" Type="http://schemas.openxmlformats.org/officeDocument/2006/relationships/hyperlink" Target="https://pbs.twimg.com/profile_images/1988347861507952640/MmBWSSun_normal.jpg" TargetMode="External"/><Relationship Id="rId1003" Type="http://schemas.openxmlformats.org/officeDocument/2006/relationships/hyperlink" Target="https://x.com/ogro2099/status/1929356035854090679" TargetMode="External"/><Relationship Id="rId1037" Type="http://schemas.openxmlformats.org/officeDocument/2006/relationships/hyperlink" Target="https://pbs.twimg.com/profile_images/1480334796928831497/Fb4tJKF2_normal.jpg" TargetMode="External"/><Relationship Id="rId1038" Type="http://schemas.openxmlformats.org/officeDocument/2006/relationships/hyperlink" Target="https://pbs.twimg.com/profile_banners/746499019640180736/1591848151" TargetMode="External"/><Relationship Id="rId1039" Type="http://schemas.openxmlformats.org/officeDocument/2006/relationships/hyperlink" Target="https://search.app/JB4ok" TargetMode="External"/><Relationship Id="rId206" Type="http://schemas.openxmlformats.org/officeDocument/2006/relationships/hyperlink" Target="https://pbs.twimg.com/profile_banners/1922888794635665408/1758848327" TargetMode="External"/><Relationship Id="rId448" Type="http://schemas.openxmlformats.org/officeDocument/2006/relationships/hyperlink" Target="https://pbs.twimg.com/profile_images/1843975672567373824/PkHbcciU_normal.jpg" TargetMode="External"/><Relationship Id="rId205" Type="http://schemas.openxmlformats.org/officeDocument/2006/relationships/hyperlink" Target="https://pbs.twimg.com/profile_images/1922890771436335105/-4d5B6iW_normal.jpg" TargetMode="External"/><Relationship Id="rId447" Type="http://schemas.openxmlformats.org/officeDocument/2006/relationships/hyperlink" Target="https://x.com/ReencarneiSlime/status/1965050825954439403" TargetMode="External"/><Relationship Id="rId689" Type="http://schemas.openxmlformats.org/officeDocument/2006/relationships/hyperlink" Target="https://pbs.twimg.com/media/GwKlrypWoAAYkHm.jpg" TargetMode="External"/><Relationship Id="rId204" Type="http://schemas.openxmlformats.org/officeDocument/2006/relationships/hyperlink" Target="https://x.com/jhonjohnson1488/status/1980954600338333962" TargetMode="External"/><Relationship Id="rId446" Type="http://schemas.openxmlformats.org/officeDocument/2006/relationships/hyperlink" Target="https://pbs.twimg.com/profile_banners/603257566/1762136474" TargetMode="External"/><Relationship Id="rId688" Type="http://schemas.openxmlformats.org/officeDocument/2006/relationships/hyperlink" Target="https://pbs.twimg.com/profile_banners/1642843309881057285/1707677846" TargetMode="External"/><Relationship Id="rId203" Type="http://schemas.openxmlformats.org/officeDocument/2006/relationships/hyperlink" Target="https://pbs.twimg.com/profile_banners/1496178583928295424/1646601276" TargetMode="External"/><Relationship Id="rId445" Type="http://schemas.openxmlformats.org/officeDocument/2006/relationships/hyperlink" Target="https://pbs.twimg.com/profile_images/1973189112141152256/Z0ArSqBM_normal.jpg" TargetMode="External"/><Relationship Id="rId687" Type="http://schemas.openxmlformats.org/officeDocument/2006/relationships/hyperlink" Target="https://pbs.twimg.com/profile_images/1944868933225295872/AL_gthCT_normal.jpg" TargetMode="External"/><Relationship Id="rId209" Type="http://schemas.openxmlformats.org/officeDocument/2006/relationships/hyperlink" Target="https://pbs.twimg.com/profile_images/1988655046163070976/KR1WFBcT_normal.jpg" TargetMode="External"/><Relationship Id="rId208" Type="http://schemas.openxmlformats.org/officeDocument/2006/relationships/hyperlink" Target="https://x.com/condesatv1/status/1980789929371226407" TargetMode="External"/><Relationship Id="rId207" Type="http://schemas.openxmlformats.org/officeDocument/2006/relationships/hyperlink" Target="https://pbs.twimg.com/media/G3yvLIOWoAAtQqm.jpg,https://pbs.twimg.com/media/G3yvLIGWoAA7tp7.jpg,https://pbs.twimg.com/media/G3yvLIFW4AEq_Jg.jpg" TargetMode="External"/><Relationship Id="rId449" Type="http://schemas.openxmlformats.org/officeDocument/2006/relationships/hyperlink" Target="https://pbs.twimg.com/profile_banners/1816860313343418368/1722009499" TargetMode="External"/><Relationship Id="rId440" Type="http://schemas.openxmlformats.org/officeDocument/2006/relationships/hyperlink" Target="https://pbs.twimg.com/profile_banners/1413118798983540740/1696385326" TargetMode="External"/><Relationship Id="rId682" Type="http://schemas.openxmlformats.org/officeDocument/2006/relationships/hyperlink" Target="https://x.com/janayaish/status/1946620618662658432" TargetMode="External"/><Relationship Id="rId681" Type="http://schemas.openxmlformats.org/officeDocument/2006/relationships/hyperlink" Target="https://pbs.twimg.com/profile_banners/1576341729380388865/1684965788" TargetMode="External"/><Relationship Id="rId1030" Type="http://schemas.openxmlformats.org/officeDocument/2006/relationships/hyperlink" Target="https://x.com/gumitog/status/1927885810046488705" TargetMode="External"/><Relationship Id="rId680" Type="http://schemas.openxmlformats.org/officeDocument/2006/relationships/hyperlink" Target="https://pbs.twimg.com/profile_images/1661493061405351941/5R9nfvif_normal.jpg" TargetMode="External"/><Relationship Id="rId1031" Type="http://schemas.openxmlformats.org/officeDocument/2006/relationships/hyperlink" Target="https://pbs.twimg.com/profile_images/1868751531400421376/NDxtyL4K_normal.jpg" TargetMode="External"/><Relationship Id="rId1032" Type="http://schemas.openxmlformats.org/officeDocument/2006/relationships/hyperlink" Target="https://pbs.twimg.com/profile_banners/3364658277/1713724387" TargetMode="External"/><Relationship Id="rId202" Type="http://schemas.openxmlformats.org/officeDocument/2006/relationships/hyperlink" Target="https://pbs.twimg.com/profile_images/1993830062261432320/_Fw9b2xf_normal.jpg" TargetMode="External"/><Relationship Id="rId444" Type="http://schemas.openxmlformats.org/officeDocument/2006/relationships/hyperlink" Target="https://x.com/PsicoterapiaMSC/status/1965073650824163725" TargetMode="External"/><Relationship Id="rId686" Type="http://schemas.openxmlformats.org/officeDocument/2006/relationships/hyperlink" Target="https://x.com/souzx69/status/1946300165595279681" TargetMode="External"/><Relationship Id="rId1033" Type="http://schemas.openxmlformats.org/officeDocument/2006/relationships/hyperlink" Target="https://x.com/RogerioSkylabJr/status/1927473949295710216" TargetMode="External"/><Relationship Id="rId201" Type="http://schemas.openxmlformats.org/officeDocument/2006/relationships/hyperlink" Target="https://x.com/eumesm0LaPaz/status/1981051917972156597" TargetMode="External"/><Relationship Id="rId443" Type="http://schemas.openxmlformats.org/officeDocument/2006/relationships/hyperlink" Target="https://pbs.twimg.com/profile_banners/1449262974649176067/1763479606" TargetMode="External"/><Relationship Id="rId685" Type="http://schemas.openxmlformats.org/officeDocument/2006/relationships/hyperlink" Target="https://pbs.twimg.com/media/GwPI82gXwAAg2KX.jpg" TargetMode="External"/><Relationship Id="rId1034" Type="http://schemas.openxmlformats.org/officeDocument/2006/relationships/hyperlink" Target="https://pbs.twimg.com/profile_images/1912297989101572096/9xluP7f-_normal.jpg" TargetMode="External"/><Relationship Id="rId200" Type="http://schemas.openxmlformats.org/officeDocument/2006/relationships/hyperlink" Target="https://pbs.twimg.com/profile_banners/1050813805276659712/1657736082" TargetMode="External"/><Relationship Id="rId442" Type="http://schemas.openxmlformats.org/officeDocument/2006/relationships/hyperlink" Target="https://pbs.twimg.com/profile_images/1990803878611181568/klxBmwLu_normal.jpg" TargetMode="External"/><Relationship Id="rId684" Type="http://schemas.openxmlformats.org/officeDocument/2006/relationships/hyperlink" Target="https://pbs.twimg.com/profile_banners/154587150/1690861321" TargetMode="External"/><Relationship Id="rId1035" Type="http://schemas.openxmlformats.org/officeDocument/2006/relationships/hyperlink" Target="https://pbs.twimg.com/profile_banners/200916372/1743143519" TargetMode="External"/><Relationship Id="rId441" Type="http://schemas.openxmlformats.org/officeDocument/2006/relationships/hyperlink" Target="https://x.com/alphaPoirot/status/1965089975713906986" TargetMode="External"/><Relationship Id="rId683" Type="http://schemas.openxmlformats.org/officeDocument/2006/relationships/hyperlink" Target="https://pbs.twimg.com/profile_images/1743139515986780160/CFlozXPN_normal.jpg" TargetMode="External"/><Relationship Id="rId1036" Type="http://schemas.openxmlformats.org/officeDocument/2006/relationships/hyperlink" Target="https://x.com/liliMDeAngeles1/status/1927451645270732890" TargetMode="External"/><Relationship Id="rId1026" Type="http://schemas.openxmlformats.org/officeDocument/2006/relationships/hyperlink" Target="https://x.com/aixdynamic/status/1928420405112357104" TargetMode="External"/><Relationship Id="rId1027" Type="http://schemas.openxmlformats.org/officeDocument/2006/relationships/hyperlink" Target="https://pbs.twimg.com/profile_images/1931996170789756928/qS6Ljdk__normal.jpg" TargetMode="External"/><Relationship Id="rId1028" Type="http://schemas.openxmlformats.org/officeDocument/2006/relationships/hyperlink" Target="https://pbs.twimg.com/profile_banners/488564310/1709597103" TargetMode="External"/><Relationship Id="rId1029" Type="http://schemas.openxmlformats.org/officeDocument/2006/relationships/hyperlink" Target="https://www.nytimes.com/es/2025/05/25/espanol/estilos-de-vida/tdah-adultos-senales.html?utm_source=firefox-newtab-es-es" TargetMode="External"/><Relationship Id="rId437" Type="http://schemas.openxmlformats.org/officeDocument/2006/relationships/hyperlink" Target="https://pbs.twimg.com/profile_banners/1427818653072908288/1753825662" TargetMode="External"/><Relationship Id="rId679" Type="http://schemas.openxmlformats.org/officeDocument/2006/relationships/hyperlink" Target="https://x.com/Haney447/status/1946729200204783617" TargetMode="External"/><Relationship Id="rId436" Type="http://schemas.openxmlformats.org/officeDocument/2006/relationships/hyperlink" Target="https://pbs.twimg.com/profile_images/1970907032736641024/eTw7yI9w_normal.jpg" TargetMode="External"/><Relationship Id="rId678" Type="http://schemas.openxmlformats.org/officeDocument/2006/relationships/hyperlink" Target="https://pbs.twimg.com/profile_banners/130729417/1609994296" TargetMode="External"/><Relationship Id="rId435" Type="http://schemas.openxmlformats.org/officeDocument/2006/relationships/hyperlink" Target="https://x.com/ricardo_nakaoka/status/1965531226036732099" TargetMode="External"/><Relationship Id="rId677" Type="http://schemas.openxmlformats.org/officeDocument/2006/relationships/hyperlink" Target="https://pbs.twimg.com/profile_images/1920489343354916864/dtkGO758_normal.jpg" TargetMode="External"/><Relationship Id="rId434" Type="http://schemas.openxmlformats.org/officeDocument/2006/relationships/hyperlink" Target="https://pbs.twimg.com/profile_banners/1888782830324396032/1764354933" TargetMode="External"/><Relationship Id="rId676" Type="http://schemas.openxmlformats.org/officeDocument/2006/relationships/hyperlink" Target="https://x.com/joxortega/status/1947085820663328776" TargetMode="External"/><Relationship Id="rId439" Type="http://schemas.openxmlformats.org/officeDocument/2006/relationships/hyperlink" Target="https://pbs.twimg.com/profile_images/1987983449429286912/3DzuFCum_normal.jpg" TargetMode="External"/><Relationship Id="rId438" Type="http://schemas.openxmlformats.org/officeDocument/2006/relationships/hyperlink" Target="https://x.com/carulinap30/status/1965112371342705041" TargetMode="External"/><Relationship Id="rId671" Type="http://schemas.openxmlformats.org/officeDocument/2006/relationships/hyperlink" Target="https://pbs.twimg.com/profile_images/1782101233672536064/Z9oxtRGC_normal.jpg" TargetMode="External"/><Relationship Id="rId670" Type="http://schemas.openxmlformats.org/officeDocument/2006/relationships/hyperlink" Target="https://x.com/yurigiurizatt/status/1947714355455529225" TargetMode="External"/><Relationship Id="rId1020" Type="http://schemas.openxmlformats.org/officeDocument/2006/relationships/hyperlink" Target="https://pbs.twimg.com/profile_images/1797353491742003200/Cr-izOuq_normal.jpg" TargetMode="External"/><Relationship Id="rId1021" Type="http://schemas.openxmlformats.org/officeDocument/2006/relationships/hyperlink" Target="https://pbs.twimg.com/profile_banners/235545679/1636919599" TargetMode="External"/><Relationship Id="rId433" Type="http://schemas.openxmlformats.org/officeDocument/2006/relationships/hyperlink" Target="https://pbs.twimg.com/profile_images/1994477625708793856/xsHrVePl_normal.jpg" TargetMode="External"/><Relationship Id="rId675" Type="http://schemas.openxmlformats.org/officeDocument/2006/relationships/hyperlink" Target="https://pbs.twimg.com/profile_banners/100304774/1503699761" TargetMode="External"/><Relationship Id="rId1022" Type="http://schemas.openxmlformats.org/officeDocument/2006/relationships/hyperlink" Target="https://x.com/pedregulhando/status/1928494140603478224" TargetMode="External"/><Relationship Id="rId432" Type="http://schemas.openxmlformats.org/officeDocument/2006/relationships/hyperlink" Target="https://x.com/evanlvshana/status/1965598738933755983" TargetMode="External"/><Relationship Id="rId674" Type="http://schemas.openxmlformats.org/officeDocument/2006/relationships/hyperlink" Target="https://pbs.twimg.com/profile_images/1962367244236693504/_qga8j9I_normal.jpg" TargetMode="External"/><Relationship Id="rId1023" Type="http://schemas.openxmlformats.org/officeDocument/2006/relationships/hyperlink" Target="https://pbs.twimg.com/profile_images/1978174835738968064/l1gH_1Zd_normal.jpg" TargetMode="External"/><Relationship Id="rId431" Type="http://schemas.openxmlformats.org/officeDocument/2006/relationships/hyperlink" Target="https://pbs.twimg.com/profile_banners/1228937343605858304/1760324009" TargetMode="External"/><Relationship Id="rId673" Type="http://schemas.openxmlformats.org/officeDocument/2006/relationships/hyperlink" Target="https://x.com/MNutria_/status/1947712066275709131" TargetMode="External"/><Relationship Id="rId1024" Type="http://schemas.openxmlformats.org/officeDocument/2006/relationships/hyperlink" Target="https://pbs.twimg.com/profile_banners/1525686386/1758671310" TargetMode="External"/><Relationship Id="rId430" Type="http://schemas.openxmlformats.org/officeDocument/2006/relationships/hyperlink" Target="https://pbs.twimg.com/profile_images/1977568517542010880/QosSRHtw_normal.jpg" TargetMode="External"/><Relationship Id="rId672" Type="http://schemas.openxmlformats.org/officeDocument/2006/relationships/hyperlink" Target="https://pbs.twimg.com/profile_banners/1567096776238186497/1738554975" TargetMode="External"/><Relationship Id="rId1025" Type="http://schemas.openxmlformats.org/officeDocument/2006/relationships/hyperlink" Target="https://pbs.twimg.com/media/GsFS7FuWAAAp-3a.jpg"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encurtalink.online/testetdah" TargetMode="External"/><Relationship Id="rId194" Type="http://schemas.openxmlformats.org/officeDocument/2006/relationships/hyperlink" Target="https://pbs.twimg.com/profile_images/1721862431192858624/YiiwoYd0_normal.jpg" TargetMode="External"/><Relationship Id="rId193" Type="http://schemas.openxmlformats.org/officeDocument/2006/relationships/hyperlink" Target="https://x.com/pmsaudedigital/status/1813216738726629461" TargetMode="External"/><Relationship Id="rId192" Type="http://schemas.openxmlformats.org/officeDocument/2006/relationships/hyperlink" Target="https://video.twimg.com/ext_tw_video/1813216827612241920/pu/vid/avc1/720x1280/kAL5lm7AfCYcVPgn.mp4?tag=12" TargetMode="External"/><Relationship Id="rId191" Type="http://schemas.openxmlformats.org/officeDocument/2006/relationships/hyperlink" Target="https://pbs.twimg.com/ext_tw_video_thumb/1813216827612241920/pu/img/xlNwfjWdrnnOJ8rV.jpg" TargetMode="External"/><Relationship Id="rId187" Type="http://schemas.openxmlformats.org/officeDocument/2006/relationships/hyperlink" Target="https://x.com/pmsaudedigital/status/1813216869437894896" TargetMode="External"/><Relationship Id="rId186" Type="http://schemas.openxmlformats.org/officeDocument/2006/relationships/hyperlink" Target="https://pbs.twimg.com/media/GS_W2TKXIAAwH10.jpg" TargetMode="External"/><Relationship Id="rId185" Type="http://schemas.openxmlformats.org/officeDocument/2006/relationships/hyperlink" Target="https://pbs.twimg.com/profile_banners/333054975/1721085952" TargetMode="External"/><Relationship Id="rId184" Type="http://schemas.openxmlformats.org/officeDocument/2006/relationships/hyperlink" Target="https://pbs.twimg.com/profile_images/1808984803271688192/62kG4FMX_normal.jpg" TargetMode="External"/><Relationship Id="rId189" Type="http://schemas.openxmlformats.org/officeDocument/2006/relationships/hyperlink" Target="https://pbs.twimg.com/profile_banners/1721862287773077504/1699359642" TargetMode="External"/><Relationship Id="rId188" Type="http://schemas.openxmlformats.org/officeDocument/2006/relationships/hyperlink" Target="https://pbs.twimg.com/profile_images/1721862431192858624/YiiwoYd0_normal.jpg" TargetMode="External"/><Relationship Id="rId183" Type="http://schemas.openxmlformats.org/officeDocument/2006/relationships/hyperlink" Target="https://x.com/mariacedav/status/1814905405157310479" TargetMode="External"/><Relationship Id="rId182" Type="http://schemas.openxmlformats.org/officeDocument/2006/relationships/hyperlink" Target="https://pbs.twimg.com/media/GTCHz9WW4AAJbkX.jpg" TargetMode="External"/><Relationship Id="rId181" Type="http://schemas.openxmlformats.org/officeDocument/2006/relationships/hyperlink" Target="https://t.co/XuiEcLqqqD" TargetMode="External"/><Relationship Id="rId180" Type="http://schemas.openxmlformats.org/officeDocument/2006/relationships/hyperlink" Target="https://pbs.twimg.com/profile_banners/333054975/1721085952" TargetMode="External"/><Relationship Id="rId176" Type="http://schemas.openxmlformats.org/officeDocument/2006/relationships/hyperlink" Target="https://pbs.twimg.com/profile_banners/1361271221657214976/1634611328" TargetMode="External"/><Relationship Id="rId175" Type="http://schemas.openxmlformats.org/officeDocument/2006/relationships/hyperlink" Target="https://pbs.twimg.com/profile_images/1685661549598228481/62txBozO_normal.jpg" TargetMode="External"/><Relationship Id="rId174" Type="http://schemas.openxmlformats.org/officeDocument/2006/relationships/hyperlink" Target="https://x.com/tdahdislex/status/1815850041913008179" TargetMode="External"/><Relationship Id="rId173" Type="http://schemas.openxmlformats.org/officeDocument/2006/relationships/hyperlink" Target="https://pbs.twimg.com/profile_banners/333054975/1721085952" TargetMode="External"/><Relationship Id="rId179" Type="http://schemas.openxmlformats.org/officeDocument/2006/relationships/hyperlink" Target="https://pbs.twimg.com/profile_images/1808984803271688192/62kG4FMX_normal.jpg" TargetMode="External"/><Relationship Id="rId178" Type="http://schemas.openxmlformats.org/officeDocument/2006/relationships/hyperlink" Target="https://x.com/mariacedav/status/1815145628630147368" TargetMode="External"/><Relationship Id="rId177" Type="http://schemas.openxmlformats.org/officeDocument/2006/relationships/hyperlink" Target="https://pbs.twimg.com/media/GTMx---WwAAwndI.jpg" TargetMode="External"/><Relationship Id="rId198" Type="http://schemas.openxmlformats.org/officeDocument/2006/relationships/hyperlink" Target="https://video.twimg.com/ext_tw_video/1813216665749876736/pu/vid/avc1/576x1024/GpRQ_r-dKj5AR218.mp4?tag=12" TargetMode="External"/><Relationship Id="rId197" Type="http://schemas.openxmlformats.org/officeDocument/2006/relationships/hyperlink" Target="https://pbs.twimg.com/ext_tw_video_thumb/1813216665749876736/pu/img/ctAvhYJxtvy7SYYw.jpg" TargetMode="External"/><Relationship Id="rId196" Type="http://schemas.openxmlformats.org/officeDocument/2006/relationships/hyperlink" Target="http://encurtalink.online/testetdah" TargetMode="External"/><Relationship Id="rId195" Type="http://schemas.openxmlformats.org/officeDocument/2006/relationships/hyperlink" Target="https://pbs.twimg.com/profile_banners/1721862287773077504/1699359642" TargetMode="External"/><Relationship Id="rId199" Type="http://schemas.openxmlformats.org/officeDocument/2006/relationships/hyperlink" Target="https://x.com/pmsaudedigital/status/1812958114439627221" TargetMode="External"/><Relationship Id="rId150" Type="http://schemas.openxmlformats.org/officeDocument/2006/relationships/hyperlink" Target="https://pbs.twimg.com/ext_tw_video_thumb/1838845707291082752/pu/img/2KT6t5XM8hDHT2JO.jpg" TargetMode="External"/><Relationship Id="rId392" Type="http://schemas.openxmlformats.org/officeDocument/2006/relationships/hyperlink" Target="https://pbs.twimg.com/profile_banners/1542479058658906112/1685302494" TargetMode="External"/><Relationship Id="rId391" Type="http://schemas.openxmlformats.org/officeDocument/2006/relationships/hyperlink" Target="https://pbs.twimg.com/profile_images/1672392271512076288/wDMMHY45_normal.jpg" TargetMode="External"/><Relationship Id="rId390" Type="http://schemas.openxmlformats.org/officeDocument/2006/relationships/hyperlink" Target="https://x.com/zenpacienciapsi/status/1665398585729458177" TargetMode="External"/><Relationship Id="rId1" Type="http://schemas.openxmlformats.org/officeDocument/2006/relationships/hyperlink" Target="https://x.com/SuperMamasTDAH/status/1994970597835604023" TargetMode="External"/><Relationship Id="rId2" Type="http://schemas.openxmlformats.org/officeDocument/2006/relationships/hyperlink" Target="https://pbs.twimg.com/profile_images/1990983208087789569/rv0pVQTx_normal.jpg" TargetMode="External"/><Relationship Id="rId3" Type="http://schemas.openxmlformats.org/officeDocument/2006/relationships/hyperlink" Target="https://pbs.twimg.com/amplify_video_thumb/1994970438913359872/img/oo7HukhAbG84WhMR.jpg" TargetMode="External"/><Relationship Id="rId149" Type="http://schemas.openxmlformats.org/officeDocument/2006/relationships/hyperlink" Target="https://pbs.twimg.com/profile_banners/1545342316596154368/1756036850" TargetMode="External"/><Relationship Id="rId4" Type="http://schemas.openxmlformats.org/officeDocument/2006/relationships/hyperlink" Target="https://video.twimg.com/amplify_video/1994970438913359872/vid/avc1/720x1280/U8GxP7JTfc9Kh7Mc.mp4?tag=14" TargetMode="External"/><Relationship Id="rId148" Type="http://schemas.openxmlformats.org/officeDocument/2006/relationships/hyperlink" Target="https://pbs.twimg.com/profile_images/1900263498157850624/N8TuEwHC_normal.jpg" TargetMode="External"/><Relationship Id="rId1090" Type="http://schemas.openxmlformats.org/officeDocument/2006/relationships/hyperlink" Target="https://pbs.twimg.com/profile_images/486348880/twitterProfilePhoto_normal.jpg" TargetMode="External"/><Relationship Id="rId1091" Type="http://schemas.openxmlformats.org/officeDocument/2006/relationships/hyperlink" Target="https://www.instagram.com/p/B9-b2k9nsff/?igshid=18qp37c2aaum1" TargetMode="External"/><Relationship Id="rId1092" Type="http://schemas.openxmlformats.org/officeDocument/2006/relationships/hyperlink" Target="https://x.com/ibarramundo/status/1231951855292493830" TargetMode="External"/><Relationship Id="rId1093" Type="http://schemas.openxmlformats.org/officeDocument/2006/relationships/hyperlink" Target="https://pbs.twimg.com/profile_images/1242176869677621253/pCJjIgh6_normal.jpg" TargetMode="External"/><Relationship Id="rId1094" Type="http://schemas.openxmlformats.org/officeDocument/2006/relationships/hyperlink" Target="https://pbs.twimg.com/profile_banners/284640458/1366873044" TargetMode="External"/><Relationship Id="rId9" Type="http://schemas.openxmlformats.org/officeDocument/2006/relationships/hyperlink" Target="https://pbs.twimg.com/profile_images/1990983208087789569/rv0pVQTx_normal.jpg" TargetMode="External"/><Relationship Id="rId143" Type="http://schemas.openxmlformats.org/officeDocument/2006/relationships/hyperlink" Target="https://pbs.twimg.com/profile_images/1955868134839136258/R9xQQFNI_normal.jpg" TargetMode="External"/><Relationship Id="rId385" Type="http://schemas.openxmlformats.org/officeDocument/2006/relationships/hyperlink" Target="https://video.twimg.com/ext_tw_video/1666916209542025216/pu/vid/720x1280/PfLsvO-chcuPFgdQ.mp4?tag=12" TargetMode="External"/><Relationship Id="rId1095" Type="http://schemas.openxmlformats.org/officeDocument/2006/relationships/hyperlink" Target="https://www.instagram.com/p/B88AUBsJPj5/?igshid=t2385bv61798" TargetMode="External"/><Relationship Id="rId142" Type="http://schemas.openxmlformats.org/officeDocument/2006/relationships/hyperlink" Target="https://x.com/DNATalentqro/status/1847472059292540965" TargetMode="External"/><Relationship Id="rId384" Type="http://schemas.openxmlformats.org/officeDocument/2006/relationships/hyperlink" Target="https://pbs.twimg.com/ext_tw_video_thumb/1666916209542025216/pu/img/VavdvtleUHSshI5s.jpg" TargetMode="External"/><Relationship Id="rId1096" Type="http://schemas.openxmlformats.org/officeDocument/2006/relationships/hyperlink" Target="https://x.com/apnadah/status/1228226034912219136" TargetMode="External"/><Relationship Id="rId141" Type="http://schemas.openxmlformats.org/officeDocument/2006/relationships/hyperlink" Target="https://pbs.twimg.com/profile_banners/333054975/1721085952" TargetMode="External"/><Relationship Id="rId383" Type="http://schemas.openxmlformats.org/officeDocument/2006/relationships/hyperlink" Target="https://pbs.twimg.com/profile_banners/1107081892522807297/1763784304" TargetMode="External"/><Relationship Id="rId1097" Type="http://schemas.openxmlformats.org/officeDocument/2006/relationships/hyperlink" Target="https://pbs.twimg.com/profile_images/1864701137938419713/rSYj-mMB_normal.jpg" TargetMode="External"/><Relationship Id="rId140" Type="http://schemas.openxmlformats.org/officeDocument/2006/relationships/hyperlink" Target="https://pbs.twimg.com/profile_images/1808984803271688192/62kG4FMX_normal.jpg" TargetMode="External"/><Relationship Id="rId382" Type="http://schemas.openxmlformats.org/officeDocument/2006/relationships/hyperlink" Target="https://pbs.twimg.com/profile_images/1955868134839136258/R9xQQFNI_normal.jpg" TargetMode="External"/><Relationship Id="rId1098" Type="http://schemas.openxmlformats.org/officeDocument/2006/relationships/hyperlink" Target="https://pbs.twimg.com/profile_banners/3329875162/1743190833" TargetMode="External"/><Relationship Id="rId5" Type="http://schemas.openxmlformats.org/officeDocument/2006/relationships/hyperlink" Target="https://x.com/playense4life/status/1993826489197056464" TargetMode="External"/><Relationship Id="rId147" Type="http://schemas.openxmlformats.org/officeDocument/2006/relationships/hyperlink" Target="https://x.com/ArturoZarzalejo/status/1838845899788722603" TargetMode="External"/><Relationship Id="rId389" Type="http://schemas.openxmlformats.org/officeDocument/2006/relationships/hyperlink" Target="https://pbs.twimg.com/media/FyHTAZNWYAEEAFk.jpg" TargetMode="External"/><Relationship Id="rId1099" Type="http://schemas.openxmlformats.org/officeDocument/2006/relationships/hyperlink" Target="https://cuidateplus.marca.com/bienestar/2020/02/12/hiperactividad-cosa-adultos-172056.html" TargetMode="External"/><Relationship Id="rId6" Type="http://schemas.openxmlformats.org/officeDocument/2006/relationships/hyperlink" Target="https://pbs.twimg.com/profile_images/1983420696358158336/RJP7DSCm_normal.jpg" TargetMode="External"/><Relationship Id="rId146" Type="http://schemas.openxmlformats.org/officeDocument/2006/relationships/hyperlink" Target="https://pbs.twimg.com/media/GaOKC2aXIAAVAHf.jpg" TargetMode="External"/><Relationship Id="rId388" Type="http://schemas.openxmlformats.org/officeDocument/2006/relationships/hyperlink" Target="https://pbs.twimg.com/profile_banners/207630868/1507426625" TargetMode="External"/><Relationship Id="rId7" Type="http://schemas.openxmlformats.org/officeDocument/2006/relationships/hyperlink" Target="https://pbs.twimg.com/profile_banners/261513452/1763923959" TargetMode="External"/><Relationship Id="rId145" Type="http://schemas.openxmlformats.org/officeDocument/2006/relationships/hyperlink" Target="https://youtu.be/BVYwiLwz8m0?si=hXJjxgNqHYJoZDUd" TargetMode="External"/><Relationship Id="rId387" Type="http://schemas.openxmlformats.org/officeDocument/2006/relationships/hyperlink" Target="https://pbs.twimg.com/profile_images/776959014152249344/igurCXFk_normal.jpg" TargetMode="External"/><Relationship Id="rId8" Type="http://schemas.openxmlformats.org/officeDocument/2006/relationships/hyperlink" Target="https://x.com/SuperMamasTDAH/status/1993391608830607611" TargetMode="External"/><Relationship Id="rId144" Type="http://schemas.openxmlformats.org/officeDocument/2006/relationships/hyperlink" Target="https://pbs.twimg.com/profile_banners/1107081892522807297/1763784304" TargetMode="External"/><Relationship Id="rId386" Type="http://schemas.openxmlformats.org/officeDocument/2006/relationships/hyperlink" Target="https://x.com/meztonopochtli/status/1666845343781142529" TargetMode="External"/><Relationship Id="rId381" Type="http://schemas.openxmlformats.org/officeDocument/2006/relationships/hyperlink" Target="https://x.com/DNATalentqro/status/1666916729082003456" TargetMode="External"/><Relationship Id="rId380" Type="http://schemas.openxmlformats.org/officeDocument/2006/relationships/hyperlink" Target="https://pbs.twimg.com/profile_banners/1535677445059141632/1654969447" TargetMode="External"/><Relationship Id="rId139" Type="http://schemas.openxmlformats.org/officeDocument/2006/relationships/hyperlink" Target="https://x.com/mariacedav/status/1854663852291473643" TargetMode="External"/><Relationship Id="rId138" Type="http://schemas.openxmlformats.org/officeDocument/2006/relationships/hyperlink" Target="https://youtube.com/shorts/-zfoxQewo7c?si=OQnmj0V93gRoE8n2" TargetMode="External"/><Relationship Id="rId137" Type="http://schemas.openxmlformats.org/officeDocument/2006/relationships/hyperlink" Target="https://pbs.twimg.com/profile_images/1862650890013806592/MoPOhjvN_normal.jpg" TargetMode="External"/><Relationship Id="rId379" Type="http://schemas.openxmlformats.org/officeDocument/2006/relationships/hyperlink" Target="https://pbs.twimg.com/profile_images/1535677545936322561/sSqrWr3Z_normal.jpg" TargetMode="External"/><Relationship Id="rId1080" Type="http://schemas.openxmlformats.org/officeDocument/2006/relationships/hyperlink" Target="https://x.com/apnadah/status/1242574443999870981" TargetMode="External"/><Relationship Id="rId1081" Type="http://schemas.openxmlformats.org/officeDocument/2006/relationships/hyperlink" Target="https://pbs.twimg.com/profile_images/1864701137938419713/rSYj-mMB_normal.jpg" TargetMode="External"/><Relationship Id="rId1082" Type="http://schemas.openxmlformats.org/officeDocument/2006/relationships/hyperlink" Target="https://pbs.twimg.com/profile_banners/3329875162/1743190833" TargetMode="External"/><Relationship Id="rId1083" Type="http://schemas.openxmlformats.org/officeDocument/2006/relationships/hyperlink" Target="https://x.com/psiquiatriacom/status/1242380650801442817" TargetMode="External"/><Relationship Id="rId132" Type="http://schemas.openxmlformats.org/officeDocument/2006/relationships/hyperlink" Target="https://pbs.twimg.com/profile_images/1986433031058419712/DHKEq2Gj_normal.jpg" TargetMode="External"/><Relationship Id="rId374" Type="http://schemas.openxmlformats.org/officeDocument/2006/relationships/hyperlink" Target="https://pbs.twimg.com/media/FzlH-WQWwAM4vaX.jpg" TargetMode="External"/><Relationship Id="rId1084" Type="http://schemas.openxmlformats.org/officeDocument/2006/relationships/hyperlink" Target="http://psiquiatria.com" TargetMode="External"/><Relationship Id="rId131" Type="http://schemas.openxmlformats.org/officeDocument/2006/relationships/hyperlink" Target="https://x.com/DraKDeCamps/status/1864400494472368374" TargetMode="External"/><Relationship Id="rId373" Type="http://schemas.openxmlformats.org/officeDocument/2006/relationships/hyperlink" Target="https://pbs.twimg.com/profile_banners/171665356/1755439459" TargetMode="External"/><Relationship Id="rId1085" Type="http://schemas.openxmlformats.org/officeDocument/2006/relationships/hyperlink" Target="https://pbs.twimg.com/profile_images/1263022901680394242/IsM_QIKj_normal.jpg" TargetMode="External"/><Relationship Id="rId130" Type="http://schemas.openxmlformats.org/officeDocument/2006/relationships/hyperlink" Target="https://pbs.twimg.com/media/GdjFomNWsAA3tkx.jpg" TargetMode="External"/><Relationship Id="rId372" Type="http://schemas.openxmlformats.org/officeDocument/2006/relationships/hyperlink" Target="https://pbs.twimg.com/profile_images/1984096237709066240/GtEVcK_T_normal.jpg" TargetMode="External"/><Relationship Id="rId1086" Type="http://schemas.openxmlformats.org/officeDocument/2006/relationships/hyperlink" Target="https://pbs.twimg.com/profile_banners/117036494/1424078731" TargetMode="External"/><Relationship Id="rId371" Type="http://schemas.openxmlformats.org/officeDocument/2006/relationships/hyperlink" Target="https://x.com/isaacnewton75/status/1673447878268731393" TargetMode="External"/><Relationship Id="rId1087" Type="http://schemas.openxmlformats.org/officeDocument/2006/relationships/hyperlink" Target="http://ow.ly/PXwq30qrOl9" TargetMode="External"/><Relationship Id="rId136" Type="http://schemas.openxmlformats.org/officeDocument/2006/relationships/hyperlink" Target="https://x.com/anacrisdherick/status/1860358161028255805" TargetMode="External"/><Relationship Id="rId378" Type="http://schemas.openxmlformats.org/officeDocument/2006/relationships/hyperlink" Target="https://x.com/TeaVallarta/status/1667979045122842627" TargetMode="External"/><Relationship Id="rId1088" Type="http://schemas.openxmlformats.org/officeDocument/2006/relationships/hyperlink" Target="https://pbs.twimg.com/media/ET3SnjCWkAA4kHH.jpg" TargetMode="External"/><Relationship Id="rId135" Type="http://schemas.openxmlformats.org/officeDocument/2006/relationships/hyperlink" Target="https://pbs.twimg.com/media/Gd-uXrEXoAAdaYj.jpg" TargetMode="External"/><Relationship Id="rId377" Type="http://schemas.openxmlformats.org/officeDocument/2006/relationships/hyperlink" Target="https://pbs.twimg.com/profile_banners/1535677445059141632/1654969447" TargetMode="External"/><Relationship Id="rId1089" Type="http://schemas.openxmlformats.org/officeDocument/2006/relationships/hyperlink" Target="https://x.com/JulyN1978/status/1241159494853226496" TargetMode="External"/><Relationship Id="rId134" Type="http://schemas.openxmlformats.org/officeDocument/2006/relationships/hyperlink" Target="https://www.facebook.com/share/p/1BfJpPvqfa/" TargetMode="External"/><Relationship Id="rId376" Type="http://schemas.openxmlformats.org/officeDocument/2006/relationships/hyperlink" Target="https://pbs.twimg.com/profile_images/1535677545936322561/sSqrWr3Z_normal.jpg" TargetMode="External"/><Relationship Id="rId133" Type="http://schemas.openxmlformats.org/officeDocument/2006/relationships/hyperlink" Target="https://pbs.twimg.com/profile_banners/4203983909/1717633324" TargetMode="External"/><Relationship Id="rId375" Type="http://schemas.openxmlformats.org/officeDocument/2006/relationships/hyperlink" Target="https://x.com/TeaVallarta/status/1671893759871815680" TargetMode="External"/><Relationship Id="rId172" Type="http://schemas.openxmlformats.org/officeDocument/2006/relationships/hyperlink" Target="https://pbs.twimg.com/profile_images/1808984803271688192/62kG4FMX_normal.jpg" TargetMode="External"/><Relationship Id="rId171" Type="http://schemas.openxmlformats.org/officeDocument/2006/relationships/hyperlink" Target="https://x.com/mariacedav/status/1817577881633214616" TargetMode="External"/><Relationship Id="rId170" Type="http://schemas.openxmlformats.org/officeDocument/2006/relationships/hyperlink" Target="https://pbs.twimg.com/profile_banners/333054975/1721085952" TargetMode="External"/><Relationship Id="rId165" Type="http://schemas.openxmlformats.org/officeDocument/2006/relationships/hyperlink" Target="https://x.com/mariacedav/status/1820484014895243742" TargetMode="External"/><Relationship Id="rId164" Type="http://schemas.openxmlformats.org/officeDocument/2006/relationships/hyperlink" Target="https://pbs.twimg.com/media/GUlBAz1X0AAc_vo.jpg" TargetMode="External"/><Relationship Id="rId163" Type="http://schemas.openxmlformats.org/officeDocument/2006/relationships/hyperlink" Target="https://epicentrodoconhecimento.com/como-tdah-e-narcisismo-se-relacionam-veja-os-achados-recentes/?utm_source=x&amp;utm_medium=social&amp;utm_content=post" TargetMode="External"/><Relationship Id="rId162" Type="http://schemas.openxmlformats.org/officeDocument/2006/relationships/hyperlink" Target="https://pbs.twimg.com/profile_banners/1762202619865407488/1717070021" TargetMode="External"/><Relationship Id="rId169" Type="http://schemas.openxmlformats.org/officeDocument/2006/relationships/hyperlink" Target="https://pbs.twimg.com/profile_images/1808984803271688192/62kG4FMX_normal.jpg" TargetMode="External"/><Relationship Id="rId168" Type="http://schemas.openxmlformats.org/officeDocument/2006/relationships/hyperlink" Target="https://x.com/mariacedav/status/1820483063232749674" TargetMode="External"/><Relationship Id="rId167" Type="http://schemas.openxmlformats.org/officeDocument/2006/relationships/hyperlink" Target="https://pbs.twimg.com/profile_banners/333054975/1721085952" TargetMode="External"/><Relationship Id="rId166" Type="http://schemas.openxmlformats.org/officeDocument/2006/relationships/hyperlink" Target="https://pbs.twimg.com/profile_images/1808984803271688192/62kG4FMX_normal.jpg" TargetMode="External"/><Relationship Id="rId161" Type="http://schemas.openxmlformats.org/officeDocument/2006/relationships/hyperlink" Target="https://pbs.twimg.com/profile_images/1796140706743902208/F-ZNGLh8_normal.jpg" TargetMode="External"/><Relationship Id="rId160" Type="http://schemas.openxmlformats.org/officeDocument/2006/relationships/hyperlink" Target="https://x.com/EpiConhecimento/status/1822059377567674775" TargetMode="External"/><Relationship Id="rId159" Type="http://schemas.openxmlformats.org/officeDocument/2006/relationships/hyperlink" Target="https://pbs.twimg.com/media/GVrpCOFXIAE_k_Y.jpg" TargetMode="External"/><Relationship Id="rId154" Type="http://schemas.openxmlformats.org/officeDocument/2006/relationships/hyperlink" Target="https://pbs.twimg.com/profile_banners/333054975/1721085952" TargetMode="External"/><Relationship Id="rId396" Type="http://schemas.openxmlformats.org/officeDocument/2006/relationships/hyperlink" Target="https://x.com/TeaVallarta/status/1663218812777381893" TargetMode="External"/><Relationship Id="rId153" Type="http://schemas.openxmlformats.org/officeDocument/2006/relationships/hyperlink" Target="https://pbs.twimg.com/profile_images/1808984803271688192/62kG4FMX_normal.jpg" TargetMode="External"/><Relationship Id="rId395" Type="http://schemas.openxmlformats.org/officeDocument/2006/relationships/hyperlink" Target="https://pbs.twimg.com/profile_banners/1542479058658906112/1685302494" TargetMode="External"/><Relationship Id="rId152" Type="http://schemas.openxmlformats.org/officeDocument/2006/relationships/hyperlink" Target="https://x.com/mariacedav/status/1827699259832975604" TargetMode="External"/><Relationship Id="rId394" Type="http://schemas.openxmlformats.org/officeDocument/2006/relationships/hyperlink" Target="https://pbs.twimg.com/profile_images/1672392271512076288/wDMMHY45_normal.jpg" TargetMode="External"/><Relationship Id="rId151" Type="http://schemas.openxmlformats.org/officeDocument/2006/relationships/hyperlink" Target="https://video.twimg.com/ext_tw_video/1838845707291082752/pu/vid/avc1/720x1280/GqpYOMoVEkpr0ogW.mp4?tag=12" TargetMode="External"/><Relationship Id="rId393" Type="http://schemas.openxmlformats.org/officeDocument/2006/relationships/hyperlink" Target="https://x.com/zenpacienciapsi/status/1664762019713622016" TargetMode="External"/><Relationship Id="rId158" Type="http://schemas.openxmlformats.org/officeDocument/2006/relationships/hyperlink" Target="https://mgnoticias.mx/que-es-el-tda-todos-tenemos-un-poco-nuestra-psicologa-vasthy-santoyo-nos-explico/" TargetMode="External"/><Relationship Id="rId157" Type="http://schemas.openxmlformats.org/officeDocument/2006/relationships/hyperlink" Target="https://pbs.twimg.com/profile_banners/3237337855/1662173042" TargetMode="External"/><Relationship Id="rId399" Type="http://schemas.openxmlformats.org/officeDocument/2006/relationships/hyperlink" Target="https://pbs.twimg.com/media/FxTwsk2aMAA7Gk3.jpg" TargetMode="External"/><Relationship Id="rId156" Type="http://schemas.openxmlformats.org/officeDocument/2006/relationships/hyperlink" Target="https://pbs.twimg.com/profile_images/1567215190546214915/hhgZ5WIe_normal.jpg" TargetMode="External"/><Relationship Id="rId398" Type="http://schemas.openxmlformats.org/officeDocument/2006/relationships/hyperlink" Target="https://pbs.twimg.com/profile_banners/1535677445059141632/1654969447" TargetMode="External"/><Relationship Id="rId155" Type="http://schemas.openxmlformats.org/officeDocument/2006/relationships/hyperlink" Target="https://x.com/MGNoticiasSlp/status/1827043129079558282" TargetMode="External"/><Relationship Id="rId397" Type="http://schemas.openxmlformats.org/officeDocument/2006/relationships/hyperlink" Target="https://pbs.twimg.com/profile_images/1535677545936322561/sSqrWr3Z_normal.jpg" TargetMode="External"/><Relationship Id="rId808" Type="http://schemas.openxmlformats.org/officeDocument/2006/relationships/hyperlink" Target="https://x.com/Vero_Berenice/status/1462392735164518400" TargetMode="External"/><Relationship Id="rId807" Type="http://schemas.openxmlformats.org/officeDocument/2006/relationships/hyperlink" Target="https://pbs.twimg.com/profile_banners/1201999683062767616/1575414932" TargetMode="External"/><Relationship Id="rId806" Type="http://schemas.openxmlformats.org/officeDocument/2006/relationships/hyperlink" Target="https://pbs.twimg.com/profile_images/1542267070200569857/vBWlbLhF_normal.jpg" TargetMode="External"/><Relationship Id="rId805" Type="http://schemas.openxmlformats.org/officeDocument/2006/relationships/hyperlink" Target="https://x.com/holatdah/status/1466446340573982727" TargetMode="External"/><Relationship Id="rId809" Type="http://schemas.openxmlformats.org/officeDocument/2006/relationships/hyperlink" Target="https://pbs.twimg.com/profile_images/1451695678875488258/cPTQAbHm_normal.jpg" TargetMode="External"/><Relationship Id="rId800" Type="http://schemas.openxmlformats.org/officeDocument/2006/relationships/hyperlink" Target="https://pbs.twimg.com/profile_images/1387134343/a_normal.jpg" TargetMode="External"/><Relationship Id="rId804" Type="http://schemas.openxmlformats.org/officeDocument/2006/relationships/hyperlink" Target="https://www.instagram.com/p/CYHZJsjl92X/?utm_medium=twitter" TargetMode="External"/><Relationship Id="rId803" Type="http://schemas.openxmlformats.org/officeDocument/2006/relationships/hyperlink" Target="https://pbs.twimg.com/profile_images/1387134343/a_normal.jpg" TargetMode="External"/><Relationship Id="rId802" Type="http://schemas.openxmlformats.org/officeDocument/2006/relationships/hyperlink" Target="https://x.com/shikomattos/status/1476607370834976773" TargetMode="External"/><Relationship Id="rId801" Type="http://schemas.openxmlformats.org/officeDocument/2006/relationships/hyperlink" Target="https://www.instagram.com/p/CYHZX-mlwjz/?utm_medium=twitter" TargetMode="External"/><Relationship Id="rId40" Type="http://schemas.openxmlformats.org/officeDocument/2006/relationships/hyperlink" Target="https://video.twimg.com/amplify_video/1965198066043990016/vid/avc1/720x1280/wPAn4df5YnMjXVmx.mp4?tag=14" TargetMode="External"/><Relationship Id="rId42" Type="http://schemas.openxmlformats.org/officeDocument/2006/relationships/hyperlink" Target="https://pbs.twimg.com/profile_images/1745094281449103360/Len2zkMK_normal.jpg" TargetMode="External"/><Relationship Id="rId41" Type="http://schemas.openxmlformats.org/officeDocument/2006/relationships/hyperlink" Target="https://x.com/landysJairPsic/status/1963319242989707340" TargetMode="External"/><Relationship Id="rId44" Type="http://schemas.openxmlformats.org/officeDocument/2006/relationships/hyperlink" Target="https://video.twimg.com/amplify_video/1963318961065373696/vid/avc1/720x1280/Z5wawCvOoLIEQ-gG.mp4?tag=14" TargetMode="External"/><Relationship Id="rId43" Type="http://schemas.openxmlformats.org/officeDocument/2006/relationships/hyperlink" Target="https://pbs.twimg.com/amplify_video_thumb/1963318961065373696/img/zgi5pSlYYs2ldiwn.jpg" TargetMode="External"/><Relationship Id="rId46" Type="http://schemas.openxmlformats.org/officeDocument/2006/relationships/hyperlink" Target="https://pbs.twimg.com/profile_images/1745094281449103360/Len2zkMK_normal.jpg" TargetMode="External"/><Relationship Id="rId45" Type="http://schemas.openxmlformats.org/officeDocument/2006/relationships/hyperlink" Target="https://x.com/landysJairPsic/status/1961643249480683708" TargetMode="External"/><Relationship Id="rId509" Type="http://schemas.openxmlformats.org/officeDocument/2006/relationships/hyperlink" Target="https://pbs.twimg.com/profile_images/1623821709865283584/Yu6OfLCD_normal.jpg" TargetMode="External"/><Relationship Id="rId508" Type="http://schemas.openxmlformats.org/officeDocument/2006/relationships/hyperlink" Target="https://x.com/adahigi/status/1579484656655044611" TargetMode="External"/><Relationship Id="rId503" Type="http://schemas.openxmlformats.org/officeDocument/2006/relationships/hyperlink" Target="https://pbs.twimg.com/profile_banners/1021394908043710465/1688988054" TargetMode="External"/><Relationship Id="rId745" Type="http://schemas.openxmlformats.org/officeDocument/2006/relationships/hyperlink" Target="https://pbs.twimg.com/media/FN98ee7XwAMtlHs.jpg" TargetMode="External"/><Relationship Id="rId987" Type="http://schemas.openxmlformats.org/officeDocument/2006/relationships/hyperlink" Target="https://pbs.twimg.com/profile_banners/37756283/1503915293" TargetMode="External"/><Relationship Id="rId502" Type="http://schemas.openxmlformats.org/officeDocument/2006/relationships/hyperlink" Target="https://pbs.twimg.com/profile_images/1542661624544337923/1INOK3Cv_normal.jpg" TargetMode="External"/><Relationship Id="rId744" Type="http://schemas.openxmlformats.org/officeDocument/2006/relationships/hyperlink" Target="https://pbs.twimg.com/profile_banners/3329875162/1743190833" TargetMode="External"/><Relationship Id="rId986" Type="http://schemas.openxmlformats.org/officeDocument/2006/relationships/hyperlink" Target="https://pbs.twimg.com/profile_images/1240806864184582144/ceu5u06Z_normal.jpg" TargetMode="External"/><Relationship Id="rId501" Type="http://schemas.openxmlformats.org/officeDocument/2006/relationships/hyperlink" Target="https://x.com/LeonasTdah/status/1580882230599389186" TargetMode="External"/><Relationship Id="rId743" Type="http://schemas.openxmlformats.org/officeDocument/2006/relationships/hyperlink" Target="https://pbs.twimg.com/profile_images/1864701137938419713/rSYj-mMB_normal.jpg" TargetMode="External"/><Relationship Id="rId985" Type="http://schemas.openxmlformats.org/officeDocument/2006/relationships/hyperlink" Target="https://x.com/Rafuky1/status/1311627075015659521" TargetMode="External"/><Relationship Id="rId500" Type="http://schemas.openxmlformats.org/officeDocument/2006/relationships/hyperlink" Target="https://pbs.twimg.com/media/FfYSB4wXgAA3Jia.jpg" TargetMode="External"/><Relationship Id="rId742" Type="http://schemas.openxmlformats.org/officeDocument/2006/relationships/hyperlink" Target="https://x.com/apnadah/status/1504498381493841922" TargetMode="External"/><Relationship Id="rId984" Type="http://schemas.openxmlformats.org/officeDocument/2006/relationships/hyperlink" Target="http://instagram.com/p/CFzDOT4hmHy/" TargetMode="External"/><Relationship Id="rId507" Type="http://schemas.openxmlformats.org/officeDocument/2006/relationships/hyperlink" Target="https://www.csif.es/contenido/nacional/general/349141" TargetMode="External"/><Relationship Id="rId749" Type="http://schemas.openxmlformats.org/officeDocument/2006/relationships/hyperlink" Target="https://www.instagram.com/p/Ca5DMX9vIxZ/?utm_medium=twitter" TargetMode="External"/><Relationship Id="rId506" Type="http://schemas.openxmlformats.org/officeDocument/2006/relationships/hyperlink" Target="https://pbs.twimg.com/profile_banners/883094708/1633941130" TargetMode="External"/><Relationship Id="rId748" Type="http://schemas.openxmlformats.org/officeDocument/2006/relationships/hyperlink" Target="https://pbs.twimg.com/profile_banners/36596327/1453622359" TargetMode="External"/><Relationship Id="rId505" Type="http://schemas.openxmlformats.org/officeDocument/2006/relationships/hyperlink" Target="https://pbs.twimg.com/profile_images/2751438511/f64d383540d19906b2056f66282537e3_normal.jpeg" TargetMode="External"/><Relationship Id="rId747" Type="http://schemas.openxmlformats.org/officeDocument/2006/relationships/hyperlink" Target="https://pbs.twimg.com/profile_images/1486440684915929088/Vdd98n-6_normal.jpg" TargetMode="External"/><Relationship Id="rId989" Type="http://schemas.openxmlformats.org/officeDocument/2006/relationships/hyperlink" Target="https://x.com/Rafuky1/status/1311626737097289729" TargetMode="External"/><Relationship Id="rId504" Type="http://schemas.openxmlformats.org/officeDocument/2006/relationships/hyperlink" Target="https://x.com/AnhidaCoruna/status/1580609482924519424" TargetMode="External"/><Relationship Id="rId746" Type="http://schemas.openxmlformats.org/officeDocument/2006/relationships/hyperlink" Target="https://x.com/HikaruFreeman/status/1501610364638621696" TargetMode="External"/><Relationship Id="rId988" Type="http://schemas.openxmlformats.org/officeDocument/2006/relationships/hyperlink" Target="https://www.instagram.com/p/CFzDOT4hmHy/?igshid=zhxyz75bxv45" TargetMode="External"/><Relationship Id="rId48" Type="http://schemas.openxmlformats.org/officeDocument/2006/relationships/hyperlink" Target="https://video.twimg.com/amplify_video/1961642981854793729/vid/avc1/720x1280/Y8KVumfQE_yIbvUd.mp4?tag=14" TargetMode="External"/><Relationship Id="rId47" Type="http://schemas.openxmlformats.org/officeDocument/2006/relationships/hyperlink" Target="https://pbs.twimg.com/amplify_video_thumb/1961642981854793729/img/nVpBd8b2ZtQgytmx.jpg" TargetMode="External"/><Relationship Id="rId49" Type="http://schemas.openxmlformats.org/officeDocument/2006/relationships/hyperlink" Target="https://x.com/landysJairPsic/status/1961480020079017990" TargetMode="External"/><Relationship Id="rId741" Type="http://schemas.openxmlformats.org/officeDocument/2006/relationships/hyperlink" Target="https://www.instagram.com/p/CbQDpgVLOgF/?utm_medium=twitter" TargetMode="External"/><Relationship Id="rId983" Type="http://schemas.openxmlformats.org/officeDocument/2006/relationships/hyperlink" Target="https://pbs.twimg.com/profile_banners/37756283/1503915293" TargetMode="External"/><Relationship Id="rId740" Type="http://schemas.openxmlformats.org/officeDocument/2006/relationships/hyperlink" Target="https://pbs.twimg.com/profile_banners/1010965028441346050/1529949647" TargetMode="External"/><Relationship Id="rId982" Type="http://schemas.openxmlformats.org/officeDocument/2006/relationships/hyperlink" Target="https://pbs.twimg.com/profile_images/1240806864184582144/ceu5u06Z_normal.jpg" TargetMode="External"/><Relationship Id="rId981" Type="http://schemas.openxmlformats.org/officeDocument/2006/relationships/hyperlink" Target="https://x.com/Rafuky1/status/1311633236053942272" TargetMode="External"/><Relationship Id="rId980" Type="http://schemas.openxmlformats.org/officeDocument/2006/relationships/hyperlink" Target="https://www.instagram.com/p/CGI7nIynI1r/?igshid=j2ub7gg4qz68" TargetMode="External"/><Relationship Id="rId31" Type="http://schemas.openxmlformats.org/officeDocument/2006/relationships/hyperlink" Target="https://video.twimg.com/amplify_video/1975186666374496256/vid/avc1/886x1434/nwkoBMgOHDYHdIri.mp4?tag=21" TargetMode="External"/><Relationship Id="rId30" Type="http://schemas.openxmlformats.org/officeDocument/2006/relationships/hyperlink" Target="https://pbs.twimg.com/amplify_video_thumb/1975186666374496256/img/pK84WSi_-_CPzLku.jpg" TargetMode="External"/><Relationship Id="rId33" Type="http://schemas.openxmlformats.org/officeDocument/2006/relationships/hyperlink" Target="https://pbs.twimg.com/profile_images/868929496908312576/tjf1yX3O_normal.jpg" TargetMode="External"/><Relationship Id="rId32" Type="http://schemas.openxmlformats.org/officeDocument/2006/relationships/hyperlink" Target="https://x.com/EduardoLaredoCh/status/1965826825919291535" TargetMode="External"/><Relationship Id="rId35" Type="http://schemas.openxmlformats.org/officeDocument/2006/relationships/hyperlink" Target="http://www.neurofeedback.pe" TargetMode="External"/><Relationship Id="rId34" Type="http://schemas.openxmlformats.org/officeDocument/2006/relationships/hyperlink" Target="https://pbs.twimg.com/profile_banners/831486985/1444531050" TargetMode="External"/><Relationship Id="rId739" Type="http://schemas.openxmlformats.org/officeDocument/2006/relationships/hyperlink" Target="https://pbs.twimg.com/profile_images/1178170882981793792/Wp29KRAz_normal.jpg" TargetMode="External"/><Relationship Id="rId734" Type="http://schemas.openxmlformats.org/officeDocument/2006/relationships/hyperlink" Target="https://x.com/NeuroMty/status/1507386634102349824" TargetMode="External"/><Relationship Id="rId976" Type="http://schemas.openxmlformats.org/officeDocument/2006/relationships/hyperlink" Target="https://pbs.twimg.com/profile_banners/1034532516009582592/1708280801" TargetMode="External"/><Relationship Id="rId733" Type="http://schemas.openxmlformats.org/officeDocument/2006/relationships/hyperlink" Target="https://pbs.twimg.com/profile_banners/2774265712/1554963594" TargetMode="External"/><Relationship Id="rId975" Type="http://schemas.openxmlformats.org/officeDocument/2006/relationships/hyperlink" Target="https://pbs.twimg.com/profile_images/1713843706610987008/2z8MDqIh_normal.jpg" TargetMode="External"/><Relationship Id="rId732" Type="http://schemas.openxmlformats.org/officeDocument/2006/relationships/hyperlink" Target="https://pbs.twimg.com/profile_images/1159646366982909953/NmzidvP4_normal.jpg" TargetMode="External"/><Relationship Id="rId974" Type="http://schemas.openxmlformats.org/officeDocument/2006/relationships/hyperlink" Target="https://x.com/byemme_/status/1321044210628349955" TargetMode="External"/><Relationship Id="rId731" Type="http://schemas.openxmlformats.org/officeDocument/2006/relationships/hyperlink" Target="https://x.com/LarahBezerra_/status/1509230216509591559" TargetMode="External"/><Relationship Id="rId973" Type="http://schemas.openxmlformats.org/officeDocument/2006/relationships/hyperlink" Target="https://www.instagram.com/p/CHUzIA5FQLF/?igshid=97pe6x8nhqbu" TargetMode="External"/><Relationship Id="rId738" Type="http://schemas.openxmlformats.org/officeDocument/2006/relationships/hyperlink" Target="https://x.com/NeuroMty/status/1504848377749594121" TargetMode="External"/><Relationship Id="rId737" Type="http://schemas.openxmlformats.org/officeDocument/2006/relationships/hyperlink" Target="https://www.instagram.com/p/CbiF3bpLYr0/?utm_medium=twitter" TargetMode="External"/><Relationship Id="rId979" Type="http://schemas.openxmlformats.org/officeDocument/2006/relationships/hyperlink" Target="https://pbs.twimg.com/profile_images/486348880/twitterProfilePhoto_normal.jpg" TargetMode="External"/><Relationship Id="rId736" Type="http://schemas.openxmlformats.org/officeDocument/2006/relationships/hyperlink" Target="https://pbs.twimg.com/profile_banners/1010965028441346050/1529949647" TargetMode="External"/><Relationship Id="rId978" Type="http://schemas.openxmlformats.org/officeDocument/2006/relationships/hyperlink" Target="https://x.com/JulyN1978/status/1314694324412731393" TargetMode="External"/><Relationship Id="rId735" Type="http://schemas.openxmlformats.org/officeDocument/2006/relationships/hyperlink" Target="https://pbs.twimg.com/profile_images/1178170882981793792/Wp29KRAz_normal.jpg" TargetMode="External"/><Relationship Id="rId977" Type="http://schemas.openxmlformats.org/officeDocument/2006/relationships/hyperlink" Target="https://www.instagram.com/p/CG17QRqjTRD/?igshid=1p1hhtha74fc5" TargetMode="External"/><Relationship Id="rId37" Type="http://schemas.openxmlformats.org/officeDocument/2006/relationships/hyperlink" Target="https://x.com/landysJairPsic/status/1965198340640878671" TargetMode="External"/><Relationship Id="rId36" Type="http://schemas.openxmlformats.org/officeDocument/2006/relationships/hyperlink" Target="https://pbs.twimg.com/media/G0gFB5pXYAAIUX0.jpg" TargetMode="External"/><Relationship Id="rId39" Type="http://schemas.openxmlformats.org/officeDocument/2006/relationships/hyperlink" Target="https://pbs.twimg.com/amplify_video_thumb/1965198066043990016/img/MCBru5Q9gzozZElZ.jpg" TargetMode="External"/><Relationship Id="rId38" Type="http://schemas.openxmlformats.org/officeDocument/2006/relationships/hyperlink" Target="https://pbs.twimg.com/profile_images/1745094281449103360/Len2zkMK_normal.jpg" TargetMode="External"/><Relationship Id="rId730" Type="http://schemas.openxmlformats.org/officeDocument/2006/relationships/hyperlink" Target="https://pbs.twimg.com/media/FPPi_uaWUBA9SgB.jpg,https://pbs.twimg.com/media/FPPi_ubWUAcdrs1.jpg" TargetMode="External"/><Relationship Id="rId972" Type="http://schemas.openxmlformats.org/officeDocument/2006/relationships/hyperlink" Target="https://pbs.twimg.com/profile_images/1322462421722845189/3refUg4F_normal.jpg" TargetMode="External"/><Relationship Id="rId971" Type="http://schemas.openxmlformats.org/officeDocument/2006/relationships/hyperlink" Target="https://x.com/tdahzao/status/1325376431669583872" TargetMode="External"/><Relationship Id="rId970" Type="http://schemas.openxmlformats.org/officeDocument/2006/relationships/hyperlink" Target="https://pbs.twimg.com/media/EmU72K7W4AQMaiZ.jpg" TargetMode="External"/><Relationship Id="rId1114" Type="http://schemas.openxmlformats.org/officeDocument/2006/relationships/hyperlink" Target="https://www.instagram.com/p/B7WA2OThFUT/?igshid=1b28xbrquypk0" TargetMode="External"/><Relationship Id="rId1115" Type="http://schemas.openxmlformats.org/officeDocument/2006/relationships/hyperlink" Target="https://x.com/Psicotogether_/status/1211673287580884992" TargetMode="External"/><Relationship Id="rId20" Type="http://schemas.openxmlformats.org/officeDocument/2006/relationships/hyperlink" Target="https://video.twimg.com/ext_tw_video/1983470672316698624/pu/vid/avc1/720x1280/sOub7GMVorGFSqT7.mp4?tag=12" TargetMode="External"/><Relationship Id="rId1116" Type="http://schemas.openxmlformats.org/officeDocument/2006/relationships/hyperlink" Target="https://pbs.twimg.com/profile_images/1201644523669131264/zgO6D7kV_normal.jpg" TargetMode="External"/><Relationship Id="rId1117" Type="http://schemas.openxmlformats.org/officeDocument/2006/relationships/hyperlink" Target="https://pbs.twimg.com/profile_banners/765202699012956160/1575329356" TargetMode="External"/><Relationship Id="rId22" Type="http://schemas.openxmlformats.org/officeDocument/2006/relationships/hyperlink" Target="https://pbs.twimg.com/profile_images/1846469044288843777/1QeBrLLI_normal.jpg" TargetMode="External"/><Relationship Id="rId1118" Type="http://schemas.openxmlformats.org/officeDocument/2006/relationships/hyperlink" Target="https://www.instagram.com/p/B6s7ErXoWKV/?igshid=vwavqdqw7xhk" TargetMode="External"/><Relationship Id="rId21" Type="http://schemas.openxmlformats.org/officeDocument/2006/relationships/hyperlink" Target="https://x.com/TDAH_BuenosDias/status/1975851157869547653" TargetMode="External"/><Relationship Id="rId1119" Type="http://schemas.openxmlformats.org/officeDocument/2006/relationships/hyperlink" Target="https://x.com/PsiquiatriaSE/status/1191722777004232705" TargetMode="External"/><Relationship Id="rId24" Type="http://schemas.openxmlformats.org/officeDocument/2006/relationships/hyperlink" Target="https://go.ivoox.com/rf/125108094" TargetMode="External"/><Relationship Id="rId23" Type="http://schemas.openxmlformats.org/officeDocument/2006/relationships/hyperlink" Target="https://pbs.twimg.com/profile_banners/1817536189911482368/1725628460" TargetMode="External"/><Relationship Id="rId525" Type="http://schemas.openxmlformats.org/officeDocument/2006/relationships/hyperlink" Target="https://x.com/ffdalles/status/1575546925394571264" TargetMode="External"/><Relationship Id="rId767" Type="http://schemas.openxmlformats.org/officeDocument/2006/relationships/hyperlink" Target="https://pbs.twimg.com/profile_banners/1246983425535459338/1613818408" TargetMode="External"/><Relationship Id="rId524" Type="http://schemas.openxmlformats.org/officeDocument/2006/relationships/hyperlink" Target="https://www.instagram.com/p/CjRc_r7IqI3/?igshid=YTgzYjQ4ZTY=" TargetMode="External"/><Relationship Id="rId766" Type="http://schemas.openxmlformats.org/officeDocument/2006/relationships/hyperlink" Target="https://pbs.twimg.com/profile_images/1405765160535396354/iaUfUdi5_normal.jpg" TargetMode="External"/><Relationship Id="rId523" Type="http://schemas.openxmlformats.org/officeDocument/2006/relationships/hyperlink" Target="https://pbs.twimg.com/profile_banners/1534660362687156224/1691196527" TargetMode="External"/><Relationship Id="rId765" Type="http://schemas.openxmlformats.org/officeDocument/2006/relationships/hyperlink" Target="https://x.com/ItziashunelyM/status/1494032717645852673" TargetMode="External"/><Relationship Id="rId522" Type="http://schemas.openxmlformats.org/officeDocument/2006/relationships/hyperlink" Target="https://pbs.twimg.com/profile_images/1687684729984696321/HwTVEiX8_normal.jpg" TargetMode="External"/><Relationship Id="rId764" Type="http://schemas.openxmlformats.org/officeDocument/2006/relationships/hyperlink" Target="https://pbs.twimg.com/profile_images/1580287990215196672/nIzbtvmI_normal.jpg" TargetMode="External"/><Relationship Id="rId529" Type="http://schemas.openxmlformats.org/officeDocument/2006/relationships/hyperlink" Target="https://pbs.twimg.com/profile_images/1906702235272167424/1vXnx7jA_normal.jpg" TargetMode="External"/><Relationship Id="rId528" Type="http://schemas.openxmlformats.org/officeDocument/2006/relationships/hyperlink" Target="https://x.com/tuliocardosoadv/status/1575159335868846080" TargetMode="External"/><Relationship Id="rId527" Type="http://schemas.openxmlformats.org/officeDocument/2006/relationships/hyperlink" Target="https://pbs.twimg.com/profile_banners/16407741/1653499712" TargetMode="External"/><Relationship Id="rId769" Type="http://schemas.openxmlformats.org/officeDocument/2006/relationships/hyperlink" Target="https://x.com/16enconducTDAH/status/1486425114551980044" TargetMode="External"/><Relationship Id="rId526" Type="http://schemas.openxmlformats.org/officeDocument/2006/relationships/hyperlink" Target="https://pbs.twimg.com/profile_images/1524056616370376704/jUKLwu36_normal.jpg" TargetMode="External"/><Relationship Id="rId768" Type="http://schemas.openxmlformats.org/officeDocument/2006/relationships/hyperlink" Target="https://pbs.twimg.com/media/FLve1seVcAUmEDt.png" TargetMode="External"/><Relationship Id="rId26" Type="http://schemas.openxmlformats.org/officeDocument/2006/relationships/hyperlink" Target="https://video.twimg.com/amplify_video/1963531868738867200/vid/avc1/720x1280/TayvlRqGX89zNRy6.mp4?tag=14" TargetMode="External"/><Relationship Id="rId25" Type="http://schemas.openxmlformats.org/officeDocument/2006/relationships/hyperlink" Target="https://pbs.twimg.com/amplify_video_thumb/1963531868738867200/img/Sau2Xkq-3XyBpYlc.jpg" TargetMode="External"/><Relationship Id="rId28" Type="http://schemas.openxmlformats.org/officeDocument/2006/relationships/hyperlink" Target="https://pbs.twimg.com/profile_images/1956338088390615046/_CmJ_dms_normal.jpg" TargetMode="External"/><Relationship Id="rId27" Type="http://schemas.openxmlformats.org/officeDocument/2006/relationships/hyperlink" Target="https://x.com/Tenorio_Mindset/status/1975186772477739392" TargetMode="External"/><Relationship Id="rId521" Type="http://schemas.openxmlformats.org/officeDocument/2006/relationships/hyperlink" Target="https://x.com/loquetemotiva/status/1577102407531651072" TargetMode="External"/><Relationship Id="rId763" Type="http://schemas.openxmlformats.org/officeDocument/2006/relationships/hyperlink" Target="https://x.com/LevementeND/status/1494790341672816641" TargetMode="External"/><Relationship Id="rId1110" Type="http://schemas.openxmlformats.org/officeDocument/2006/relationships/hyperlink" Target="https://x.com/HypnoseG/status/1217456213761363990" TargetMode="External"/><Relationship Id="rId29" Type="http://schemas.openxmlformats.org/officeDocument/2006/relationships/hyperlink" Target="https://pbs.twimg.com/profile_banners/1956337600974729216/1755842915" TargetMode="External"/><Relationship Id="rId520" Type="http://schemas.openxmlformats.org/officeDocument/2006/relationships/hyperlink" Target="https://pbs.twimg.com/profile_banners/2809175032/1729973824" TargetMode="External"/><Relationship Id="rId762" Type="http://schemas.openxmlformats.org/officeDocument/2006/relationships/hyperlink" Target="https://video.twimg.com/ext_tw_video/1498072995675480070/pu/vid/640x1136/Fd_q6QXN1NyVd7fX.mp4?tag=12" TargetMode="External"/><Relationship Id="rId1111" Type="http://schemas.openxmlformats.org/officeDocument/2006/relationships/hyperlink" Target="https://t.co/jt0SEFCg3F" TargetMode="External"/><Relationship Id="rId761" Type="http://schemas.openxmlformats.org/officeDocument/2006/relationships/hyperlink" Target="https://pbs.twimg.com/ext_tw_video_thumb/1498072995675480070/pu/img/dVIsQYCDCEzMEA25.jpg" TargetMode="External"/><Relationship Id="rId1112" Type="http://schemas.openxmlformats.org/officeDocument/2006/relationships/hyperlink" Target="https://pbs.twimg.com/profile_images/1090500402037035009/aVoWVwaG_normal.jpg" TargetMode="External"/><Relationship Id="rId760" Type="http://schemas.openxmlformats.org/officeDocument/2006/relationships/hyperlink" Target="https://pbs.twimg.com/profile_banners/1127581082986192896/1660506971" TargetMode="External"/><Relationship Id="rId1113" Type="http://schemas.openxmlformats.org/officeDocument/2006/relationships/hyperlink" Target="https://pbs.twimg.com/profile_banners/1001234955102576641/1527548247" TargetMode="External"/><Relationship Id="rId1103" Type="http://schemas.openxmlformats.org/officeDocument/2006/relationships/hyperlink" Target="https://pbs.twimg.com/profile_banners/117036494/1424078731" TargetMode="External"/><Relationship Id="rId1104" Type="http://schemas.openxmlformats.org/officeDocument/2006/relationships/hyperlink" Target="http://ow.ly/qm1G30q7qn2" TargetMode="External"/><Relationship Id="rId1105" Type="http://schemas.openxmlformats.org/officeDocument/2006/relationships/hyperlink" Target="https://pbs.twimg.com/media/EPjAYaSXkAMUU62.jpg" TargetMode="External"/><Relationship Id="rId1106" Type="http://schemas.openxmlformats.org/officeDocument/2006/relationships/hyperlink" Target="https://x.com/DNATalentqro/status/1217560790800064512" TargetMode="External"/><Relationship Id="rId11" Type="http://schemas.openxmlformats.org/officeDocument/2006/relationships/hyperlink" Target="https://video.twimg.com/amplify_video/1993391441574248448/vid/avc1/720x1280/unJg6Kf6nHrUDQhA.mp4?tag=14" TargetMode="External"/><Relationship Id="rId1107" Type="http://schemas.openxmlformats.org/officeDocument/2006/relationships/hyperlink" Target="https://pbs.twimg.com/profile_images/1955868134839136258/R9xQQFNI_normal.jpg" TargetMode="External"/><Relationship Id="rId10" Type="http://schemas.openxmlformats.org/officeDocument/2006/relationships/hyperlink" Target="https://pbs.twimg.com/amplify_video_thumb/1993391441574248448/img/5dZLIWXFxYn66vvw.jpg" TargetMode="External"/><Relationship Id="rId1108" Type="http://schemas.openxmlformats.org/officeDocument/2006/relationships/hyperlink" Target="https://pbs.twimg.com/profile_banners/1107081892522807297/1763784304" TargetMode="External"/><Relationship Id="rId13" Type="http://schemas.openxmlformats.org/officeDocument/2006/relationships/hyperlink" Target="https://pbs.twimg.com/profile_images/1990983208087789569/rv0pVQTx_normal.jpg" TargetMode="External"/><Relationship Id="rId1109" Type="http://schemas.openxmlformats.org/officeDocument/2006/relationships/hyperlink" Target="https://www.uppers.es/salud-bienestar/terapia-y-psicologia/descubrir-adultos-tdah-trastorno-deficit-atencion-hiperactividad_18_2883045089.html" TargetMode="External"/><Relationship Id="rId12" Type="http://schemas.openxmlformats.org/officeDocument/2006/relationships/hyperlink" Target="https://x.com/SuperMamasTDAH/status/1985307481938010519" TargetMode="External"/><Relationship Id="rId519" Type="http://schemas.openxmlformats.org/officeDocument/2006/relationships/hyperlink" Target="https://pbs.twimg.com/profile_images/1589720119382532096/jwdKnhIZ_normal.jpg" TargetMode="External"/><Relationship Id="rId514" Type="http://schemas.openxmlformats.org/officeDocument/2006/relationships/hyperlink" Target="https://x.com/brujimedium/status/1578387731612401669" TargetMode="External"/><Relationship Id="rId756" Type="http://schemas.openxmlformats.org/officeDocument/2006/relationships/hyperlink" Target="https://pbs.twimg.com/profile_banners/36596327/1453622359" TargetMode="External"/><Relationship Id="rId998" Type="http://schemas.openxmlformats.org/officeDocument/2006/relationships/hyperlink" Target="https://pbs.twimg.com/profile_banners/20412939/1461433225" TargetMode="External"/><Relationship Id="rId513" Type="http://schemas.openxmlformats.org/officeDocument/2006/relationships/hyperlink" Target="https://pbs.twimg.com/profile_banners/1900991568/1722645024" TargetMode="External"/><Relationship Id="rId755" Type="http://schemas.openxmlformats.org/officeDocument/2006/relationships/hyperlink" Target="https://pbs.twimg.com/profile_images/1486440684915929088/Vdd98n-6_normal.jpg" TargetMode="External"/><Relationship Id="rId997" Type="http://schemas.openxmlformats.org/officeDocument/2006/relationships/hyperlink" Target="https://pbs.twimg.com/profile_images/1579650128755007489/s4EtWKSQ_normal.jpg" TargetMode="External"/><Relationship Id="rId512" Type="http://schemas.openxmlformats.org/officeDocument/2006/relationships/hyperlink" Target="https://pbs.twimg.com/profile_images/1819531232117501952/eWUtGGeb_normal.jpg" TargetMode="External"/><Relationship Id="rId754" Type="http://schemas.openxmlformats.org/officeDocument/2006/relationships/hyperlink" Target="https://x.com/HikaruFreeman/status/1499112927218974721" TargetMode="External"/><Relationship Id="rId996" Type="http://schemas.openxmlformats.org/officeDocument/2006/relationships/hyperlink" Target="https://x.com/afonsoribeiro/status/1309548245207707653" TargetMode="External"/><Relationship Id="rId511" Type="http://schemas.openxmlformats.org/officeDocument/2006/relationships/hyperlink" Target="https://x.com/brujimedium/status/1578388464604782593" TargetMode="External"/><Relationship Id="rId753" Type="http://schemas.openxmlformats.org/officeDocument/2006/relationships/hyperlink" Target="https://www.instagram.com/p/CapUxozry6S/?utm_medium=twitter" TargetMode="External"/><Relationship Id="rId995" Type="http://schemas.openxmlformats.org/officeDocument/2006/relationships/hyperlink" Target="https://plumassororas.com/2020/09/25/el-fracaso-cotidiano/" TargetMode="External"/><Relationship Id="rId518" Type="http://schemas.openxmlformats.org/officeDocument/2006/relationships/hyperlink" Target="https://x.com/UrkizuMaite/status/1578383577514909701" TargetMode="External"/><Relationship Id="rId517" Type="http://schemas.openxmlformats.org/officeDocument/2006/relationships/hyperlink" Target="https://pbs.twimg.com/media/FeePRueXwAMupIW.png" TargetMode="External"/><Relationship Id="rId759" Type="http://schemas.openxmlformats.org/officeDocument/2006/relationships/hyperlink" Target="https://pbs.twimg.com/profile_images/1477276471878209541/954UqXt6_normal.jpg" TargetMode="External"/><Relationship Id="rId516" Type="http://schemas.openxmlformats.org/officeDocument/2006/relationships/hyperlink" Target="https://pbs.twimg.com/profile_banners/1900991568/1722645024" TargetMode="External"/><Relationship Id="rId758" Type="http://schemas.openxmlformats.org/officeDocument/2006/relationships/hyperlink" Target="https://x.com/dara_coch/status/1498073054685147138" TargetMode="External"/><Relationship Id="rId515" Type="http://schemas.openxmlformats.org/officeDocument/2006/relationships/hyperlink" Target="https://pbs.twimg.com/profile_images/1819531232117501952/eWUtGGeb_normal.jpg" TargetMode="External"/><Relationship Id="rId757" Type="http://schemas.openxmlformats.org/officeDocument/2006/relationships/hyperlink" Target="https://www.instagram.com/p/CanTfaOheIN/?utm_medium=twitter" TargetMode="External"/><Relationship Id="rId999" Type="http://schemas.openxmlformats.org/officeDocument/2006/relationships/hyperlink" Target="https://x.com/unidadfocus/status/1304412768318103553" TargetMode="External"/><Relationship Id="rId15" Type="http://schemas.openxmlformats.org/officeDocument/2006/relationships/hyperlink" Target="https://video.twimg.com/amplify_video/1985307394239291392/vid/avc1/720x1280/MN-FQKg055KCAD9I.mp4?tag=21" TargetMode="External"/><Relationship Id="rId990" Type="http://schemas.openxmlformats.org/officeDocument/2006/relationships/hyperlink" Target="https://pbs.twimg.com/profile_images/1240806864184582144/ceu5u06Z_normal.jpg" TargetMode="External"/><Relationship Id="rId14" Type="http://schemas.openxmlformats.org/officeDocument/2006/relationships/hyperlink" Target="https://pbs.twimg.com/amplify_video_thumb/1985307394239291392/img/5bD6PWBzgx945XUe.jpg" TargetMode="External"/><Relationship Id="rId17" Type="http://schemas.openxmlformats.org/officeDocument/2006/relationships/hyperlink" Target="https://pbs.twimg.com/profile_images/1978522871811981313/eugu5od3_normal.jpg" TargetMode="External"/><Relationship Id="rId16" Type="http://schemas.openxmlformats.org/officeDocument/2006/relationships/hyperlink" Target="https://x.com/tdahmasmostoles/status/1983470739715223705" TargetMode="External"/><Relationship Id="rId19" Type="http://schemas.openxmlformats.org/officeDocument/2006/relationships/hyperlink" Target="https://pbs.twimg.com/ext_tw_video_thumb/1983470672316698624/pu/img/DQp34xch-ldMQ0QW.jpg" TargetMode="External"/><Relationship Id="rId510" Type="http://schemas.openxmlformats.org/officeDocument/2006/relationships/hyperlink" Target="https://pbs.twimg.com/profile_banners/937041894198136838/1752248588" TargetMode="External"/><Relationship Id="rId752" Type="http://schemas.openxmlformats.org/officeDocument/2006/relationships/hyperlink" Target="https://pbs.twimg.com/profile_banners/1355192027483430913/1611939762" TargetMode="External"/><Relationship Id="rId994" Type="http://schemas.openxmlformats.org/officeDocument/2006/relationships/hyperlink" Target="https://pbs.twimg.com/profile_banners/113445938/1639527988" TargetMode="External"/><Relationship Id="rId18" Type="http://schemas.openxmlformats.org/officeDocument/2006/relationships/hyperlink" Target="https://pbs.twimg.com/profile_banners/1581625211539148800/1695479358" TargetMode="External"/><Relationship Id="rId751" Type="http://schemas.openxmlformats.org/officeDocument/2006/relationships/hyperlink" Target="https://pbs.twimg.com/profile_images/1598027079156629507/Wod-4pcv_normal.jpg" TargetMode="External"/><Relationship Id="rId993" Type="http://schemas.openxmlformats.org/officeDocument/2006/relationships/hyperlink" Target="https://pbs.twimg.com/profile_images/1644546310501015554/jLMpqfBa_normal.jpg" TargetMode="External"/><Relationship Id="rId1100" Type="http://schemas.openxmlformats.org/officeDocument/2006/relationships/hyperlink" Target="https://x.com/psiquiatriacom/status/1222938825581875202" TargetMode="External"/><Relationship Id="rId750" Type="http://schemas.openxmlformats.org/officeDocument/2006/relationships/hyperlink" Target="https://x.com/tdahdescomplica/status/1499397226442870795" TargetMode="External"/><Relationship Id="rId992" Type="http://schemas.openxmlformats.org/officeDocument/2006/relationships/hyperlink" Target="https://x.com/jimesoria/status/1309673136263237633" TargetMode="External"/><Relationship Id="rId1101" Type="http://schemas.openxmlformats.org/officeDocument/2006/relationships/hyperlink" Target="http://psiquiatria.com" TargetMode="External"/><Relationship Id="rId991" Type="http://schemas.openxmlformats.org/officeDocument/2006/relationships/hyperlink" Target="https://pbs.twimg.com/profile_banners/37756283/1503915293" TargetMode="External"/><Relationship Id="rId1102" Type="http://schemas.openxmlformats.org/officeDocument/2006/relationships/hyperlink" Target="https://pbs.twimg.com/profile_images/1263022901680394242/IsM_QIKj_normal.jpg" TargetMode="External"/><Relationship Id="rId84" Type="http://schemas.openxmlformats.org/officeDocument/2006/relationships/hyperlink" Target="https://x.com/tdahworld/status/1921301879394279546" TargetMode="External"/><Relationship Id="rId83" Type="http://schemas.openxmlformats.org/officeDocument/2006/relationships/hyperlink" Target="https://pbs.twimg.com/media/GsIVx5_W8AEHYLK.jpg" TargetMode="External"/><Relationship Id="rId86" Type="http://schemas.openxmlformats.org/officeDocument/2006/relationships/hyperlink" Target="https://pbs.twimg.com/profile_banners/1576614038204825601/1664812670" TargetMode="External"/><Relationship Id="rId85" Type="http://schemas.openxmlformats.org/officeDocument/2006/relationships/hyperlink" Target="https://pbs.twimg.com/profile_images/1576614117342953472/IvYN8QgA_normal.png" TargetMode="External"/><Relationship Id="rId88" Type="http://schemas.openxmlformats.org/officeDocument/2006/relationships/hyperlink" Target="https://x.com/tdahworld/status/1916631409596272655" TargetMode="External"/><Relationship Id="rId87" Type="http://schemas.openxmlformats.org/officeDocument/2006/relationships/hyperlink" Target="https://tdah.world/tdah-casamento-crencas-papeis-de-genero-pioram-ajudam/" TargetMode="External"/><Relationship Id="rId89" Type="http://schemas.openxmlformats.org/officeDocument/2006/relationships/hyperlink" Target="https://pbs.twimg.com/profile_images/1576614117342953472/IvYN8QgA_normal.png" TargetMode="External"/><Relationship Id="rId709" Type="http://schemas.openxmlformats.org/officeDocument/2006/relationships/hyperlink" Target="https://pbs.twimg.com/profile_images/1477276471878209541/954UqXt6_normal.jpg" TargetMode="External"/><Relationship Id="rId708" Type="http://schemas.openxmlformats.org/officeDocument/2006/relationships/hyperlink" Target="https://x.com/dara_coch/status/1510723073502236673" TargetMode="External"/><Relationship Id="rId707" Type="http://schemas.openxmlformats.org/officeDocument/2006/relationships/hyperlink" Target="https://pbs.twimg.com/media/FN98ee7XwAMtlHs.jpg" TargetMode="External"/><Relationship Id="rId949" Type="http://schemas.openxmlformats.org/officeDocument/2006/relationships/hyperlink" Target="https://pbs.twimg.com/profile_banners/804121267121045504/1592837143" TargetMode="External"/><Relationship Id="rId706" Type="http://schemas.openxmlformats.org/officeDocument/2006/relationships/hyperlink" Target="https://pbs.twimg.com/profile_banners/1048863479506067456/1704694222" TargetMode="External"/><Relationship Id="rId948" Type="http://schemas.openxmlformats.org/officeDocument/2006/relationships/hyperlink" Target="https://pbs.twimg.com/profile_images/1457299324375814147/-JjPKGdi_normal.jpg" TargetMode="External"/><Relationship Id="rId80" Type="http://schemas.openxmlformats.org/officeDocument/2006/relationships/hyperlink" Target="https://x.com/fosorioescritor/status/1928127540419264596" TargetMode="External"/><Relationship Id="rId82" Type="http://schemas.openxmlformats.org/officeDocument/2006/relationships/hyperlink" Target="https://www.instagram.com/reel/DKPlFw0xZH7/?igsh=dGg2YWp4YXJkcTVj" TargetMode="External"/><Relationship Id="rId81" Type="http://schemas.openxmlformats.org/officeDocument/2006/relationships/hyperlink" Target="https://pbs.twimg.com/profile_images/1587146243175751686/IZsvaxA6_normal.jpg" TargetMode="External"/><Relationship Id="rId701" Type="http://schemas.openxmlformats.org/officeDocument/2006/relationships/hyperlink" Target="https://pbs.twimg.com/profile_images/1845914071033315328/h5nNVZ_-_normal.jpg" TargetMode="External"/><Relationship Id="rId943" Type="http://schemas.openxmlformats.org/officeDocument/2006/relationships/hyperlink" Target="https://x.com/feaadah/status/1363076192539131908" TargetMode="External"/><Relationship Id="rId700" Type="http://schemas.openxmlformats.org/officeDocument/2006/relationships/hyperlink" Target="https://x.com/CarlosAlmada/status/1516047384689745931" TargetMode="External"/><Relationship Id="rId942" Type="http://schemas.openxmlformats.org/officeDocument/2006/relationships/hyperlink" Target="https://pbs.twimg.com/media/EuredzxXUAADTOG.jpg,https://pbs.twimg.com/media/Eured14XcAMuMhE.jpg,https://pbs.twimg.com/media/EuredzvWgAInXou.jpg,https://pbs.twimg.com/media/EuredzsXEAE_1Iw.jpg" TargetMode="External"/><Relationship Id="rId941" Type="http://schemas.openxmlformats.org/officeDocument/2006/relationships/hyperlink" Target="https://pbs.twimg.com/profile_banners/518324519/1761211140" TargetMode="External"/><Relationship Id="rId940" Type="http://schemas.openxmlformats.org/officeDocument/2006/relationships/hyperlink" Target="https://pbs.twimg.com/profile_images/1976590156187512832/_VGxXwTK_normal.jpg" TargetMode="External"/><Relationship Id="rId705" Type="http://schemas.openxmlformats.org/officeDocument/2006/relationships/hyperlink" Target="https://pbs.twimg.com/profile_images/1744240102245568514/8KDBqomS_normal.jpg" TargetMode="External"/><Relationship Id="rId947" Type="http://schemas.openxmlformats.org/officeDocument/2006/relationships/hyperlink" Target="https://x.com/castelosoler/status/1361321413752324100" TargetMode="External"/><Relationship Id="rId704" Type="http://schemas.openxmlformats.org/officeDocument/2006/relationships/hyperlink" Target="https://x.com/ahidabizkaia/status/1516000502441553925" TargetMode="External"/><Relationship Id="rId946" Type="http://schemas.openxmlformats.org/officeDocument/2006/relationships/hyperlink" Target="https://pbs.twimg.com/media/Euqea4UWQAA7-QU.jpg,https://pbs.twimg.com/media/Euqea5RXEAMTMEX.jpg,https://pbs.twimg.com/media/Euqea4WXIAAVWva.jpg,https://pbs.twimg.com/media/Euqea4rXYAIOr-R.jpg" TargetMode="External"/><Relationship Id="rId703" Type="http://schemas.openxmlformats.org/officeDocument/2006/relationships/hyperlink" Target="https://www.instagram.com/p/CcfoY_3LF73/?igshid=YTgzYjQ4ZTY=" TargetMode="External"/><Relationship Id="rId945" Type="http://schemas.openxmlformats.org/officeDocument/2006/relationships/hyperlink" Target="https://pbs.twimg.com/profile_banners/518324519/1761211140" TargetMode="External"/><Relationship Id="rId702" Type="http://schemas.openxmlformats.org/officeDocument/2006/relationships/hyperlink" Target="https://pbs.twimg.com/profile_banners/29438265/1764250272" TargetMode="External"/><Relationship Id="rId944" Type="http://schemas.openxmlformats.org/officeDocument/2006/relationships/hyperlink" Target="https://pbs.twimg.com/profile_images/1976590156187512832/_VGxXwTK_normal.jpg" TargetMode="External"/><Relationship Id="rId73" Type="http://schemas.openxmlformats.org/officeDocument/2006/relationships/hyperlink" Target="https://pbs.twimg.com/profile_images/1894024573726650368/cIE4qxUn_normal.jpg" TargetMode="External"/><Relationship Id="rId72" Type="http://schemas.openxmlformats.org/officeDocument/2006/relationships/hyperlink" Target="https://x.com/TvAztecaLaguna/status/1936896988295164328" TargetMode="External"/><Relationship Id="rId75" Type="http://schemas.openxmlformats.org/officeDocument/2006/relationships/hyperlink" Target="https://pbs.twimg.com/media/GuE9i7Da8AE8Fek.jpg" TargetMode="External"/><Relationship Id="rId74" Type="http://schemas.openxmlformats.org/officeDocument/2006/relationships/hyperlink" Target="https://pbs.twimg.com/profile_banners/465180497/1740405619" TargetMode="External"/><Relationship Id="rId77" Type="http://schemas.openxmlformats.org/officeDocument/2006/relationships/hyperlink" Target="https://pbs.twimg.com/profile_images/1808984803271688192/62kG4FMX_normal.jpg" TargetMode="External"/><Relationship Id="rId76" Type="http://schemas.openxmlformats.org/officeDocument/2006/relationships/hyperlink" Target="https://x.com/mariacedav/status/1930307799717666955" TargetMode="External"/><Relationship Id="rId79" Type="http://schemas.openxmlformats.org/officeDocument/2006/relationships/hyperlink" Target="https://pbs.twimg.com/amplify_video_thumb/1763236323505086464/img/FMg0p935qvHEQKfh.jpg" TargetMode="External"/><Relationship Id="rId78" Type="http://schemas.openxmlformats.org/officeDocument/2006/relationships/hyperlink" Target="https://pbs.twimg.com/profile_banners/333054975/1721085952" TargetMode="External"/><Relationship Id="rId939" Type="http://schemas.openxmlformats.org/officeDocument/2006/relationships/hyperlink" Target="https://x.com/feaadah/status/1363146451103191044" TargetMode="External"/><Relationship Id="rId938" Type="http://schemas.openxmlformats.org/officeDocument/2006/relationships/hyperlink" Target="https://pbs.twimg.com/media/Euqea4UWQAA7-QU.jpg,https://pbs.twimg.com/media/Euqea4WXIAAVWva.jpg,https://pbs.twimg.com/media/Euqea4rXYAIOr-R.jpg,https://pbs.twimg.com/media/Euqea5RXEAMTMEX.jpg" TargetMode="External"/><Relationship Id="rId937" Type="http://schemas.openxmlformats.org/officeDocument/2006/relationships/hyperlink" Target="https://pbs.twimg.com/profile_banners/937041894198136838/1752248588" TargetMode="External"/><Relationship Id="rId71" Type="http://schemas.openxmlformats.org/officeDocument/2006/relationships/hyperlink" Target="https://www.aztecalaguna.com/noticias/videos/tdah-que-es-y-por-que-es-un-tema-en-tendencia" TargetMode="External"/><Relationship Id="rId70" Type="http://schemas.openxmlformats.org/officeDocument/2006/relationships/hyperlink" Target="https://pbs.twimg.com/profile_banners/465180497/1740405619" TargetMode="External"/><Relationship Id="rId932" Type="http://schemas.openxmlformats.org/officeDocument/2006/relationships/hyperlink" Target="https://x.com/vivilemes7/status/1364660271214641159" TargetMode="External"/><Relationship Id="rId931" Type="http://schemas.openxmlformats.org/officeDocument/2006/relationships/hyperlink" Target="https://pbs.twimg.com/profile_banners/418745717/1505846641" TargetMode="External"/><Relationship Id="rId930" Type="http://schemas.openxmlformats.org/officeDocument/2006/relationships/hyperlink" Target="https://pbs.twimg.com/profile_images/913770379277193221/wRVT6qSz_normal.jpg" TargetMode="External"/><Relationship Id="rId936" Type="http://schemas.openxmlformats.org/officeDocument/2006/relationships/hyperlink" Target="https://pbs.twimg.com/profile_images/1623821709865283584/Yu6OfLCD_normal.jpg" TargetMode="External"/><Relationship Id="rId935" Type="http://schemas.openxmlformats.org/officeDocument/2006/relationships/hyperlink" Target="https://x.com/adahigi/status/1363180877816225793" TargetMode="External"/><Relationship Id="rId934" Type="http://schemas.openxmlformats.org/officeDocument/2006/relationships/hyperlink" Target="https://pbs.twimg.com/profile_banners/418745717/1505846641" TargetMode="External"/><Relationship Id="rId933" Type="http://schemas.openxmlformats.org/officeDocument/2006/relationships/hyperlink" Target="https://pbs.twimg.com/profile_images/913770379277193221/wRVT6qSz_normal.jpg" TargetMode="External"/><Relationship Id="rId62" Type="http://schemas.openxmlformats.org/officeDocument/2006/relationships/hyperlink" Target="https://x.com/TDAH_BuenosDias/status/1939945818557227132" TargetMode="External"/><Relationship Id="rId61" Type="http://schemas.openxmlformats.org/officeDocument/2006/relationships/hyperlink" Target="https://video.twimg.com/amplify_video/1942264894490808320/vid/avc1/720x1280/g08KkOWnwILz_vXX.mp4?tag=14" TargetMode="External"/><Relationship Id="rId64" Type="http://schemas.openxmlformats.org/officeDocument/2006/relationships/hyperlink" Target="https://pbs.twimg.com/profile_banners/1817536189911482368/1725628460" TargetMode="External"/><Relationship Id="rId63" Type="http://schemas.openxmlformats.org/officeDocument/2006/relationships/hyperlink" Target="https://pbs.twimg.com/profile_images/1846469044288843777/1QeBrLLI_normal.jpg" TargetMode="External"/><Relationship Id="rId66" Type="http://schemas.openxmlformats.org/officeDocument/2006/relationships/hyperlink" Target="https://pbs.twimg.com/amplify_video_thumb/1939760661354987520/img/xM06VfIRN8By7fIk.jpg" TargetMode="External"/><Relationship Id="rId65" Type="http://schemas.openxmlformats.org/officeDocument/2006/relationships/hyperlink" Target="https://go.ivoox.com/rf/133566312" TargetMode="External"/><Relationship Id="rId68" Type="http://schemas.openxmlformats.org/officeDocument/2006/relationships/hyperlink" Target="https://x.com/TvAztecaLaguna/status/1936922150654619860" TargetMode="External"/><Relationship Id="rId67" Type="http://schemas.openxmlformats.org/officeDocument/2006/relationships/hyperlink" Target="https://video.twimg.com/amplify_video/1939760661354987520/vid/avc1/720x1280/7LMMKU6nRN_n1Shn.mp4?tag=14" TargetMode="External"/><Relationship Id="rId729" Type="http://schemas.openxmlformats.org/officeDocument/2006/relationships/hyperlink" Target="https://pbs.twimg.com/profile_banners/937041894198136838/1752248588" TargetMode="External"/><Relationship Id="rId728" Type="http://schemas.openxmlformats.org/officeDocument/2006/relationships/hyperlink" Target="https://pbs.twimg.com/profile_images/1623821709865283584/Yu6OfLCD_normal.jpg" TargetMode="External"/><Relationship Id="rId60" Type="http://schemas.openxmlformats.org/officeDocument/2006/relationships/hyperlink" Target="https://pbs.twimg.com/amplify_video_thumb/1942264894490808320/img/ICFSk8bvYMV4iikf.jpg" TargetMode="External"/><Relationship Id="rId723" Type="http://schemas.openxmlformats.org/officeDocument/2006/relationships/hyperlink" Target="https://x.com/UrkizuMaite/status/1509839052928864258" TargetMode="External"/><Relationship Id="rId965" Type="http://schemas.openxmlformats.org/officeDocument/2006/relationships/hyperlink" Target="https://pbs.twimg.com/profile_banners/2571424633/1563458970" TargetMode="External"/><Relationship Id="rId722" Type="http://schemas.openxmlformats.org/officeDocument/2006/relationships/hyperlink" Target="https://youtu.be/d_1JduRnX4w" TargetMode="External"/><Relationship Id="rId964" Type="http://schemas.openxmlformats.org/officeDocument/2006/relationships/hyperlink" Target="https://pbs.twimg.com/profile_images/478604221042810881/F_e2hv3l_normal.png" TargetMode="External"/><Relationship Id="rId721" Type="http://schemas.openxmlformats.org/officeDocument/2006/relationships/hyperlink" Target="https://pbs.twimg.com/profile_banners/849149214915428352/1648072578" TargetMode="External"/><Relationship Id="rId963" Type="http://schemas.openxmlformats.org/officeDocument/2006/relationships/hyperlink" Target="https://x.com/unidadfocus/status/1336372415841136642" TargetMode="External"/><Relationship Id="rId720" Type="http://schemas.openxmlformats.org/officeDocument/2006/relationships/hyperlink" Target="https://pbs.twimg.com/profile_images/1579278801250525184/554eDvFj_normal.jpg" TargetMode="External"/><Relationship Id="rId962" Type="http://schemas.openxmlformats.org/officeDocument/2006/relationships/hyperlink" Target="https://www.instagram.com/p/CIzAxUpHzKb/?igshid=mhwqs7x9fk9x" TargetMode="External"/><Relationship Id="rId727" Type="http://schemas.openxmlformats.org/officeDocument/2006/relationships/hyperlink" Target="https://x.com/adahigi/status/1509804916419747841" TargetMode="External"/><Relationship Id="rId969" Type="http://schemas.openxmlformats.org/officeDocument/2006/relationships/hyperlink" Target="https://pbs.twimg.com/profile_banners/1127581082986192896/1660506971" TargetMode="External"/><Relationship Id="rId726" Type="http://schemas.openxmlformats.org/officeDocument/2006/relationships/hyperlink" Target="https://pbs.twimg.com/media/FPPjN4LXwAMpwjj.jpg" TargetMode="External"/><Relationship Id="rId968" Type="http://schemas.openxmlformats.org/officeDocument/2006/relationships/hyperlink" Target="https://pbs.twimg.com/profile_images/1477276471878209541/954UqXt6_normal.jpg" TargetMode="External"/><Relationship Id="rId725" Type="http://schemas.openxmlformats.org/officeDocument/2006/relationships/hyperlink" Target="https://pbs.twimg.com/profile_banners/2809175032/1729973824" TargetMode="External"/><Relationship Id="rId967" Type="http://schemas.openxmlformats.org/officeDocument/2006/relationships/hyperlink" Target="https://x.com/dara_coch/status/1325538521302634498" TargetMode="External"/><Relationship Id="rId724" Type="http://schemas.openxmlformats.org/officeDocument/2006/relationships/hyperlink" Target="https://pbs.twimg.com/profile_images/1589720119382532096/jwdKnhIZ_normal.jpg" TargetMode="External"/><Relationship Id="rId966" Type="http://schemas.openxmlformats.org/officeDocument/2006/relationships/hyperlink" Target="https://www.instagram.com/p/CIi9rIPDal4/?igshid=qz8nv8i6p2vy" TargetMode="External"/><Relationship Id="rId69" Type="http://schemas.openxmlformats.org/officeDocument/2006/relationships/hyperlink" Target="https://pbs.twimg.com/profile_images/1894024573726650368/cIE4qxUn_normal.jpg" TargetMode="External"/><Relationship Id="rId961" Type="http://schemas.openxmlformats.org/officeDocument/2006/relationships/hyperlink" Target="https://pbs.twimg.com/profile_images/486348880/twitterProfilePhoto_normal.jpg" TargetMode="External"/><Relationship Id="rId960" Type="http://schemas.openxmlformats.org/officeDocument/2006/relationships/hyperlink" Target="https://x.com/JulyN1978/status/1338631031671361538" TargetMode="External"/><Relationship Id="rId51" Type="http://schemas.openxmlformats.org/officeDocument/2006/relationships/hyperlink" Target="https://pbs.twimg.com/amplify_video_thumb/1961479757796642816/img/S9cdQfQw8ERo3Afo.jpg" TargetMode="External"/><Relationship Id="rId50" Type="http://schemas.openxmlformats.org/officeDocument/2006/relationships/hyperlink" Target="https://pbs.twimg.com/profile_images/1745094281449103360/Len2zkMK_normal.jpg" TargetMode="External"/><Relationship Id="rId53" Type="http://schemas.openxmlformats.org/officeDocument/2006/relationships/hyperlink" Target="https://x.com/landysJairPsic/status/1961402797296947309" TargetMode="External"/><Relationship Id="rId52" Type="http://schemas.openxmlformats.org/officeDocument/2006/relationships/hyperlink" Target="https://video.twimg.com/amplify_video/1961479757796642816/vid/avc1/720x1280/NYMuteQXr9Qr3ew1.mp4?tag=14" TargetMode="External"/><Relationship Id="rId55" Type="http://schemas.openxmlformats.org/officeDocument/2006/relationships/hyperlink" Target="https://pbs.twimg.com/amplify_video_thumb/1961402535467487232/img/xm1Wpdz8FoSy8wro.jpg" TargetMode="External"/><Relationship Id="rId54" Type="http://schemas.openxmlformats.org/officeDocument/2006/relationships/hyperlink" Target="https://pbs.twimg.com/profile_images/1745094281449103360/Len2zkMK_normal.jpg" TargetMode="External"/><Relationship Id="rId57" Type="http://schemas.openxmlformats.org/officeDocument/2006/relationships/hyperlink" Target="https://x.com/TDAH_BuenosDias/status/1944307056548208661" TargetMode="External"/><Relationship Id="rId56" Type="http://schemas.openxmlformats.org/officeDocument/2006/relationships/hyperlink" Target="https://video.twimg.com/amplify_video/1961402535467487232/vid/avc1/720x1280/wzH2YVSV0Kv78x8W.mp4?tag=14" TargetMode="External"/><Relationship Id="rId719" Type="http://schemas.openxmlformats.org/officeDocument/2006/relationships/hyperlink" Target="https://x.com/tdahburgos/status/1510006692112744459" TargetMode="External"/><Relationship Id="rId718" Type="http://schemas.openxmlformats.org/officeDocument/2006/relationships/hyperlink" Target="https://pbs.twimg.com/media/FPPi_uaWUBA9SgB.jpg,https://pbs.twimg.com/media/FPPi_ubWUAcdrs1.jpg" TargetMode="External"/><Relationship Id="rId717" Type="http://schemas.openxmlformats.org/officeDocument/2006/relationships/hyperlink" Target="https://pbs.twimg.com/profile_banners/1048863479506067456/1704694222" TargetMode="External"/><Relationship Id="rId959" Type="http://schemas.openxmlformats.org/officeDocument/2006/relationships/hyperlink" Target="https://pbs.twimg.com/media/Ep8GW1rWwAEJUd7.jpg" TargetMode="External"/><Relationship Id="rId712" Type="http://schemas.openxmlformats.org/officeDocument/2006/relationships/hyperlink" Target="https://pbs.twimg.com/profile_images/1477276471878209541/954UqXt6_normal.jpg" TargetMode="External"/><Relationship Id="rId954" Type="http://schemas.openxmlformats.org/officeDocument/2006/relationships/hyperlink" Target="https://pbs.twimg.com/profile_images/1159646366982909953/NmzidvP4_normal.jpg" TargetMode="External"/><Relationship Id="rId711" Type="http://schemas.openxmlformats.org/officeDocument/2006/relationships/hyperlink" Target="https://x.com/dara_coch/status/1510660656030171138" TargetMode="External"/><Relationship Id="rId953" Type="http://schemas.openxmlformats.org/officeDocument/2006/relationships/hyperlink" Target="https://x.com/LarahBezerra_/status/1347156388544458752" TargetMode="External"/><Relationship Id="rId710" Type="http://schemas.openxmlformats.org/officeDocument/2006/relationships/hyperlink" Target="https://pbs.twimg.com/profile_banners/1127581082986192896/1660506971" TargetMode="External"/><Relationship Id="rId952" Type="http://schemas.openxmlformats.org/officeDocument/2006/relationships/hyperlink" Target="https://pbs.twimg.com/profile_banners/286492231/1713680182" TargetMode="External"/><Relationship Id="rId951" Type="http://schemas.openxmlformats.org/officeDocument/2006/relationships/hyperlink" Target="https://pbs.twimg.com/profile_images/1787612195380977664/IOp74iot_normal.jpg" TargetMode="External"/><Relationship Id="rId716" Type="http://schemas.openxmlformats.org/officeDocument/2006/relationships/hyperlink" Target="https://pbs.twimg.com/profile_images/1744240102245568514/8KDBqomS_normal.jpg" TargetMode="External"/><Relationship Id="rId958" Type="http://schemas.openxmlformats.org/officeDocument/2006/relationships/hyperlink" Target="https://pbs.twimg.com/profile_banners/3341640273/1649862663" TargetMode="External"/><Relationship Id="rId715" Type="http://schemas.openxmlformats.org/officeDocument/2006/relationships/hyperlink" Target="https://x.com/ahidabizkaia/status/1510190180967370754" TargetMode="External"/><Relationship Id="rId957" Type="http://schemas.openxmlformats.org/officeDocument/2006/relationships/hyperlink" Target="https://pbs.twimg.com/profile_images/1522157600514715648/UYDjDRjy_normal.jpg" TargetMode="External"/><Relationship Id="rId714" Type="http://schemas.openxmlformats.org/officeDocument/2006/relationships/hyperlink" Target="https://pbs.twimg.com/media/FPbx3FVX0AQnou_.jpg" TargetMode="External"/><Relationship Id="rId956" Type="http://schemas.openxmlformats.org/officeDocument/2006/relationships/hyperlink" Target="https://x.com/adahi_es/status/1341798815058317312" TargetMode="External"/><Relationship Id="rId713" Type="http://schemas.openxmlformats.org/officeDocument/2006/relationships/hyperlink" Target="https://pbs.twimg.com/profile_banners/1127581082986192896/1660506971" TargetMode="External"/><Relationship Id="rId955" Type="http://schemas.openxmlformats.org/officeDocument/2006/relationships/hyperlink" Target="https://pbs.twimg.com/profile_banners/2774265712/1554963594" TargetMode="External"/><Relationship Id="rId59" Type="http://schemas.openxmlformats.org/officeDocument/2006/relationships/hyperlink" Target="https://pbs.twimg.com/profile_banners/1817536189911482368/1725628460" TargetMode="External"/><Relationship Id="rId58" Type="http://schemas.openxmlformats.org/officeDocument/2006/relationships/hyperlink" Target="https://pbs.twimg.com/profile_images/1846469044288843777/1QeBrLLI_normal.jpg" TargetMode="External"/><Relationship Id="rId950" Type="http://schemas.openxmlformats.org/officeDocument/2006/relationships/hyperlink" Target="https://x.com/ZuzuExiste/status/1353453929988845570" TargetMode="External"/><Relationship Id="rId590" Type="http://schemas.openxmlformats.org/officeDocument/2006/relationships/hyperlink" Target="https://pbs.twimg.com/profile_images/1641168135607795712/IQn_RLbi_normal.jpg" TargetMode="External"/><Relationship Id="rId107" Type="http://schemas.openxmlformats.org/officeDocument/2006/relationships/hyperlink" Target="https://pbs.twimg.com/profile_banners/333054975/1721085952" TargetMode="External"/><Relationship Id="rId349" Type="http://schemas.openxmlformats.org/officeDocument/2006/relationships/hyperlink" Target="https://video.twimg.com/ext_tw_video/1696122381851361280/pu/vid/720x1280/jpzfvC0CsCTKoqtm.mp4?tag=12" TargetMode="External"/><Relationship Id="rId106" Type="http://schemas.openxmlformats.org/officeDocument/2006/relationships/hyperlink" Target="https://pbs.twimg.com/profile_images/1808984803271688192/62kG4FMX_normal.jpg" TargetMode="External"/><Relationship Id="rId348" Type="http://schemas.openxmlformats.org/officeDocument/2006/relationships/hyperlink" Target="https://pbs.twimg.com/ext_tw_video_thumb/1696122381851361280/pu/img/Ikf6BQBdI_Eg3CzD.jpg" TargetMode="External"/><Relationship Id="rId105" Type="http://schemas.openxmlformats.org/officeDocument/2006/relationships/hyperlink" Target="https://x.com/mariacedav/status/1886462982638522702" TargetMode="External"/><Relationship Id="rId347" Type="http://schemas.openxmlformats.org/officeDocument/2006/relationships/hyperlink" Target="https://pbs.twimg.com/profile_banners/1680006275403268096/1689420949" TargetMode="External"/><Relationship Id="rId589" Type="http://schemas.openxmlformats.org/officeDocument/2006/relationships/hyperlink" Target="https://x.com/duda_vcesqueceu/status/1550892291119890434" TargetMode="External"/><Relationship Id="rId104" Type="http://schemas.openxmlformats.org/officeDocument/2006/relationships/hyperlink" Target="https://www.linkedin.com/pulse/tu-cerebro-est%25C3%25A1-dise%25C3%25B1ado-para-distraerse-pero-puedes-como-s%25C3%25A1nchez-a3qhf" TargetMode="External"/><Relationship Id="rId346" Type="http://schemas.openxmlformats.org/officeDocument/2006/relationships/hyperlink" Target="https://pbs.twimg.com/profile_images/1680006468005777411/9RRFyb-6_normal.jpg" TargetMode="External"/><Relationship Id="rId588" Type="http://schemas.openxmlformats.org/officeDocument/2006/relationships/hyperlink" Target="https://pbs.twimg.com/profile_banners/16407741/1653499712" TargetMode="External"/><Relationship Id="rId109" Type="http://schemas.openxmlformats.org/officeDocument/2006/relationships/hyperlink" Target="https://pbs.twimg.com/profile_images/1808984803271688192/62kG4FMX_normal.jpg" TargetMode="External"/><Relationship Id="rId1170" Type="http://schemas.openxmlformats.org/officeDocument/2006/relationships/hyperlink" Target="https://pbs.twimg.com/profile_banners/3329875162/1743190833" TargetMode="External"/><Relationship Id="rId108" Type="http://schemas.openxmlformats.org/officeDocument/2006/relationships/hyperlink" Target="https://x.com/mariacedav/status/1883945425029456188" TargetMode="External"/><Relationship Id="rId1171" Type="http://schemas.openxmlformats.org/officeDocument/2006/relationships/hyperlink" Target="https://pbs.twimg.com/media/D9U1cwSXYAAdwE0.jpg" TargetMode="External"/><Relationship Id="rId341" Type="http://schemas.openxmlformats.org/officeDocument/2006/relationships/hyperlink" Target="https://pbs.twimg.com/media/F8CeSxkWwAA6N0G.jpg" TargetMode="External"/><Relationship Id="rId583" Type="http://schemas.openxmlformats.org/officeDocument/2006/relationships/hyperlink" Target="http://conte.ai" TargetMode="External"/><Relationship Id="rId1172" Type="http://schemas.openxmlformats.org/officeDocument/2006/relationships/hyperlink" Target="https://x.com/mirelacardoso/status/1139283857235226625" TargetMode="External"/><Relationship Id="rId340" Type="http://schemas.openxmlformats.org/officeDocument/2006/relationships/hyperlink" Target="https://pbs.twimg.com/profile_banners/1707652002/1761091200" TargetMode="External"/><Relationship Id="rId582" Type="http://schemas.openxmlformats.org/officeDocument/2006/relationships/hyperlink" Target="https://pbs.twimg.com/profile_banners/4017379276/1661957865" TargetMode="External"/><Relationship Id="rId1173" Type="http://schemas.openxmlformats.org/officeDocument/2006/relationships/hyperlink" Target="https://pbs.twimg.com/profile_images/1701285525976461312/nmkcHmm-_normal.jpg" TargetMode="External"/><Relationship Id="rId581" Type="http://schemas.openxmlformats.org/officeDocument/2006/relationships/hyperlink" Target="https://pbs.twimg.com/profile_images/898853589266944000/AjZBTIgg_normal.jpg" TargetMode="External"/><Relationship Id="rId1174" Type="http://schemas.openxmlformats.org/officeDocument/2006/relationships/hyperlink" Target="https://pbs.twimg.com/profile_banners/35372385/1673107849" TargetMode="External"/><Relationship Id="rId580" Type="http://schemas.openxmlformats.org/officeDocument/2006/relationships/hyperlink" Target="https://x.com/LogopediaYMas/status/1551179247552761858" TargetMode="External"/><Relationship Id="rId1175" Type="http://schemas.openxmlformats.org/officeDocument/2006/relationships/hyperlink" Target="https://www.instagram.com/mirelabcardoso/p/ByqkLTZgJFJDTe1I-XJ5FNG1dx2xlPewVQU7qI0/?igshid=17nwssfkp6xr" TargetMode="External"/><Relationship Id="rId103" Type="http://schemas.openxmlformats.org/officeDocument/2006/relationships/hyperlink" Target="https://pbs.twimg.com/profile_banners/747200574/1715093113" TargetMode="External"/><Relationship Id="rId345" Type="http://schemas.openxmlformats.org/officeDocument/2006/relationships/hyperlink" Target="https://x.com/psicologoAndreD/status/1696122410204819618" TargetMode="External"/><Relationship Id="rId587" Type="http://schemas.openxmlformats.org/officeDocument/2006/relationships/hyperlink" Target="https://pbs.twimg.com/profile_images/1524056616370376704/jUKLwu36_normal.jpg" TargetMode="External"/><Relationship Id="rId1176" Type="http://schemas.openxmlformats.org/officeDocument/2006/relationships/hyperlink" Target="https://x.com/catia_pipoca/status/1131973044354932737" TargetMode="External"/><Relationship Id="rId102" Type="http://schemas.openxmlformats.org/officeDocument/2006/relationships/hyperlink" Target="https://pbs.twimg.com/profile_images/1787856212228255746/mo4e7JLC_normal.jpg" TargetMode="External"/><Relationship Id="rId344" Type="http://schemas.openxmlformats.org/officeDocument/2006/relationships/hyperlink" Target="https://pbs.twimg.com/profile_banners/1179101875804803072/1701272728" TargetMode="External"/><Relationship Id="rId586" Type="http://schemas.openxmlformats.org/officeDocument/2006/relationships/hyperlink" Target="https://x.com/ffdalles/status/1550972801825243138" TargetMode="External"/><Relationship Id="rId1177" Type="http://schemas.openxmlformats.org/officeDocument/2006/relationships/hyperlink" Target="https://pbs.twimg.com/profile_images/1598333301860843520/gJH29YjF_normal.jpg" TargetMode="External"/><Relationship Id="rId101" Type="http://schemas.openxmlformats.org/officeDocument/2006/relationships/hyperlink" Target="https://x.com/soyblancamery/status/1900317401549353215" TargetMode="External"/><Relationship Id="rId343" Type="http://schemas.openxmlformats.org/officeDocument/2006/relationships/hyperlink" Target="https://pbs.twimg.com/profile_images/1939500008518107136/J1rqEid3_normal.jpg" TargetMode="External"/><Relationship Id="rId585" Type="http://schemas.openxmlformats.org/officeDocument/2006/relationships/hyperlink" Target="https://pbs.twimg.com/media/FYblTjPXkAIWFZD.jpg" TargetMode="External"/><Relationship Id="rId1178" Type="http://schemas.openxmlformats.org/officeDocument/2006/relationships/hyperlink" Target="https://pbs.twimg.com/profile_banners/194657190/1582063989" TargetMode="External"/><Relationship Id="rId100" Type="http://schemas.openxmlformats.org/officeDocument/2006/relationships/hyperlink" Target="https://www.instagram.com/reel/DHmOr_ouUoq/?igsh=MWxoNzhkenVyc2FpYg==" TargetMode="External"/><Relationship Id="rId342" Type="http://schemas.openxmlformats.org/officeDocument/2006/relationships/hyperlink" Target="https://x.com/marggiemae1/status/1711085440852214248" TargetMode="External"/><Relationship Id="rId584" Type="http://schemas.openxmlformats.org/officeDocument/2006/relationships/hyperlink" Target="https://www.logopediaymas.es/blog/tdah/" TargetMode="External"/><Relationship Id="rId1179" Type="http://schemas.openxmlformats.org/officeDocument/2006/relationships/hyperlink" Target="https://www.instagram.com/p/Bx2nk5MFtCW/?igshid=y96c0u3ply9j" TargetMode="External"/><Relationship Id="rId1169" Type="http://schemas.openxmlformats.org/officeDocument/2006/relationships/hyperlink" Target="https://pbs.twimg.com/profile_images/1864701137938419713/rSYj-mMB_normal.jpg" TargetMode="External"/><Relationship Id="rId338" Type="http://schemas.openxmlformats.org/officeDocument/2006/relationships/hyperlink" Target="https://x.com/ContadorFred/status/1711542022320836969" TargetMode="External"/><Relationship Id="rId337" Type="http://schemas.openxmlformats.org/officeDocument/2006/relationships/hyperlink" Target="https://pbs.twimg.com/media/F-Go977WgAAFj5J.jpg" TargetMode="External"/><Relationship Id="rId579" Type="http://schemas.openxmlformats.org/officeDocument/2006/relationships/hyperlink" Target="https://www.instagram.com/p/CgpzshgOHoI/?igshid=YTgzYjQ4ZTY=" TargetMode="External"/><Relationship Id="rId336" Type="http://schemas.openxmlformats.org/officeDocument/2006/relationships/hyperlink" Target="https://pbs.twimg.com/profile_banners/231436622/1690362784" TargetMode="External"/><Relationship Id="rId578" Type="http://schemas.openxmlformats.org/officeDocument/2006/relationships/hyperlink" Target="https://pbs.twimg.com/profile_images/1531789111907983367/wiVrw-qw_normal.jpg" TargetMode="External"/><Relationship Id="rId335" Type="http://schemas.openxmlformats.org/officeDocument/2006/relationships/hyperlink" Target="https://pbs.twimg.com/profile_images/1684129650602041344/yJTpw5AR_normal.jpg" TargetMode="External"/><Relationship Id="rId577" Type="http://schemas.openxmlformats.org/officeDocument/2006/relationships/hyperlink" Target="https://x.com/TerapiaAlmas/status/1553508421952995329" TargetMode="External"/><Relationship Id="rId339" Type="http://schemas.openxmlformats.org/officeDocument/2006/relationships/hyperlink" Target="https://pbs.twimg.com/profile_images/1965966787448541184/cpAx4uBV_normal.jpg" TargetMode="External"/><Relationship Id="rId1160" Type="http://schemas.openxmlformats.org/officeDocument/2006/relationships/hyperlink" Target="https://pbs.twimg.com/media/EBj3sycWkAAuNC-.jpg" TargetMode="External"/><Relationship Id="rId330" Type="http://schemas.openxmlformats.org/officeDocument/2006/relationships/hyperlink" Target="https://x.com/nhathalhihe/status/1734967623195005354" TargetMode="External"/><Relationship Id="rId572" Type="http://schemas.openxmlformats.org/officeDocument/2006/relationships/hyperlink" Target="https://pbs.twimg.com/profile_banners/136119460/1634569030" TargetMode="External"/><Relationship Id="rId1161" Type="http://schemas.openxmlformats.org/officeDocument/2006/relationships/hyperlink" Target="https://x.com/PsicoLearn/status/1159948886162714625" TargetMode="External"/><Relationship Id="rId571" Type="http://schemas.openxmlformats.org/officeDocument/2006/relationships/hyperlink" Target="https://pbs.twimg.com/profile_images/1450113723172102149/8CQaqAg3_normal.jpg" TargetMode="External"/><Relationship Id="rId1162" Type="http://schemas.openxmlformats.org/officeDocument/2006/relationships/hyperlink" Target="https://pbs.twimg.com/profile_images/1178747573743624195/kaOJjXih_normal.jpg" TargetMode="External"/><Relationship Id="rId570" Type="http://schemas.openxmlformats.org/officeDocument/2006/relationships/hyperlink" Target="https://x.com/nhathalhihe/status/1559281862593245184" TargetMode="External"/><Relationship Id="rId1163" Type="http://schemas.openxmlformats.org/officeDocument/2006/relationships/hyperlink" Target="https://pbs.twimg.com/profile_banners/956520531209195520/1569870405" TargetMode="External"/><Relationship Id="rId1164" Type="http://schemas.openxmlformats.org/officeDocument/2006/relationships/hyperlink" Target="https://pbs.twimg.com/media/EBj3WxyXoAYWV8M.jpg" TargetMode="External"/><Relationship Id="rId334" Type="http://schemas.openxmlformats.org/officeDocument/2006/relationships/hyperlink" Target="https://x.com/Josuecico/status/1720842319698575823" TargetMode="External"/><Relationship Id="rId576" Type="http://schemas.openxmlformats.org/officeDocument/2006/relationships/hyperlink" Target="https://pbs.twimg.com/profile_banners/16407741/1653499712" TargetMode="External"/><Relationship Id="rId1165" Type="http://schemas.openxmlformats.org/officeDocument/2006/relationships/hyperlink" Target="https://x.com/AndTdah/status/1150040207741333504" TargetMode="External"/><Relationship Id="rId333" Type="http://schemas.openxmlformats.org/officeDocument/2006/relationships/hyperlink" Target="https://pbs.twimg.com/media/GBPX3AhWwAA3UaE.jpg" TargetMode="External"/><Relationship Id="rId575" Type="http://schemas.openxmlformats.org/officeDocument/2006/relationships/hyperlink" Target="https://pbs.twimg.com/profile_images/1524056616370376704/jUKLwu36_normal.jpg" TargetMode="External"/><Relationship Id="rId1166" Type="http://schemas.openxmlformats.org/officeDocument/2006/relationships/hyperlink" Target="https://pbs.twimg.com/profile_images/1321243396976054273/1R3rfIY9_normal.jpg" TargetMode="External"/><Relationship Id="rId332" Type="http://schemas.openxmlformats.org/officeDocument/2006/relationships/hyperlink" Target="https://pbs.twimg.com/profile_banners/136119460/1634569030" TargetMode="External"/><Relationship Id="rId574" Type="http://schemas.openxmlformats.org/officeDocument/2006/relationships/hyperlink" Target="https://x.com/ffdalles/status/1556444095299686401" TargetMode="External"/><Relationship Id="rId1167" Type="http://schemas.openxmlformats.org/officeDocument/2006/relationships/hyperlink" Target="https://www.instagram.com/p/Bz2_mHbFPdvlf1zHk6s2jhE-1ZaQ4vsm9z5KCM0/?igshid=dpgvrhgfjl5f" TargetMode="External"/><Relationship Id="rId331" Type="http://schemas.openxmlformats.org/officeDocument/2006/relationships/hyperlink" Target="https://pbs.twimg.com/profile_images/1450113723172102149/8CQaqAg3_normal.jpg" TargetMode="External"/><Relationship Id="rId573" Type="http://schemas.openxmlformats.org/officeDocument/2006/relationships/hyperlink" Target="https://pbs.twimg.com/media/FaOuluoXEAMoqMb.jpg" TargetMode="External"/><Relationship Id="rId1168" Type="http://schemas.openxmlformats.org/officeDocument/2006/relationships/hyperlink" Target="https://x.com/apnadah/status/1140876855240798209" TargetMode="External"/><Relationship Id="rId370" Type="http://schemas.openxmlformats.org/officeDocument/2006/relationships/hyperlink" Target="https://lnkd.in/dpQEkneH" TargetMode="External"/><Relationship Id="rId129" Type="http://schemas.openxmlformats.org/officeDocument/2006/relationships/hyperlink" Target="https://pbs.twimg.com/profile_banners/1817536189911482368/1725628460" TargetMode="External"/><Relationship Id="rId128" Type="http://schemas.openxmlformats.org/officeDocument/2006/relationships/hyperlink" Target="https://pbs.twimg.com/profile_images/1846469044288843777/1QeBrLLI_normal.jpg" TargetMode="External"/><Relationship Id="rId127" Type="http://schemas.openxmlformats.org/officeDocument/2006/relationships/hyperlink" Target="https://x.com/TDAH_BuenosDias/status/1864921464660455431" TargetMode="External"/><Relationship Id="rId369" Type="http://schemas.openxmlformats.org/officeDocument/2006/relationships/hyperlink" Target="https://pbs.twimg.com/profile_banners/1531681154/1490880740" TargetMode="External"/><Relationship Id="rId126" Type="http://schemas.openxmlformats.org/officeDocument/2006/relationships/hyperlink" Target="https://pbs.twimg.com/profile_banners/333054975/1721085952" TargetMode="External"/><Relationship Id="rId368" Type="http://schemas.openxmlformats.org/officeDocument/2006/relationships/hyperlink" Target="https://pbs.twimg.com/profile_images/1215282401498337281/io9Dnbhr_normal.jpg" TargetMode="External"/><Relationship Id="rId1190" Type="http://schemas.openxmlformats.org/officeDocument/2006/relationships/hyperlink" Target="https://x.com/jbernacer/status/1126045131373674496" TargetMode="External"/><Relationship Id="rId1191" Type="http://schemas.openxmlformats.org/officeDocument/2006/relationships/hyperlink" Target="https://pbs.twimg.com/profile_images/1295974167762948103/XwObAGFo_normal.jpg" TargetMode="External"/><Relationship Id="rId1192" Type="http://schemas.openxmlformats.org/officeDocument/2006/relationships/hyperlink" Target="https://pbs.twimg.com/profile_banners/227281813/1597819295" TargetMode="External"/><Relationship Id="rId1193" Type="http://schemas.openxmlformats.org/officeDocument/2006/relationships/hyperlink" Target="https://x.com/jbernacer/status/1126043538104487936" TargetMode="External"/><Relationship Id="rId121" Type="http://schemas.openxmlformats.org/officeDocument/2006/relationships/hyperlink" Target="https://pbs.twimg.com/profile_banners/297889462/1588577032" TargetMode="External"/><Relationship Id="rId363" Type="http://schemas.openxmlformats.org/officeDocument/2006/relationships/hyperlink" Target="https://x.com/DayaneVanessa/status/1678362845304463360" TargetMode="External"/><Relationship Id="rId1194" Type="http://schemas.openxmlformats.org/officeDocument/2006/relationships/hyperlink" Target="https://pbs.twimg.com/profile_images/1295974167762948103/XwObAGFo_normal.jpg" TargetMode="External"/><Relationship Id="rId120" Type="http://schemas.openxmlformats.org/officeDocument/2006/relationships/hyperlink" Target="https://pbs.twimg.com/profile_images/1883617660/Octa-Simbolo_normal.jpg" TargetMode="External"/><Relationship Id="rId362" Type="http://schemas.openxmlformats.org/officeDocument/2006/relationships/hyperlink" Target="https://pbs.twimg.com/profile_banners/2761247693/1456356862" TargetMode="External"/><Relationship Id="rId1195" Type="http://schemas.openxmlformats.org/officeDocument/2006/relationships/hyperlink" Target="https://pbs.twimg.com/profile_banners/227281813/1597819295" TargetMode="External"/><Relationship Id="rId361" Type="http://schemas.openxmlformats.org/officeDocument/2006/relationships/hyperlink" Target="https://pbs.twimg.com/profile_images/1504417126521659393/y47JKhtQ_normal.jpg" TargetMode="External"/><Relationship Id="rId1196" Type="http://schemas.openxmlformats.org/officeDocument/2006/relationships/hyperlink" Target="https://x.com/jbernacer/status/1126039143648301056" TargetMode="External"/><Relationship Id="rId360" Type="http://schemas.openxmlformats.org/officeDocument/2006/relationships/hyperlink" Target="https://x.com/JosephDreddPL/status/1681439735812882441" TargetMode="External"/><Relationship Id="rId1197" Type="http://schemas.openxmlformats.org/officeDocument/2006/relationships/hyperlink" Target="https://pbs.twimg.com/profile_images/1295974167762948103/XwObAGFo_normal.jpg" TargetMode="External"/><Relationship Id="rId125" Type="http://schemas.openxmlformats.org/officeDocument/2006/relationships/hyperlink" Target="https://pbs.twimg.com/profile_images/1808984803271688192/62kG4FMX_normal.jpg" TargetMode="External"/><Relationship Id="rId367" Type="http://schemas.openxmlformats.org/officeDocument/2006/relationships/hyperlink" Target="https://x.com/mentordeingles/status/1677318277419155461" TargetMode="External"/><Relationship Id="rId1198" Type="http://schemas.openxmlformats.org/officeDocument/2006/relationships/hyperlink" Target="https://pbs.twimg.com/profile_banners/227281813/1597819295" TargetMode="External"/><Relationship Id="rId124" Type="http://schemas.openxmlformats.org/officeDocument/2006/relationships/hyperlink" Target="https://x.com/mariacedav/status/1877013934420509010" TargetMode="External"/><Relationship Id="rId366" Type="http://schemas.openxmlformats.org/officeDocument/2006/relationships/hyperlink" Target="https://pbs.twimg.com/media/F0q-HNJXgAA0oKW.jpg" TargetMode="External"/><Relationship Id="rId1199" Type="http://schemas.openxmlformats.org/officeDocument/2006/relationships/hyperlink" Target="https://x.com/jbernacer/status/1126027675708153856" TargetMode="External"/><Relationship Id="rId123" Type="http://schemas.openxmlformats.org/officeDocument/2006/relationships/hyperlink" Target="https://pbs.twimg.com/media/GhQPAi7W4AACZHc.jpg" TargetMode="External"/><Relationship Id="rId365" Type="http://schemas.openxmlformats.org/officeDocument/2006/relationships/hyperlink" Target="https://pbs.twimg.com/profile_banners/67360043/1595301949" TargetMode="External"/><Relationship Id="rId122" Type="http://schemas.openxmlformats.org/officeDocument/2006/relationships/hyperlink" Target="https://octaedro.com/libro/entrar-con-exito-en-la-madurez-con-tdah/?mot_tcid=9d6c7672-8fd5-4e64-81c1-40c7454ed8d0" TargetMode="External"/><Relationship Id="rId364" Type="http://schemas.openxmlformats.org/officeDocument/2006/relationships/hyperlink" Target="https://pbs.twimg.com/profile_images/1616262975639244800/jczSXOAd_normal.jpg" TargetMode="External"/><Relationship Id="rId95" Type="http://schemas.openxmlformats.org/officeDocument/2006/relationships/hyperlink" Target="https://psicologiaymente.com/clinica/desafios-del-tdah-en-adultos-estrategias-psicologicas-para-afrontarlo" TargetMode="External"/><Relationship Id="rId94" Type="http://schemas.openxmlformats.org/officeDocument/2006/relationships/hyperlink" Target="https://pbs.twimg.com/profile_banners/1194295498011754496/1655289726" TargetMode="External"/><Relationship Id="rId97" Type="http://schemas.openxmlformats.org/officeDocument/2006/relationships/hyperlink" Target="https://x.com/jenniferjiseth/status/1904293091093188708" TargetMode="External"/><Relationship Id="rId96" Type="http://schemas.openxmlformats.org/officeDocument/2006/relationships/hyperlink" Target="https://pbs.twimg.com/media/GoHY0NcXYAAVK2i.jpg" TargetMode="External"/><Relationship Id="rId99" Type="http://schemas.openxmlformats.org/officeDocument/2006/relationships/hyperlink" Target="https://pbs.twimg.com/profile_banners/210721927/1730325828" TargetMode="External"/><Relationship Id="rId98" Type="http://schemas.openxmlformats.org/officeDocument/2006/relationships/hyperlink" Target="https://pbs.twimg.com/profile_images/1617913720612573184/_SVIoUCj_normal.jpg" TargetMode="External"/><Relationship Id="rId91" Type="http://schemas.openxmlformats.org/officeDocument/2006/relationships/hyperlink" Target="https://tdah.world/ciume-e-ansiedade-no-tdah-augusto-cury-desvenda/" TargetMode="External"/><Relationship Id="rId90" Type="http://schemas.openxmlformats.org/officeDocument/2006/relationships/hyperlink" Target="https://pbs.twimg.com/profile_banners/1576614038204825601/1664812670" TargetMode="External"/><Relationship Id="rId93" Type="http://schemas.openxmlformats.org/officeDocument/2006/relationships/hyperlink" Target="https://pbs.twimg.com/profile_images/1576888715967856641/ZzsTUQPk_normal.jpg" TargetMode="External"/><Relationship Id="rId92" Type="http://schemas.openxmlformats.org/officeDocument/2006/relationships/hyperlink" Target="https://x.com/AdenPsicologia/status/1910046610190479686" TargetMode="External"/><Relationship Id="rId118" Type="http://schemas.openxmlformats.org/officeDocument/2006/relationships/hyperlink" Target="https://pbs.twimg.com/profile_banners/333054975/1721085952" TargetMode="External"/><Relationship Id="rId117" Type="http://schemas.openxmlformats.org/officeDocument/2006/relationships/hyperlink" Target="https://pbs.twimg.com/profile_images/1808984803271688192/62kG4FMX_normal.jpg" TargetMode="External"/><Relationship Id="rId359" Type="http://schemas.openxmlformats.org/officeDocument/2006/relationships/hyperlink" Target="https://pbs.twimg.com/media/F1ymDY0XgAMn4kF.jpg" TargetMode="External"/><Relationship Id="rId116" Type="http://schemas.openxmlformats.org/officeDocument/2006/relationships/hyperlink" Target="https://x.com/mariacedav/status/1879702944968212718" TargetMode="External"/><Relationship Id="rId358" Type="http://schemas.openxmlformats.org/officeDocument/2006/relationships/hyperlink" Target="https://www.logopediaymas.es/blog/tda/" TargetMode="External"/><Relationship Id="rId115" Type="http://schemas.openxmlformats.org/officeDocument/2006/relationships/hyperlink" Target="https://pbs.twimg.com/profile_banners/333054975/1721085952" TargetMode="External"/><Relationship Id="rId357" Type="http://schemas.openxmlformats.org/officeDocument/2006/relationships/hyperlink" Target="http://conte.ai" TargetMode="External"/><Relationship Id="rId599" Type="http://schemas.openxmlformats.org/officeDocument/2006/relationships/hyperlink" Target="https://www.logopediaymas.es/blog/tdah-adultos/" TargetMode="External"/><Relationship Id="rId1180" Type="http://schemas.openxmlformats.org/officeDocument/2006/relationships/hyperlink" Target="https://x.com/catia_pipoca/status/1130954697311969282" TargetMode="External"/><Relationship Id="rId1181" Type="http://schemas.openxmlformats.org/officeDocument/2006/relationships/hyperlink" Target="https://pbs.twimg.com/profile_images/1598333301860843520/gJH29YjF_normal.jpg" TargetMode="External"/><Relationship Id="rId119" Type="http://schemas.openxmlformats.org/officeDocument/2006/relationships/hyperlink" Target="https://x.com/Ed_Octaedro/status/1879143569732370469" TargetMode="External"/><Relationship Id="rId1182" Type="http://schemas.openxmlformats.org/officeDocument/2006/relationships/hyperlink" Target="https://pbs.twimg.com/profile_banners/194657190/1582063989" TargetMode="External"/><Relationship Id="rId110" Type="http://schemas.openxmlformats.org/officeDocument/2006/relationships/hyperlink" Target="https://pbs.twimg.com/profile_banners/333054975/1721085952" TargetMode="External"/><Relationship Id="rId352" Type="http://schemas.openxmlformats.org/officeDocument/2006/relationships/hyperlink" Target="https://pbs.twimg.com/profile_banners/1106194570398834688/1706810974" TargetMode="External"/><Relationship Id="rId594" Type="http://schemas.openxmlformats.org/officeDocument/2006/relationships/hyperlink" Target="https://pbs.twimg.com/profile_banners/1348106661949534208/1677455191" TargetMode="External"/><Relationship Id="rId1183" Type="http://schemas.openxmlformats.org/officeDocument/2006/relationships/hyperlink" Target="https://www.instagram.com/p/BxvYb0eF0kF/?igshid=1fu5cm7n64kzc" TargetMode="External"/><Relationship Id="rId351" Type="http://schemas.openxmlformats.org/officeDocument/2006/relationships/hyperlink" Target="https://pbs.twimg.com/profile_images/1753113315440820224/NGZQPeMM_normal.jpg" TargetMode="External"/><Relationship Id="rId593" Type="http://schemas.openxmlformats.org/officeDocument/2006/relationships/hyperlink" Target="https://pbs.twimg.com/profile_images/1641168135607795712/IQn_RLbi_normal.jpg" TargetMode="External"/><Relationship Id="rId1184" Type="http://schemas.openxmlformats.org/officeDocument/2006/relationships/hyperlink" Target="https://x.com/SketchTono/status/1130148768756715522" TargetMode="External"/><Relationship Id="rId350" Type="http://schemas.openxmlformats.org/officeDocument/2006/relationships/hyperlink" Target="https://x.com/OscearaS/status/1695051241582219477" TargetMode="External"/><Relationship Id="rId592" Type="http://schemas.openxmlformats.org/officeDocument/2006/relationships/hyperlink" Target="https://x.com/duda_vcesqueceu/status/1550837999440695298" TargetMode="External"/><Relationship Id="rId1185" Type="http://schemas.openxmlformats.org/officeDocument/2006/relationships/hyperlink" Target="https://pbs.twimg.com/profile_images/1041363799335419905/reWeMxmw_normal.jpg" TargetMode="External"/><Relationship Id="rId591" Type="http://schemas.openxmlformats.org/officeDocument/2006/relationships/hyperlink" Target="https://pbs.twimg.com/profile_banners/1348106661949534208/1677455191" TargetMode="External"/><Relationship Id="rId1186" Type="http://schemas.openxmlformats.org/officeDocument/2006/relationships/hyperlink" Target="https://pbs.twimg.com/media/D68YTyhW0AA94Kb.jpg" TargetMode="External"/><Relationship Id="rId114" Type="http://schemas.openxmlformats.org/officeDocument/2006/relationships/hyperlink" Target="https://pbs.twimg.com/profile_images/1808984803271688192/62kG4FMX_normal.jpg" TargetMode="External"/><Relationship Id="rId356" Type="http://schemas.openxmlformats.org/officeDocument/2006/relationships/hyperlink" Target="https://pbs.twimg.com/profile_banners/4017379276/1661957865" TargetMode="External"/><Relationship Id="rId598" Type="http://schemas.openxmlformats.org/officeDocument/2006/relationships/hyperlink" Target="http://conte.ai" TargetMode="External"/><Relationship Id="rId1187" Type="http://schemas.openxmlformats.org/officeDocument/2006/relationships/hyperlink" Target="https://x.com/SketchTono/status/1130148411305541633" TargetMode="External"/><Relationship Id="rId113" Type="http://schemas.openxmlformats.org/officeDocument/2006/relationships/hyperlink" Target="https://x.com/mariacedav/status/1880126054272324002" TargetMode="External"/><Relationship Id="rId355" Type="http://schemas.openxmlformats.org/officeDocument/2006/relationships/hyperlink" Target="https://pbs.twimg.com/profile_images/898853589266944000/AjZBTIgg_normal.jpg" TargetMode="External"/><Relationship Id="rId597" Type="http://schemas.openxmlformats.org/officeDocument/2006/relationships/hyperlink" Target="https://pbs.twimg.com/profile_banners/4017379276/1661957865" TargetMode="External"/><Relationship Id="rId1188" Type="http://schemas.openxmlformats.org/officeDocument/2006/relationships/hyperlink" Target="https://pbs.twimg.com/profile_images/1041363799335419905/reWeMxmw_normal.jpg" TargetMode="External"/><Relationship Id="rId112" Type="http://schemas.openxmlformats.org/officeDocument/2006/relationships/hyperlink" Target="https://pbs.twimg.com/media/GiUX0SbWoAA8TTx.jpg" TargetMode="External"/><Relationship Id="rId354" Type="http://schemas.openxmlformats.org/officeDocument/2006/relationships/hyperlink" Target="https://x.com/LogopediaYMas/status/1683402939883220995" TargetMode="External"/><Relationship Id="rId596" Type="http://schemas.openxmlformats.org/officeDocument/2006/relationships/hyperlink" Target="https://pbs.twimg.com/profile_images/898853589266944000/AjZBTIgg_normal.jpg" TargetMode="External"/><Relationship Id="rId1189" Type="http://schemas.openxmlformats.org/officeDocument/2006/relationships/hyperlink" Target="https://pbs.twimg.com/media/D68X-8OXkAEZXXi.jpg" TargetMode="External"/><Relationship Id="rId111" Type="http://schemas.openxmlformats.org/officeDocument/2006/relationships/hyperlink" Target="https://t.co/fLZAx7PAWJ" TargetMode="External"/><Relationship Id="rId353" Type="http://schemas.openxmlformats.org/officeDocument/2006/relationships/hyperlink" Target="https://pbs.twimg.com/media/F4YIFldWkAADo_a.jpg" TargetMode="External"/><Relationship Id="rId595" Type="http://schemas.openxmlformats.org/officeDocument/2006/relationships/hyperlink" Target="https://x.com/LogopediaYMas/status/1550806773858279425" TargetMode="External"/><Relationship Id="rId1136" Type="http://schemas.openxmlformats.org/officeDocument/2006/relationships/hyperlink" Target="https://pbs.twimg.com/profile_banners/3341640273/1649862663" TargetMode="External"/><Relationship Id="rId1137" Type="http://schemas.openxmlformats.org/officeDocument/2006/relationships/hyperlink" Target="http://feaadah.org/es/difusion/850" TargetMode="External"/><Relationship Id="rId1138" Type="http://schemas.openxmlformats.org/officeDocument/2006/relationships/hyperlink" Target="https://x.com/psiquiatriacom/status/1177511993508384769" TargetMode="External"/><Relationship Id="rId1139" Type="http://schemas.openxmlformats.org/officeDocument/2006/relationships/hyperlink" Target="http://psiquiatria.com" TargetMode="External"/><Relationship Id="rId305" Type="http://schemas.openxmlformats.org/officeDocument/2006/relationships/hyperlink" Target="https://x.com/landysJairPsic/status/1762528492069990754" TargetMode="External"/><Relationship Id="rId547" Type="http://schemas.openxmlformats.org/officeDocument/2006/relationships/hyperlink" Target="https://pbs.twimg.com/profile_images/1572926300968439808/OwPqMb5R_normal.jpg" TargetMode="External"/><Relationship Id="rId789" Type="http://schemas.openxmlformats.org/officeDocument/2006/relationships/hyperlink" Target="https://x.com/HikaruFreeman/status/1483159225396310025" TargetMode="External"/><Relationship Id="rId304" Type="http://schemas.openxmlformats.org/officeDocument/2006/relationships/hyperlink" Target="https://video.twimg.com/amplify_video/1763236323505086464/vid/avc1/720x1280/RvYZ1SGzyRqjtLod.mp4?tag=14" TargetMode="External"/><Relationship Id="rId546" Type="http://schemas.openxmlformats.org/officeDocument/2006/relationships/hyperlink" Target="https://x.com/Danynica2489/status/1566512224717492224" TargetMode="External"/><Relationship Id="rId788" Type="http://schemas.openxmlformats.org/officeDocument/2006/relationships/hyperlink" Target="https://pbs.twimg.com/ext_tw_video_thumb/1360287696623702018/pu/img/6tNOEJo3qGujxYVa.jpg" TargetMode="External"/><Relationship Id="rId303" Type="http://schemas.openxmlformats.org/officeDocument/2006/relationships/hyperlink" Target="https://pbs.twimg.com/amplify_video_thumb/1763236323505086464/img/FMg0p935qvHEQKfh.jpg" TargetMode="External"/><Relationship Id="rId545" Type="http://schemas.openxmlformats.org/officeDocument/2006/relationships/hyperlink" Target="https://www.diariovasco.com/gipuzkoa/tdah-asocia-ninos-20220917174008-nt.html" TargetMode="External"/><Relationship Id="rId787" Type="http://schemas.openxmlformats.org/officeDocument/2006/relationships/hyperlink" Target="https://pbs.twimg.com/profile_banners/29438265/1764250272" TargetMode="External"/><Relationship Id="rId302" Type="http://schemas.openxmlformats.org/officeDocument/2006/relationships/hyperlink" Target="https://pbs.twimg.com/profile_images/1745094281449103360/Len2zkMK_normal.jpg" TargetMode="External"/><Relationship Id="rId544" Type="http://schemas.openxmlformats.org/officeDocument/2006/relationships/hyperlink" Target="https://pbs.twimg.com/profile_banners/937041894198136838/1752248588" TargetMode="External"/><Relationship Id="rId786" Type="http://schemas.openxmlformats.org/officeDocument/2006/relationships/hyperlink" Target="https://pbs.twimg.com/profile_images/1845914071033315328/h5nNVZ_-_normal.jpg" TargetMode="External"/><Relationship Id="rId309" Type="http://schemas.openxmlformats.org/officeDocument/2006/relationships/hyperlink" Target="https://x.com/apsicolu/status/1759176671528173686" TargetMode="External"/><Relationship Id="rId308" Type="http://schemas.openxmlformats.org/officeDocument/2006/relationships/hyperlink" Target="https://video.twimg.com/amplify_video/1762528299438276608/vid/avc1/720x1280/tKFJAeskONKcSO5U.mp4?tag=14" TargetMode="External"/><Relationship Id="rId307" Type="http://schemas.openxmlformats.org/officeDocument/2006/relationships/hyperlink" Target="https://pbs.twimg.com/amplify_video_thumb/1762528299438276608/img/dg3hzwKqLS-qjCKX.jpg" TargetMode="External"/><Relationship Id="rId549" Type="http://schemas.openxmlformats.org/officeDocument/2006/relationships/hyperlink" Target="https://x.com/lapacafit/status/1565352753060122624" TargetMode="External"/><Relationship Id="rId306" Type="http://schemas.openxmlformats.org/officeDocument/2006/relationships/hyperlink" Target="https://pbs.twimg.com/profile_images/1745094281449103360/Len2zkMK_normal.jpg" TargetMode="External"/><Relationship Id="rId548" Type="http://schemas.openxmlformats.org/officeDocument/2006/relationships/hyperlink" Target="https://pbs.twimg.com/profile_banners/1445105816617488388/1637709645" TargetMode="External"/><Relationship Id="rId781" Type="http://schemas.openxmlformats.org/officeDocument/2006/relationships/hyperlink" Target="https://x.com/TdahDesde/status/1484020083806584837" TargetMode="External"/><Relationship Id="rId780" Type="http://schemas.openxmlformats.org/officeDocument/2006/relationships/hyperlink" Target="https://pbs.twimg.com/media/FJhPHLVWQAEItkV.jpg" TargetMode="External"/><Relationship Id="rId1130" Type="http://schemas.openxmlformats.org/officeDocument/2006/relationships/hyperlink" Target="https://pbs.twimg.com/media/EGbfldBW4AADKOB.jpg" TargetMode="External"/><Relationship Id="rId1131" Type="http://schemas.openxmlformats.org/officeDocument/2006/relationships/hyperlink" Target="https://x.com/coisasdatha/status/1181292932407726088" TargetMode="External"/><Relationship Id="rId301" Type="http://schemas.openxmlformats.org/officeDocument/2006/relationships/hyperlink" Target="https://x.com/landysJairPsic/status/1763236557199122746" TargetMode="External"/><Relationship Id="rId543" Type="http://schemas.openxmlformats.org/officeDocument/2006/relationships/hyperlink" Target="https://pbs.twimg.com/profile_images/1623821709865283584/Yu6OfLCD_normal.jpg" TargetMode="External"/><Relationship Id="rId785" Type="http://schemas.openxmlformats.org/officeDocument/2006/relationships/hyperlink" Target="https://x.com/CarlosAlmada/status/1483852235712962566" TargetMode="External"/><Relationship Id="rId1132" Type="http://schemas.openxmlformats.org/officeDocument/2006/relationships/hyperlink" Target="https://pbs.twimg.com/profile_images/1484326914667868161/K1Q9BtGb_normal.jpg" TargetMode="External"/><Relationship Id="rId300" Type="http://schemas.openxmlformats.org/officeDocument/2006/relationships/hyperlink" Target="https://video.twimg.com/amplify_video/1765187975824998400/vid/avc1/720x1280/JWdCwd5gL-MIf6ye.mp4?tag=14" TargetMode="External"/><Relationship Id="rId542" Type="http://schemas.openxmlformats.org/officeDocument/2006/relationships/hyperlink" Target="https://x.com/adahigi/status/1571060046322372608" TargetMode="External"/><Relationship Id="rId784" Type="http://schemas.openxmlformats.org/officeDocument/2006/relationships/hyperlink" Target="https://pbs.twimg.com/media/FJhMZteXoAcu35y.jpg" TargetMode="External"/><Relationship Id="rId1133" Type="http://schemas.openxmlformats.org/officeDocument/2006/relationships/hyperlink" Target="https://pbs.twimg.com/profile_banners/95496118/1646625534" TargetMode="External"/><Relationship Id="rId541" Type="http://schemas.openxmlformats.org/officeDocument/2006/relationships/hyperlink" Target="https://pbs.twimg.com/profile_banners/16407741/1653499712" TargetMode="External"/><Relationship Id="rId783" Type="http://schemas.openxmlformats.org/officeDocument/2006/relationships/hyperlink" Target="https://pbs.twimg.com/profile_banners/1473113118901428235/1642721414" TargetMode="External"/><Relationship Id="rId1134" Type="http://schemas.openxmlformats.org/officeDocument/2006/relationships/hyperlink" Target="https://x.com/adahi_es/status/1180936592833298436" TargetMode="External"/><Relationship Id="rId540" Type="http://schemas.openxmlformats.org/officeDocument/2006/relationships/hyperlink" Target="https://pbs.twimg.com/profile_images/1524056616370376704/jUKLwu36_normal.jpg" TargetMode="External"/><Relationship Id="rId782" Type="http://schemas.openxmlformats.org/officeDocument/2006/relationships/hyperlink" Target="https://pbs.twimg.com/profile_images/1478167360435634176/OzqxVgjd_normal.jpg" TargetMode="External"/><Relationship Id="rId1135" Type="http://schemas.openxmlformats.org/officeDocument/2006/relationships/hyperlink" Target="https://pbs.twimg.com/profile_images/1522157600514715648/UYDjDRjy_normal.jpg" TargetMode="External"/><Relationship Id="rId1125" Type="http://schemas.openxmlformats.org/officeDocument/2006/relationships/hyperlink" Target="https://pbs.twimg.com/profile_banners/72924205/1749673161" TargetMode="External"/><Relationship Id="rId1126" Type="http://schemas.openxmlformats.org/officeDocument/2006/relationships/hyperlink" Target="https://x.com/adahi_es/status/1181877793300324352" TargetMode="External"/><Relationship Id="rId1127" Type="http://schemas.openxmlformats.org/officeDocument/2006/relationships/hyperlink" Target="https://pbs.twimg.com/profile_images/1522157600514715648/UYDjDRjy_normal.jpg" TargetMode="External"/><Relationship Id="rId1128" Type="http://schemas.openxmlformats.org/officeDocument/2006/relationships/hyperlink" Target="https://pbs.twimg.com/profile_banners/3341640273/1649862663" TargetMode="External"/><Relationship Id="rId1129" Type="http://schemas.openxmlformats.org/officeDocument/2006/relationships/hyperlink" Target="http://www.adahi.es/vii-cena-benefica-juntos-por-adahi/" TargetMode="External"/><Relationship Id="rId536" Type="http://schemas.openxmlformats.org/officeDocument/2006/relationships/hyperlink" Target="https://pbs.twimg.com/profile_images/1853440983976882176/Xc80ppTk_normal.jpg" TargetMode="External"/><Relationship Id="rId778" Type="http://schemas.openxmlformats.org/officeDocument/2006/relationships/hyperlink" Target="https://pbs.twimg.com/profile_images/1478167360435634176/OzqxVgjd_normal.jpg" TargetMode="External"/><Relationship Id="rId535" Type="http://schemas.openxmlformats.org/officeDocument/2006/relationships/hyperlink" Target="https://x.com/augustodias/status/1571982018417758215" TargetMode="External"/><Relationship Id="rId777" Type="http://schemas.openxmlformats.org/officeDocument/2006/relationships/hyperlink" Target="https://x.com/TdahDesde/status/1484023064329347076" TargetMode="External"/><Relationship Id="rId534" Type="http://schemas.openxmlformats.org/officeDocument/2006/relationships/hyperlink" Target="https://pbs.twimg.com/profile_banners/1361271221657214976/1634611328" TargetMode="External"/><Relationship Id="rId776" Type="http://schemas.openxmlformats.org/officeDocument/2006/relationships/hyperlink" Target="https://youtube.com.br/carlosalmadapsi" TargetMode="External"/><Relationship Id="rId533" Type="http://schemas.openxmlformats.org/officeDocument/2006/relationships/hyperlink" Target="https://pbs.twimg.com/profile_images/1685661549598228481/62txBozO_normal.jpg" TargetMode="External"/><Relationship Id="rId775" Type="http://schemas.openxmlformats.org/officeDocument/2006/relationships/hyperlink" Target="https://pbs.twimg.com/profile_banners/29438265/1764250272" TargetMode="External"/><Relationship Id="rId539" Type="http://schemas.openxmlformats.org/officeDocument/2006/relationships/hyperlink" Target="https://x.com/ffdalles/status/1571116031313313792" TargetMode="External"/><Relationship Id="rId538" Type="http://schemas.openxmlformats.org/officeDocument/2006/relationships/hyperlink" Target="https://www.instagram.com/p/CitEg__rBbW/?igshid=YTgzYjQ4ZTY=" TargetMode="External"/><Relationship Id="rId537" Type="http://schemas.openxmlformats.org/officeDocument/2006/relationships/hyperlink" Target="https://pbs.twimg.com/profile_banners/24171057/1730729742" TargetMode="External"/><Relationship Id="rId779" Type="http://schemas.openxmlformats.org/officeDocument/2006/relationships/hyperlink" Target="https://pbs.twimg.com/profile_banners/1473113118901428235/1642721414" TargetMode="External"/><Relationship Id="rId770" Type="http://schemas.openxmlformats.org/officeDocument/2006/relationships/hyperlink" Target="https://pbs.twimg.com/profile_images/1435716799484645377/WxN_NQ7D_normal.jpg" TargetMode="External"/><Relationship Id="rId1120" Type="http://schemas.openxmlformats.org/officeDocument/2006/relationships/hyperlink" Target="http://empsiquiatria.com" TargetMode="External"/><Relationship Id="rId532" Type="http://schemas.openxmlformats.org/officeDocument/2006/relationships/hyperlink" Target="https://x.com/tdahdislex/status/1572376251532447746" TargetMode="External"/><Relationship Id="rId774" Type="http://schemas.openxmlformats.org/officeDocument/2006/relationships/hyperlink" Target="https://pbs.twimg.com/profile_images/1845914071033315328/h5nNVZ_-_normal.jpg" TargetMode="External"/><Relationship Id="rId1121" Type="http://schemas.openxmlformats.org/officeDocument/2006/relationships/hyperlink" Target="https://pbs.twimg.com/profile_images/772267336493510656/XsGqengo_normal.jpg" TargetMode="External"/><Relationship Id="rId531" Type="http://schemas.openxmlformats.org/officeDocument/2006/relationships/hyperlink" Target="https://agenciabrasil.ebc.com.br/saude/noticia/2022-08/ministerio-da-saude-aprova-protocolo-para-diagnostico-de-tdah" TargetMode="External"/><Relationship Id="rId773" Type="http://schemas.openxmlformats.org/officeDocument/2006/relationships/hyperlink" Target="https://x.com/CarlosAlmada/status/1486327300736102404" TargetMode="External"/><Relationship Id="rId1122" Type="http://schemas.openxmlformats.org/officeDocument/2006/relationships/hyperlink" Target="https://www.instagram.com/p/B4fKaV-BajW/?igshid=13rpyqbmxc2k3" TargetMode="External"/><Relationship Id="rId530" Type="http://schemas.openxmlformats.org/officeDocument/2006/relationships/hyperlink" Target="https://pbs.twimg.com/profile_banners/246824283/1743428354" TargetMode="External"/><Relationship Id="rId772" Type="http://schemas.openxmlformats.org/officeDocument/2006/relationships/hyperlink" Target="https://pbs.twimg.com/media/FKDXvv0XsAUIXuQ.jpg" TargetMode="External"/><Relationship Id="rId1123" Type="http://schemas.openxmlformats.org/officeDocument/2006/relationships/hyperlink" Target="https://x.com/HenarCasal/status/1187930678060638208" TargetMode="External"/><Relationship Id="rId771" Type="http://schemas.openxmlformats.org/officeDocument/2006/relationships/hyperlink" Target="https://pbs.twimg.com/profile_banners/1270360276144193542/1631137670" TargetMode="External"/><Relationship Id="rId1124" Type="http://schemas.openxmlformats.org/officeDocument/2006/relationships/hyperlink" Target="https://pbs.twimg.com/profile_images/1932895006706089984/wbz8W1kt_normal.jpg" TargetMode="External"/><Relationship Id="rId1158" Type="http://schemas.openxmlformats.org/officeDocument/2006/relationships/hyperlink" Target="https://pbs.twimg.com/profile_images/1434002975660388352/_4NQyyqL_normal.jpg" TargetMode="External"/><Relationship Id="rId1159" Type="http://schemas.openxmlformats.org/officeDocument/2006/relationships/hyperlink" Target="https://pbs.twimg.com/profile_banners/2843925852/1579475594" TargetMode="External"/><Relationship Id="rId327" Type="http://schemas.openxmlformats.org/officeDocument/2006/relationships/hyperlink" Target="https://pbs.twimg.com/profile_images/1201644523669131264/zgO6D7kV_normal.jpg" TargetMode="External"/><Relationship Id="rId569" Type="http://schemas.openxmlformats.org/officeDocument/2006/relationships/hyperlink" Target="https://www.instagram.com/p/ChXpe08OCtD/?igshid=YTgzYjQ4ZTY=" TargetMode="External"/><Relationship Id="rId326" Type="http://schemas.openxmlformats.org/officeDocument/2006/relationships/hyperlink" Target="https://x.com/Psicotogether_/status/1737773982558908595" TargetMode="External"/><Relationship Id="rId568" Type="http://schemas.openxmlformats.org/officeDocument/2006/relationships/hyperlink" Target="https://pbs.twimg.com/profile_images/1939222076130295808/oe3hj_yl_normal.jpg" TargetMode="External"/><Relationship Id="rId325" Type="http://schemas.openxmlformats.org/officeDocument/2006/relationships/hyperlink" Target="https://video.twimg.com/amplify_video/1754689575409037312/vid/avc1/720x1280/DW0i8QcBvMzQMIs2.mp4?tag=14" TargetMode="External"/><Relationship Id="rId567" Type="http://schemas.openxmlformats.org/officeDocument/2006/relationships/hyperlink" Target="https://x.com/JuarezO85678826/status/1559959879716147200" TargetMode="External"/><Relationship Id="rId324" Type="http://schemas.openxmlformats.org/officeDocument/2006/relationships/hyperlink" Target="https://pbs.twimg.com/amplify_video_thumb/1754689575409037312/img/Fp9rsEZt1Js92djK.jpg" TargetMode="External"/><Relationship Id="rId566" Type="http://schemas.openxmlformats.org/officeDocument/2006/relationships/hyperlink" Target="https://youtu.be/5JDcWX0nQiw" TargetMode="External"/><Relationship Id="rId329" Type="http://schemas.openxmlformats.org/officeDocument/2006/relationships/hyperlink" Target="https://pbs.twimg.com/media/GB3QOWIXwAA-Z2j.jpg" TargetMode="External"/><Relationship Id="rId328" Type="http://schemas.openxmlformats.org/officeDocument/2006/relationships/hyperlink" Target="https://pbs.twimg.com/profile_banners/765202699012956160/1575329356" TargetMode="External"/><Relationship Id="rId561" Type="http://schemas.openxmlformats.org/officeDocument/2006/relationships/hyperlink" Target="https://youtu.be/Mwe_jNcnry0" TargetMode="External"/><Relationship Id="rId1150" Type="http://schemas.openxmlformats.org/officeDocument/2006/relationships/hyperlink" Target="https://pbs.twimg.com/profile_banners/312913592/1520025607" TargetMode="External"/><Relationship Id="rId560" Type="http://schemas.openxmlformats.org/officeDocument/2006/relationships/hyperlink" Target="https://pbs.twimg.com/profile_banners/2929302917/1703694035" TargetMode="External"/><Relationship Id="rId1151" Type="http://schemas.openxmlformats.org/officeDocument/2006/relationships/hyperlink" Target="https://psicologasclinicas.blogspot.com/2019/08/trastorno-de-deficit-de-atencion-con.html,http://www.equilibrioemocionalpsicologia.com" TargetMode="External"/><Relationship Id="rId1152" Type="http://schemas.openxmlformats.org/officeDocument/2006/relationships/hyperlink" Target="https://x.com/Psicologas/status/1161252589360619520" TargetMode="External"/><Relationship Id="rId1153" Type="http://schemas.openxmlformats.org/officeDocument/2006/relationships/hyperlink" Target="https://pbs.twimg.com/profile_images/378800000078992719/274df95a292d1b1e5c796ed25afa3d99_normal.jpeg" TargetMode="External"/><Relationship Id="rId323" Type="http://schemas.openxmlformats.org/officeDocument/2006/relationships/hyperlink" Target="https://pbs.twimg.com/profile_images/1745094281449103360/Len2zkMK_normal.jpg" TargetMode="External"/><Relationship Id="rId565" Type="http://schemas.openxmlformats.org/officeDocument/2006/relationships/hyperlink" Target="https://pbs.twimg.com/profile_banners/65364769/1636529319" TargetMode="External"/><Relationship Id="rId1154" Type="http://schemas.openxmlformats.org/officeDocument/2006/relationships/hyperlink" Target="https://pbs.twimg.com/profile_banners/312913592/1520025607" TargetMode="External"/><Relationship Id="rId322" Type="http://schemas.openxmlformats.org/officeDocument/2006/relationships/hyperlink" Target="https://x.com/landysJairPsic/status/1754689811879711206" TargetMode="External"/><Relationship Id="rId564" Type="http://schemas.openxmlformats.org/officeDocument/2006/relationships/hyperlink" Target="https://pbs.twimg.com/profile_images/1963338483096776704/JbmPkAns_normal.jpg" TargetMode="External"/><Relationship Id="rId1155" Type="http://schemas.openxmlformats.org/officeDocument/2006/relationships/hyperlink" Target="https://psicologasclinicas.blogspot.com/2019/08/el-tda-en-adultos.html,http://www.equilibrioemocionalpsicologia.com" TargetMode="External"/><Relationship Id="rId321" Type="http://schemas.openxmlformats.org/officeDocument/2006/relationships/hyperlink" Target="https://video.twimg.com/amplify_video/1755414606271414272/vid/avc1/720x1280/V4f-8Xm2JHm7inwe.mp4?tag=14" TargetMode="External"/><Relationship Id="rId563" Type="http://schemas.openxmlformats.org/officeDocument/2006/relationships/hyperlink" Target="https://x.com/She1sDanna/status/1560764770034360322" TargetMode="External"/><Relationship Id="rId1156" Type="http://schemas.openxmlformats.org/officeDocument/2006/relationships/hyperlink" Target="https://pbs.twimg.com/media/EB2ZEy-WkAA8KXH.jpg" TargetMode="External"/><Relationship Id="rId320" Type="http://schemas.openxmlformats.org/officeDocument/2006/relationships/hyperlink" Target="https://pbs.twimg.com/amplify_video_thumb/1755414606271414272/img/GiUwwP-p04K4ZAaF.jpg" TargetMode="External"/><Relationship Id="rId562" Type="http://schemas.openxmlformats.org/officeDocument/2006/relationships/hyperlink" Target="https://pbs.twimg.com/media/Faw374-WQAEKeQv.jpg" TargetMode="External"/><Relationship Id="rId1157" Type="http://schemas.openxmlformats.org/officeDocument/2006/relationships/hyperlink" Target="https://x.com/Carla_Salinas_/status/1159949266644852746" TargetMode="External"/><Relationship Id="rId1147" Type="http://schemas.openxmlformats.org/officeDocument/2006/relationships/hyperlink" Target="https://pbs.twimg.com/media/EFVwkJIX4AEYSVN.jpg" TargetMode="External"/><Relationship Id="rId1148" Type="http://schemas.openxmlformats.org/officeDocument/2006/relationships/hyperlink" Target="https://x.com/Psicologas/status/1166352921778413569" TargetMode="External"/><Relationship Id="rId1149" Type="http://schemas.openxmlformats.org/officeDocument/2006/relationships/hyperlink" Target="https://pbs.twimg.com/profile_images/378800000078992719/274df95a292d1b1e5c796ed25afa3d99_normal.jpeg" TargetMode="External"/><Relationship Id="rId316" Type="http://schemas.openxmlformats.org/officeDocument/2006/relationships/hyperlink" Target="https://pbs.twimg.com/amplify_video_thumb/1758664885183926272/img/Erw60_bw5wFx7jn1.jpg" TargetMode="External"/><Relationship Id="rId558" Type="http://schemas.openxmlformats.org/officeDocument/2006/relationships/hyperlink" Target="https://x.com/MamaeTagarela/status/1561686094529298435" TargetMode="External"/><Relationship Id="rId315" Type="http://schemas.openxmlformats.org/officeDocument/2006/relationships/hyperlink" Target="https://pbs.twimg.com/profile_images/1745094281449103360/Len2zkMK_normal.jpg" TargetMode="External"/><Relationship Id="rId557" Type="http://schemas.openxmlformats.org/officeDocument/2006/relationships/hyperlink" Target="https://www.instagram.com/p/Ch1vbA8qAW9/?igshid=MDJmNzVkMjY=" TargetMode="External"/><Relationship Id="rId799" Type="http://schemas.openxmlformats.org/officeDocument/2006/relationships/hyperlink" Target="https://x.com/shikomattos/status/1476607859928489995" TargetMode="External"/><Relationship Id="rId314" Type="http://schemas.openxmlformats.org/officeDocument/2006/relationships/hyperlink" Target="https://x.com/landysJairPsic/status/1758665093124944019" TargetMode="External"/><Relationship Id="rId556" Type="http://schemas.openxmlformats.org/officeDocument/2006/relationships/hyperlink" Target="https://pbs.twimg.com/profile_banners/1042130765465694211/1611101152" TargetMode="External"/><Relationship Id="rId798" Type="http://schemas.openxmlformats.org/officeDocument/2006/relationships/hyperlink" Target="https://pbs.twimg.com/profile_banners/1473113118901428235/1642721414" TargetMode="External"/><Relationship Id="rId313" Type="http://schemas.openxmlformats.org/officeDocument/2006/relationships/hyperlink" Target="https://video.twimg.com/ext_tw_video/1759176634697949184/pu/vid/avc1/720x960/g8_-oQl2TYuKQxE1.mp4?tag=12" TargetMode="External"/><Relationship Id="rId555" Type="http://schemas.openxmlformats.org/officeDocument/2006/relationships/hyperlink" Target="https://pbs.twimg.com/profile_images/1351681626229637123/Ra_tSVjB_normal.jpg" TargetMode="External"/><Relationship Id="rId797" Type="http://schemas.openxmlformats.org/officeDocument/2006/relationships/hyperlink" Target="https://pbs.twimg.com/profile_images/1478167360435634176/OzqxVgjd_normal.jpg" TargetMode="External"/><Relationship Id="rId319" Type="http://schemas.openxmlformats.org/officeDocument/2006/relationships/hyperlink" Target="https://pbs.twimg.com/profile_images/1745094281449103360/Len2zkMK_normal.jpg" TargetMode="External"/><Relationship Id="rId318" Type="http://schemas.openxmlformats.org/officeDocument/2006/relationships/hyperlink" Target="https://x.com/landysJairPsic/status/1755414820306784585" TargetMode="External"/><Relationship Id="rId317" Type="http://schemas.openxmlformats.org/officeDocument/2006/relationships/hyperlink" Target="https://video.twimg.com/amplify_video/1758664885183926272/vid/avc1/720x1280/SbcboLjcZII_B0Kp.mp4?tag=14" TargetMode="External"/><Relationship Id="rId559" Type="http://schemas.openxmlformats.org/officeDocument/2006/relationships/hyperlink" Target="https://pbs.twimg.com/profile_images/1432740666690441217/0MtIRB3m_normal.jpg" TargetMode="External"/><Relationship Id="rId550" Type="http://schemas.openxmlformats.org/officeDocument/2006/relationships/hyperlink" Target="https://pbs.twimg.com/profile_images/1623891923546042369/vRbEBKCy_normal.jpg" TargetMode="External"/><Relationship Id="rId792" Type="http://schemas.openxmlformats.org/officeDocument/2006/relationships/hyperlink" Target="https://www.instagram.com/p/CY18lqrhlmb/?utm_medium=twitter" TargetMode="External"/><Relationship Id="rId791" Type="http://schemas.openxmlformats.org/officeDocument/2006/relationships/hyperlink" Target="https://pbs.twimg.com/profile_banners/36596327/1453622359" TargetMode="External"/><Relationship Id="rId1140" Type="http://schemas.openxmlformats.org/officeDocument/2006/relationships/hyperlink" Target="https://pbs.twimg.com/profile_images/1263022901680394242/IsM_QIKj_normal.jpg" TargetMode="External"/><Relationship Id="rId790" Type="http://schemas.openxmlformats.org/officeDocument/2006/relationships/hyperlink" Target="https://pbs.twimg.com/profile_images/1486440684915929088/Vdd98n-6_normal.jpg" TargetMode="External"/><Relationship Id="rId1141" Type="http://schemas.openxmlformats.org/officeDocument/2006/relationships/hyperlink" Target="https://pbs.twimg.com/profile_banners/117036494/1424078731" TargetMode="External"/><Relationship Id="rId1142" Type="http://schemas.openxmlformats.org/officeDocument/2006/relationships/hyperlink" Target="http://ow.ly/O9yG30pyQhD" TargetMode="External"/><Relationship Id="rId312" Type="http://schemas.openxmlformats.org/officeDocument/2006/relationships/hyperlink" Target="https://pbs.twimg.com/ext_tw_video_thumb/1759176634697949184/pu/img/MGHcMslGC6bnBXKg.jpg" TargetMode="External"/><Relationship Id="rId554" Type="http://schemas.openxmlformats.org/officeDocument/2006/relationships/hyperlink" Target="https://x.com/LolaBarros11/status/1564272633541283841" TargetMode="External"/><Relationship Id="rId796" Type="http://schemas.openxmlformats.org/officeDocument/2006/relationships/hyperlink" Target="https://x.com/TdahDesde/status/1478987892353650688" TargetMode="External"/><Relationship Id="rId1143" Type="http://schemas.openxmlformats.org/officeDocument/2006/relationships/hyperlink" Target="https://pbs.twimg.com/media/EFdc6uYUwAE_jNl.jpg" TargetMode="External"/><Relationship Id="rId311" Type="http://schemas.openxmlformats.org/officeDocument/2006/relationships/hyperlink" Target="https://pbs.twimg.com/profile_banners/1535970524370767873/1708255052" TargetMode="External"/><Relationship Id="rId553" Type="http://schemas.openxmlformats.org/officeDocument/2006/relationships/hyperlink" Target="https://pbs.twimg.com/media/FbXeJD5XgAAeRzh.jpg" TargetMode="External"/><Relationship Id="rId795" Type="http://schemas.openxmlformats.org/officeDocument/2006/relationships/hyperlink" Target="https://pbs.twimg.com/profile_banners/1476423637624311809/1640843402" TargetMode="External"/><Relationship Id="rId1144" Type="http://schemas.openxmlformats.org/officeDocument/2006/relationships/hyperlink" Target="https://x.com/adahigi/status/1176970653708234753" TargetMode="External"/><Relationship Id="rId310" Type="http://schemas.openxmlformats.org/officeDocument/2006/relationships/hyperlink" Target="https://pbs.twimg.com/profile_images/1759172559961038848/dAoZ7myN_normal.jpg" TargetMode="External"/><Relationship Id="rId552" Type="http://schemas.openxmlformats.org/officeDocument/2006/relationships/hyperlink" Target="https://pbs.twimg.com/profile_images/1505322863078912001/TFefEjdr_normal.jpg" TargetMode="External"/><Relationship Id="rId794" Type="http://schemas.openxmlformats.org/officeDocument/2006/relationships/hyperlink" Target="https://pbs.twimg.com/profile_images/1478152150584901637/O4PE2i_q_normal.jpg" TargetMode="External"/><Relationship Id="rId1145" Type="http://schemas.openxmlformats.org/officeDocument/2006/relationships/hyperlink" Target="https://pbs.twimg.com/profile_images/1623821709865283584/Yu6OfLCD_normal.jpg" TargetMode="External"/><Relationship Id="rId551" Type="http://schemas.openxmlformats.org/officeDocument/2006/relationships/hyperlink" Target="https://x.com/monicabarretoc/status/1564400695335329800" TargetMode="External"/><Relationship Id="rId793" Type="http://schemas.openxmlformats.org/officeDocument/2006/relationships/hyperlink" Target="https://x.com/otakucomtdah/status/1481381927785570311" TargetMode="External"/><Relationship Id="rId1146" Type="http://schemas.openxmlformats.org/officeDocument/2006/relationships/hyperlink" Target="https://pbs.twimg.com/profile_banners/937041894198136838/1752248588" TargetMode="External"/><Relationship Id="rId297" Type="http://schemas.openxmlformats.org/officeDocument/2006/relationships/hyperlink" Target="https://x.com/landysJairPsic/status/1765188253886382554" TargetMode="External"/><Relationship Id="rId296" Type="http://schemas.openxmlformats.org/officeDocument/2006/relationships/hyperlink" Target="https://video.twimg.com/amplify_video/1766271397108568064/vid/avc1/720x1280/1ZB_BhuZKTo4FXTS.mp4?tag=14" TargetMode="External"/><Relationship Id="rId295" Type="http://schemas.openxmlformats.org/officeDocument/2006/relationships/hyperlink" Target="https://pbs.twimg.com/amplify_video_thumb/1766271397108568064/img/A4EyOVygqw6bl7D7.jpg" TargetMode="External"/><Relationship Id="rId294" Type="http://schemas.openxmlformats.org/officeDocument/2006/relationships/hyperlink" Target="https://pbs.twimg.com/profile_images/1745094281449103360/Len2zkMK_normal.jpg" TargetMode="External"/><Relationship Id="rId299" Type="http://schemas.openxmlformats.org/officeDocument/2006/relationships/hyperlink" Target="https://pbs.twimg.com/amplify_video_thumb/1765187975824998400/img/fVqtfj62_Z-7vTfD.jpg" TargetMode="External"/><Relationship Id="rId298" Type="http://schemas.openxmlformats.org/officeDocument/2006/relationships/hyperlink" Target="https://pbs.twimg.com/profile_images/1745094281449103360/Len2zkMK_normal.jpg" TargetMode="External"/><Relationship Id="rId271" Type="http://schemas.openxmlformats.org/officeDocument/2006/relationships/hyperlink" Target="https://pbs.twimg.com/media/GJSMf-3XYAAJZAm.jpg" TargetMode="External"/><Relationship Id="rId270" Type="http://schemas.openxmlformats.org/officeDocument/2006/relationships/hyperlink" Target="https://pbs.twimg.com/profile_banners/1010965028441346050/1529949647" TargetMode="External"/><Relationship Id="rId269" Type="http://schemas.openxmlformats.org/officeDocument/2006/relationships/hyperlink" Target="https://pbs.twimg.com/profile_images/1178170882981793792/Wp29KRAz_normal.jpg" TargetMode="External"/><Relationship Id="rId264" Type="http://schemas.openxmlformats.org/officeDocument/2006/relationships/hyperlink" Target="https://x.com/Miguel_Mawad/status/1773500812632756332" TargetMode="External"/><Relationship Id="rId263" Type="http://schemas.openxmlformats.org/officeDocument/2006/relationships/hyperlink" Target="https://pbs.twimg.com/media/GKKwHbOXEAAqaxo.jpg" TargetMode="External"/><Relationship Id="rId262" Type="http://schemas.openxmlformats.org/officeDocument/2006/relationships/hyperlink" Target="https://pbs.twimg.com/profile_banners/1010965028441346050/1529949647" TargetMode="External"/><Relationship Id="rId261" Type="http://schemas.openxmlformats.org/officeDocument/2006/relationships/hyperlink" Target="https://pbs.twimg.com/profile_images/1178170882981793792/Wp29KRAz_normal.jpg" TargetMode="External"/><Relationship Id="rId268" Type="http://schemas.openxmlformats.org/officeDocument/2006/relationships/hyperlink" Target="https://x.com/NeuroMty/status/1771195038120259633" TargetMode="External"/><Relationship Id="rId267" Type="http://schemas.openxmlformats.org/officeDocument/2006/relationships/hyperlink" Target="https://pbs.twimg.com/media/GJy9hXLXwAAAg75.jpg" TargetMode="External"/><Relationship Id="rId266" Type="http://schemas.openxmlformats.org/officeDocument/2006/relationships/hyperlink" Target="https://pbs.twimg.com/profile_banners/1713895414494007297/1699454810" TargetMode="External"/><Relationship Id="rId265" Type="http://schemas.openxmlformats.org/officeDocument/2006/relationships/hyperlink" Target="https://pbs.twimg.com/profile_images/1722121724093677568/zw4PmcXy_normal.jpg" TargetMode="External"/><Relationship Id="rId260" Type="http://schemas.openxmlformats.org/officeDocument/2006/relationships/hyperlink" Target="https://x.com/NeuroMty/status/1775174847997378893" TargetMode="External"/><Relationship Id="rId259" Type="http://schemas.openxmlformats.org/officeDocument/2006/relationships/hyperlink" Target="https://pbs.twimg.com/media/GKQWt3NXYAMzk6c.jpg" TargetMode="External"/><Relationship Id="rId258" Type="http://schemas.openxmlformats.org/officeDocument/2006/relationships/hyperlink" Target="https://pbs.twimg.com/profile_banners/1010965028441346050/1529949647" TargetMode="External"/><Relationship Id="rId253" Type="http://schemas.openxmlformats.org/officeDocument/2006/relationships/hyperlink" Target="https://pbs.twimg.com/profile_images/1178170882981793792/Wp29KRAz_normal.jpg" TargetMode="External"/><Relationship Id="rId495" Type="http://schemas.openxmlformats.org/officeDocument/2006/relationships/hyperlink" Target="https://pbs.twimg.com/profile_images/1453134963977641993/Vl-h5ugG_normal.jpg" TargetMode="External"/><Relationship Id="rId252" Type="http://schemas.openxmlformats.org/officeDocument/2006/relationships/hyperlink" Target="https://x.com/NeuroMty/status/1776283522887553359" TargetMode="External"/><Relationship Id="rId494" Type="http://schemas.openxmlformats.org/officeDocument/2006/relationships/hyperlink" Target="https://x.com/ampachico/status/1584982856606310401" TargetMode="External"/><Relationship Id="rId251" Type="http://schemas.openxmlformats.org/officeDocument/2006/relationships/hyperlink" Target="https://pbs.twimg.com/ext_tw_video_thumb/1782383065483857920/pu/img/IoBSFzzJIzS6w62A.jpg" TargetMode="External"/><Relationship Id="rId493" Type="http://schemas.openxmlformats.org/officeDocument/2006/relationships/hyperlink" Target="https://pbs.twimg.com/profile_banners/11538752/1605858843" TargetMode="External"/><Relationship Id="rId250" Type="http://schemas.openxmlformats.org/officeDocument/2006/relationships/hyperlink" Target="https://pbs.twimg.com/profile_banners/518324519/1761211140" TargetMode="External"/><Relationship Id="rId492" Type="http://schemas.openxmlformats.org/officeDocument/2006/relationships/hyperlink" Target="https://pbs.twimg.com/profile_images/1633430286355644416/0PsDbC2c_normal.jpg" TargetMode="External"/><Relationship Id="rId257" Type="http://schemas.openxmlformats.org/officeDocument/2006/relationships/hyperlink" Target="https://pbs.twimg.com/profile_images/1178170882981793792/Wp29KRAz_normal.jpg" TargetMode="External"/><Relationship Id="rId499" Type="http://schemas.openxmlformats.org/officeDocument/2006/relationships/hyperlink" Target="https://pbs.twimg.com/profile_images/1580287990215196672/nIzbtvmI_normal.jpg" TargetMode="External"/><Relationship Id="rId256" Type="http://schemas.openxmlformats.org/officeDocument/2006/relationships/hyperlink" Target="https://x.com/NeuroMty/status/1775569134052344303" TargetMode="External"/><Relationship Id="rId498" Type="http://schemas.openxmlformats.org/officeDocument/2006/relationships/hyperlink" Target="https://x.com/LevementeND/status/1582472146193817600" TargetMode="External"/><Relationship Id="rId255" Type="http://schemas.openxmlformats.org/officeDocument/2006/relationships/hyperlink" Target="https://pbs.twimg.com/media/GKagcjoXUAETUo1.jpg,https://pbs.twimg.com/media/GKagcjpXkAAysYG.jpg" TargetMode="External"/><Relationship Id="rId497" Type="http://schemas.openxmlformats.org/officeDocument/2006/relationships/hyperlink" Target="https://pbs.twimg.com/media/Ff79KyYXgAEHLst.jpg" TargetMode="External"/><Relationship Id="rId254" Type="http://schemas.openxmlformats.org/officeDocument/2006/relationships/hyperlink" Target="https://pbs.twimg.com/profile_banners/1010965028441346050/1529949647" TargetMode="External"/><Relationship Id="rId496" Type="http://schemas.openxmlformats.org/officeDocument/2006/relationships/hyperlink" Target="https://pbs.twimg.com/profile_banners/385954220/1635325275" TargetMode="External"/><Relationship Id="rId293" Type="http://schemas.openxmlformats.org/officeDocument/2006/relationships/hyperlink" Target="https://x.com/landysJairPsic/status/1766271651639930905" TargetMode="External"/><Relationship Id="rId292" Type="http://schemas.openxmlformats.org/officeDocument/2006/relationships/hyperlink" Target="https://video.twimg.com/amplify_video/1767721138199633921/vid/avc1/720x1280/wVaq3juyE83AIZwc.mp4?tag=14" TargetMode="External"/><Relationship Id="rId291" Type="http://schemas.openxmlformats.org/officeDocument/2006/relationships/hyperlink" Target="https://pbs.twimg.com/amplify_video_thumb/1767721138199633921/img/ffndns9T4zmCzBQF.jpg" TargetMode="External"/><Relationship Id="rId290" Type="http://schemas.openxmlformats.org/officeDocument/2006/relationships/hyperlink" Target="https://pbs.twimg.com/profile_images/1745094281449103360/Len2zkMK_normal.jpg" TargetMode="External"/><Relationship Id="rId286" Type="http://schemas.openxmlformats.org/officeDocument/2006/relationships/hyperlink" Target="https://pbs.twimg.com/profile_images/1178170882981793792/Wp29KRAz_normal.jpg" TargetMode="External"/><Relationship Id="rId285" Type="http://schemas.openxmlformats.org/officeDocument/2006/relationships/hyperlink" Target="https://x.com/NeuroMty/status/1768669119463788662" TargetMode="External"/><Relationship Id="rId284" Type="http://schemas.openxmlformats.org/officeDocument/2006/relationships/hyperlink" Target="https://video.twimg.com/ext_tw_video/1769068678610333696/pu/vid/avc1/576x1024/9rY6zw_iicanA8Ro.mp4?tag=12" TargetMode="External"/><Relationship Id="rId283" Type="http://schemas.openxmlformats.org/officeDocument/2006/relationships/hyperlink" Target="https://pbs.twimg.com/ext_tw_video_thumb/1769068678610333696/pu/img/hHm5zV-IGv_xwAlI.jpg" TargetMode="External"/><Relationship Id="rId289" Type="http://schemas.openxmlformats.org/officeDocument/2006/relationships/hyperlink" Target="https://x.com/landysJairPsic/status/1767721420262392113" TargetMode="External"/><Relationship Id="rId288" Type="http://schemas.openxmlformats.org/officeDocument/2006/relationships/hyperlink" Target="https://pbs.twimg.com/media/GIuTMFTXIAAEQJj.jpg,https://pbs.twimg.com/media/GIuTMFTX0AEVyqu.jpg" TargetMode="External"/><Relationship Id="rId287" Type="http://schemas.openxmlformats.org/officeDocument/2006/relationships/hyperlink" Target="https://pbs.twimg.com/profile_banners/1010965028441346050/1529949647" TargetMode="External"/><Relationship Id="rId282" Type="http://schemas.openxmlformats.org/officeDocument/2006/relationships/hyperlink" Target="https://pbs.twimg.com/profile_banners/1694786358479339520/1695332263" TargetMode="External"/><Relationship Id="rId281" Type="http://schemas.openxmlformats.org/officeDocument/2006/relationships/hyperlink" Target="https://pbs.twimg.com/profile_images/1709741620092964864/L2Gc7nC2_normal.jpg" TargetMode="External"/><Relationship Id="rId280" Type="http://schemas.openxmlformats.org/officeDocument/2006/relationships/hyperlink" Target="https://x.com/historia_md1/status/1769068723279716390" TargetMode="External"/><Relationship Id="rId275" Type="http://schemas.openxmlformats.org/officeDocument/2006/relationships/hyperlink" Target="https://pbs.twimg.com/media/GJIjOYVWQAIH8V7.jpg" TargetMode="External"/><Relationship Id="rId274" Type="http://schemas.openxmlformats.org/officeDocument/2006/relationships/hyperlink" Target="https://pbs.twimg.com/profile_banners/1010965028441346050/1529949647" TargetMode="External"/><Relationship Id="rId273" Type="http://schemas.openxmlformats.org/officeDocument/2006/relationships/hyperlink" Target="https://pbs.twimg.com/profile_images/1178170882981793792/Wp29KRAz_normal.jpg" TargetMode="External"/><Relationship Id="rId272" Type="http://schemas.openxmlformats.org/officeDocument/2006/relationships/hyperlink" Target="https://x.com/NeuroMty/status/1770516339217576295" TargetMode="External"/><Relationship Id="rId279" Type="http://schemas.openxmlformats.org/officeDocument/2006/relationships/hyperlink" Target="https://pbs.twimg.com/media/GJDG88SWoAA5MI9.jpg" TargetMode="External"/><Relationship Id="rId278" Type="http://schemas.openxmlformats.org/officeDocument/2006/relationships/hyperlink" Target="https://pbs.twimg.com/profile_banners/1010965028441346050/1529949647" TargetMode="External"/><Relationship Id="rId277" Type="http://schemas.openxmlformats.org/officeDocument/2006/relationships/hyperlink" Target="https://pbs.twimg.com/profile_images/1178170882981793792/Wp29KRAz_normal.jpg" TargetMode="External"/><Relationship Id="rId276" Type="http://schemas.openxmlformats.org/officeDocument/2006/relationships/hyperlink" Target="https://x.com/NeuroMty/status/1770133410566029456" TargetMode="External"/><Relationship Id="rId907" Type="http://schemas.openxmlformats.org/officeDocument/2006/relationships/hyperlink" Target="https://x.com/adahigi/status/1379470218834108423" TargetMode="External"/><Relationship Id="rId906" Type="http://schemas.openxmlformats.org/officeDocument/2006/relationships/hyperlink" Target="https://pbs.twimg.com/profile_banners/59464192/1619411393" TargetMode="External"/><Relationship Id="rId905" Type="http://schemas.openxmlformats.org/officeDocument/2006/relationships/hyperlink" Target="https://pbs.twimg.com/profile_images/1401188116455698436/lX7cZL-V_normal.jpg" TargetMode="External"/><Relationship Id="rId904" Type="http://schemas.openxmlformats.org/officeDocument/2006/relationships/hyperlink" Target="https://x.com/bacabi/status/1387375800526065666" TargetMode="External"/><Relationship Id="rId909" Type="http://schemas.openxmlformats.org/officeDocument/2006/relationships/hyperlink" Target="https://pbs.twimg.com/profile_banners/937041894198136838/1752248588" TargetMode="External"/><Relationship Id="rId908" Type="http://schemas.openxmlformats.org/officeDocument/2006/relationships/hyperlink" Target="https://pbs.twimg.com/profile_images/1623821709865283584/Yu6OfLCD_normal.jpg" TargetMode="External"/><Relationship Id="rId903" Type="http://schemas.openxmlformats.org/officeDocument/2006/relationships/hyperlink" Target="https://pbs.twimg.com/media/E01NeibXsAoIR6u.jpg" TargetMode="External"/><Relationship Id="rId902" Type="http://schemas.openxmlformats.org/officeDocument/2006/relationships/hyperlink" Target="https://pbs.twimg.com/profile_banners/1366516195512451074/1722134252" TargetMode="External"/><Relationship Id="rId901" Type="http://schemas.openxmlformats.org/officeDocument/2006/relationships/hyperlink" Target="https://pbs.twimg.com/profile_images/1894008786462879744/VuSRKypX_normal.jpg" TargetMode="External"/><Relationship Id="rId900" Type="http://schemas.openxmlformats.org/officeDocument/2006/relationships/hyperlink" Target="https://x.com/coralineandu/status/1390853048868745216" TargetMode="External"/><Relationship Id="rId929" Type="http://schemas.openxmlformats.org/officeDocument/2006/relationships/hyperlink" Target="https://x.com/vivilemes7/status/1364662385420681222" TargetMode="External"/><Relationship Id="rId928" Type="http://schemas.openxmlformats.org/officeDocument/2006/relationships/hyperlink" Target="https://pbs.twimg.com/profile_banners/418745717/1505846641" TargetMode="External"/><Relationship Id="rId927" Type="http://schemas.openxmlformats.org/officeDocument/2006/relationships/hyperlink" Target="https://pbs.twimg.com/profile_images/913770379277193221/wRVT6qSz_normal.jpg" TargetMode="External"/><Relationship Id="rId926" Type="http://schemas.openxmlformats.org/officeDocument/2006/relationships/hyperlink" Target="https://x.com/vivilemes7/status/1364662884031152131" TargetMode="External"/><Relationship Id="rId921" Type="http://schemas.openxmlformats.org/officeDocument/2006/relationships/hyperlink" Target="https://www.facebook.com/groups/www.triangulonaranja.org/?ref=share" TargetMode="External"/><Relationship Id="rId920" Type="http://schemas.openxmlformats.org/officeDocument/2006/relationships/hyperlink" Target="https://pbs.twimg.com/profile_banners/328287949/1717009164" TargetMode="External"/><Relationship Id="rId925" Type="http://schemas.openxmlformats.org/officeDocument/2006/relationships/hyperlink" Target="https://pbs.twimg.com/profile_banners/418745717/1505846641" TargetMode="External"/><Relationship Id="rId924" Type="http://schemas.openxmlformats.org/officeDocument/2006/relationships/hyperlink" Target="https://pbs.twimg.com/profile_images/913770379277193221/wRVT6qSz_normal.jpg" TargetMode="External"/><Relationship Id="rId923" Type="http://schemas.openxmlformats.org/officeDocument/2006/relationships/hyperlink" Target="https://x.com/vivilemes7/status/1364663133814554626" TargetMode="External"/><Relationship Id="rId922" Type="http://schemas.openxmlformats.org/officeDocument/2006/relationships/hyperlink" Target="https://pbs.twimg.com/media/EvGOWT0XMBQ-0Ye.jpg" TargetMode="External"/><Relationship Id="rId918" Type="http://schemas.openxmlformats.org/officeDocument/2006/relationships/hyperlink" Target="https://x.com/elifarmen/status/1365028679273840652" TargetMode="External"/><Relationship Id="rId917" Type="http://schemas.openxmlformats.org/officeDocument/2006/relationships/hyperlink" Target="https://pbs.twimg.com/profile_banners/1361271221657214976/1634611328" TargetMode="External"/><Relationship Id="rId916" Type="http://schemas.openxmlformats.org/officeDocument/2006/relationships/hyperlink" Target="https://pbs.twimg.com/profile_images/1685661549598228481/62txBozO_normal.jpg" TargetMode="External"/><Relationship Id="rId915" Type="http://schemas.openxmlformats.org/officeDocument/2006/relationships/hyperlink" Target="https://x.com/tdahdislex/status/1370275939138072579" TargetMode="External"/><Relationship Id="rId919" Type="http://schemas.openxmlformats.org/officeDocument/2006/relationships/hyperlink" Target="https://pbs.twimg.com/profile_images/1593705545852194818/BQaHOokV_normal.jpg" TargetMode="External"/><Relationship Id="rId910" Type="http://schemas.openxmlformats.org/officeDocument/2006/relationships/hyperlink" Target="https://pbs.twimg.com/media/EyR1FS7XAAYYBGD.jpg" TargetMode="External"/><Relationship Id="rId914" Type="http://schemas.openxmlformats.org/officeDocument/2006/relationships/hyperlink" Target="https://pbs.twimg.com/media/EwmREvQXMAE-BQU.jpg" TargetMode="External"/><Relationship Id="rId913" Type="http://schemas.openxmlformats.org/officeDocument/2006/relationships/hyperlink" Target="https://pbs.twimg.com/profile_banners/518324519/1761211140" TargetMode="External"/><Relationship Id="rId912" Type="http://schemas.openxmlformats.org/officeDocument/2006/relationships/hyperlink" Target="https://pbs.twimg.com/profile_images/1976590156187512832/_VGxXwTK_normal.jpg" TargetMode="External"/><Relationship Id="rId911" Type="http://schemas.openxmlformats.org/officeDocument/2006/relationships/hyperlink" Target="https://x.com/feaadah/status/1371787416529473539" TargetMode="External"/><Relationship Id="rId1213" Type="http://schemas.openxmlformats.org/officeDocument/2006/relationships/hyperlink" Target="https://www.instagram.com/catiapipoca2/p/Bwe6os3F7Kb/?utm_source=ig_twitter_share&amp;igshid=yse23wokt366" TargetMode="External"/><Relationship Id="rId1214" Type="http://schemas.openxmlformats.org/officeDocument/2006/relationships/hyperlink" Target="https://x.com/AndTdah/status/1119588471985901568" TargetMode="External"/><Relationship Id="rId1215" Type="http://schemas.openxmlformats.org/officeDocument/2006/relationships/hyperlink" Target="https://pbs.twimg.com/profile_images/1321243396976054273/1R3rfIY9_normal.jpg" TargetMode="External"/><Relationship Id="rId1216" Type="http://schemas.openxmlformats.org/officeDocument/2006/relationships/hyperlink" Target="https://www.instagram.com/p/BwenwCqgxB_/?utm_source=ig_twitter_share&amp;igshid=1dvd5ag0q3c69" TargetMode="External"/><Relationship Id="rId1217" Type="http://schemas.openxmlformats.org/officeDocument/2006/relationships/hyperlink" Target="https://x.com/catia_pipoca/status/1119263353111830534" TargetMode="External"/><Relationship Id="rId1218" Type="http://schemas.openxmlformats.org/officeDocument/2006/relationships/hyperlink" Target="https://pbs.twimg.com/profile_images/1598333301860843520/gJH29YjF_normal.jpg" TargetMode="External"/><Relationship Id="rId1219" Type="http://schemas.openxmlformats.org/officeDocument/2006/relationships/hyperlink" Target="https://pbs.twimg.com/profile_banners/194657190/1582063989" TargetMode="External"/><Relationship Id="rId629" Type="http://schemas.openxmlformats.org/officeDocument/2006/relationships/hyperlink" Target="https://pbs.twimg.com/profile_banners/1127581082986192896/1660506971" TargetMode="External"/><Relationship Id="rId624" Type="http://schemas.openxmlformats.org/officeDocument/2006/relationships/hyperlink" Target="https://pbs.twimg.com/profile_images/1640515760417013760/qSOHAZQT_normal.jpg" TargetMode="External"/><Relationship Id="rId866" Type="http://schemas.openxmlformats.org/officeDocument/2006/relationships/hyperlink" Target="https://pbs.twimg.com/profile_images/1407425818138136583/Zhu8rhut_normal.jpg" TargetMode="External"/><Relationship Id="rId623" Type="http://schemas.openxmlformats.org/officeDocument/2006/relationships/hyperlink" Target="https://x.com/carolinitacresp/status/1546838968133722112" TargetMode="External"/><Relationship Id="rId865" Type="http://schemas.openxmlformats.org/officeDocument/2006/relationships/hyperlink" Target="https://x.com/fermarvalle/status/1426817746621411328" TargetMode="External"/><Relationship Id="rId622" Type="http://schemas.openxmlformats.org/officeDocument/2006/relationships/hyperlink" Target="https://video.twimg.com/ext_tw_video/1547318906301419526/pu/vid/720x720/C41_WaxqJWJzvpGV.mp4?tag=12" TargetMode="External"/><Relationship Id="rId864" Type="http://schemas.openxmlformats.org/officeDocument/2006/relationships/hyperlink" Target="https://pbs.twimg.com/profile_banners/1163749201249034240/1566300442" TargetMode="External"/><Relationship Id="rId621" Type="http://schemas.openxmlformats.org/officeDocument/2006/relationships/hyperlink" Target="https://pbs.twimg.com/ext_tw_video_thumb/1547318906301419526/pu/img/BCYnm_Cv_M9n5Syq.jpg" TargetMode="External"/><Relationship Id="rId863" Type="http://schemas.openxmlformats.org/officeDocument/2006/relationships/hyperlink" Target="https://pbs.twimg.com/profile_images/1400314207367802881/s-Gbc-xe_normal.jpg" TargetMode="External"/><Relationship Id="rId628" Type="http://schemas.openxmlformats.org/officeDocument/2006/relationships/hyperlink" Target="https://pbs.twimg.com/profile_images/1477276471878209541/954UqXt6_normal.jpg" TargetMode="External"/><Relationship Id="rId627" Type="http://schemas.openxmlformats.org/officeDocument/2006/relationships/hyperlink" Target="https://x.com/dara_coch/status/1544733964186882051" TargetMode="External"/><Relationship Id="rId869" Type="http://schemas.openxmlformats.org/officeDocument/2006/relationships/hyperlink" Target="https://x.com/dara_coch/status/1426240324926681088" TargetMode="External"/><Relationship Id="rId626" Type="http://schemas.openxmlformats.org/officeDocument/2006/relationships/hyperlink" Target="https://pbs.twimg.com/media/FXd51d_WIAUqJDX.jpg" TargetMode="External"/><Relationship Id="rId868" Type="http://schemas.openxmlformats.org/officeDocument/2006/relationships/hyperlink" Target="https://pbs.twimg.com/media/E80TLShWUAM2B7S.jpg" TargetMode="External"/><Relationship Id="rId625" Type="http://schemas.openxmlformats.org/officeDocument/2006/relationships/hyperlink" Target="https://pbs.twimg.com/profile_banners/276266211/1679964422" TargetMode="External"/><Relationship Id="rId867" Type="http://schemas.openxmlformats.org/officeDocument/2006/relationships/hyperlink" Target="https://pbs.twimg.com/profile_banners/993731562/1619039647" TargetMode="External"/><Relationship Id="rId620" Type="http://schemas.openxmlformats.org/officeDocument/2006/relationships/hyperlink" Target="https://pbs.twimg.com/profile_banners/233983755/1628799946" TargetMode="External"/><Relationship Id="rId862" Type="http://schemas.openxmlformats.org/officeDocument/2006/relationships/hyperlink" Target="https://x.com/MatVaquer/status/1428358932423069713" TargetMode="External"/><Relationship Id="rId861" Type="http://schemas.openxmlformats.org/officeDocument/2006/relationships/hyperlink" Target="https://pbs.twimg.com/profile_banners/1010965028441346050/1529949647" TargetMode="External"/><Relationship Id="rId1210" Type="http://schemas.openxmlformats.org/officeDocument/2006/relationships/hyperlink" Target="https://x.com/catia_pipoca/status/1119629999198306304" TargetMode="External"/><Relationship Id="rId860" Type="http://schemas.openxmlformats.org/officeDocument/2006/relationships/hyperlink" Target="https://pbs.twimg.com/profile_images/1178170882981793792/Wp29KRAz_normal.jpg" TargetMode="External"/><Relationship Id="rId1211" Type="http://schemas.openxmlformats.org/officeDocument/2006/relationships/hyperlink" Target="https://pbs.twimg.com/profile_images/1598333301860843520/gJH29YjF_normal.jpg" TargetMode="External"/><Relationship Id="rId1212" Type="http://schemas.openxmlformats.org/officeDocument/2006/relationships/hyperlink" Target="https://pbs.twimg.com/profile_banners/194657190/1582063989" TargetMode="External"/><Relationship Id="rId1202" Type="http://schemas.openxmlformats.org/officeDocument/2006/relationships/hyperlink" Target="https://x.com/PenaciniSeba/status/1125789503019335686" TargetMode="External"/><Relationship Id="rId1203" Type="http://schemas.openxmlformats.org/officeDocument/2006/relationships/hyperlink" Target="https://pbs.twimg.com/profile_images/1381049823/Seba2_normal.jpg" TargetMode="External"/><Relationship Id="rId1204" Type="http://schemas.openxmlformats.org/officeDocument/2006/relationships/hyperlink" Target="https://pbs.twimg.com/profile_banners/310674189/1398171530" TargetMode="External"/><Relationship Id="rId1205" Type="http://schemas.openxmlformats.org/officeDocument/2006/relationships/hyperlink" Target="https://www.instagram.com/p/BxKrpwGArnR/?utm_source=ig_twitter_share&amp;igshid=17m0hc9kja6zg" TargetMode="External"/><Relationship Id="rId1206" Type="http://schemas.openxmlformats.org/officeDocument/2006/relationships/hyperlink" Target="https://x.com/KarenVillafuer2/status/1120558713478307841" TargetMode="External"/><Relationship Id="rId1207" Type="http://schemas.openxmlformats.org/officeDocument/2006/relationships/hyperlink" Target="https://pbs.twimg.com/profile_images/1168111272522637313/8tUZeCIS_normal.jpg" TargetMode="External"/><Relationship Id="rId1208" Type="http://schemas.openxmlformats.org/officeDocument/2006/relationships/hyperlink" Target="https://pbs.twimg.com/profile_banners/440318017/1575163414" TargetMode="External"/><Relationship Id="rId1209" Type="http://schemas.openxmlformats.org/officeDocument/2006/relationships/hyperlink" Target="https://www.instagram.com/p/Bwlg928g2u1E8UZa9C9Bmal_GvVO2G3kAbsm6w0/?utm_source=ig_twitter_share&amp;igshid=evx2jw7xs6tg" TargetMode="External"/><Relationship Id="rId619" Type="http://schemas.openxmlformats.org/officeDocument/2006/relationships/hyperlink" Target="https://pbs.twimg.com/profile_images/1425916434799079427/B9U791py_normal.jpg" TargetMode="External"/><Relationship Id="rId618" Type="http://schemas.openxmlformats.org/officeDocument/2006/relationships/hyperlink" Target="https://x.com/NoticieroHechos/status/1547324995906437120" TargetMode="External"/><Relationship Id="rId613" Type="http://schemas.openxmlformats.org/officeDocument/2006/relationships/hyperlink" Target="https://pbs.twimg.com/profile_banners/16407741/1653499712" TargetMode="External"/><Relationship Id="rId855" Type="http://schemas.openxmlformats.org/officeDocument/2006/relationships/hyperlink" Target="https://pbs.twimg.com/profile_banners/2858700746/1482377237" TargetMode="External"/><Relationship Id="rId612" Type="http://schemas.openxmlformats.org/officeDocument/2006/relationships/hyperlink" Target="https://pbs.twimg.com/profile_images/1524056616370376704/jUKLwu36_normal.jpg" TargetMode="External"/><Relationship Id="rId854" Type="http://schemas.openxmlformats.org/officeDocument/2006/relationships/hyperlink" Target="https://pbs.twimg.com/profile_images/1481643932932980737/2BaFN1Om_normal.jpg" TargetMode="External"/><Relationship Id="rId611" Type="http://schemas.openxmlformats.org/officeDocument/2006/relationships/hyperlink" Target="https://x.com/ffdalles/status/1547663772411518983" TargetMode="External"/><Relationship Id="rId853" Type="http://schemas.openxmlformats.org/officeDocument/2006/relationships/hyperlink" Target="https://x.com/RodrigoBugarin/status/1443314386467180550" TargetMode="External"/><Relationship Id="rId610" Type="http://schemas.openxmlformats.org/officeDocument/2006/relationships/hyperlink" Target="https://pbs.twimg.com/media/FX9IEa9WQAE38o1.jpg" TargetMode="External"/><Relationship Id="rId852" Type="http://schemas.openxmlformats.org/officeDocument/2006/relationships/hyperlink" Target="https://pbs.twimg.com/media/FBHGKtFWYAI6pDv.jpg" TargetMode="External"/><Relationship Id="rId617" Type="http://schemas.openxmlformats.org/officeDocument/2006/relationships/hyperlink" Target="https://www.instagram.com/p/Cf-FabcIgCy/?igshid=YTgzYjQ4ZTY=" TargetMode="External"/><Relationship Id="rId859" Type="http://schemas.openxmlformats.org/officeDocument/2006/relationships/hyperlink" Target="https://x.com/NeuroMty/status/1433454773538377730" TargetMode="External"/><Relationship Id="rId616" Type="http://schemas.openxmlformats.org/officeDocument/2006/relationships/hyperlink" Target="https://pbs.twimg.com/profile_banners/765202699012956160/1575329356" TargetMode="External"/><Relationship Id="rId858" Type="http://schemas.openxmlformats.org/officeDocument/2006/relationships/hyperlink" Target="https://pbs.twimg.com/profile_banners/1127581082986192896/1660506971" TargetMode="External"/><Relationship Id="rId615" Type="http://schemas.openxmlformats.org/officeDocument/2006/relationships/hyperlink" Target="https://pbs.twimg.com/profile_images/1201644523669131264/zgO6D7kV_normal.jpg" TargetMode="External"/><Relationship Id="rId857" Type="http://schemas.openxmlformats.org/officeDocument/2006/relationships/hyperlink" Target="https://pbs.twimg.com/profile_images/1477276471878209541/954UqXt6_normal.jpg" TargetMode="External"/><Relationship Id="rId614" Type="http://schemas.openxmlformats.org/officeDocument/2006/relationships/hyperlink" Target="https://x.com/Psicotogether_/status/1547354932650643457" TargetMode="External"/><Relationship Id="rId856" Type="http://schemas.openxmlformats.org/officeDocument/2006/relationships/hyperlink" Target="https://x.com/dara_coch/status/1441828566778499073" TargetMode="External"/><Relationship Id="rId851" Type="http://schemas.openxmlformats.org/officeDocument/2006/relationships/hyperlink" Target="https://pbs.twimg.com/profile_banners/1010965028441346050/1529949647" TargetMode="External"/><Relationship Id="rId850" Type="http://schemas.openxmlformats.org/officeDocument/2006/relationships/hyperlink" Target="https://pbs.twimg.com/profile_images/1178170882981793792/Wp29KRAz_normal.jpg" TargetMode="External"/><Relationship Id="rId1200" Type="http://schemas.openxmlformats.org/officeDocument/2006/relationships/hyperlink" Target="https://pbs.twimg.com/profile_images/1295974167762948103/XwObAGFo_normal.jpg" TargetMode="External"/><Relationship Id="rId1201" Type="http://schemas.openxmlformats.org/officeDocument/2006/relationships/hyperlink" Target="https://pbs.twimg.com/profile_banners/227281813/1597819295" TargetMode="External"/><Relationship Id="rId409" Type="http://schemas.openxmlformats.org/officeDocument/2006/relationships/hyperlink" Target="https://x.com/Txeminis/status/1657553076226609152" TargetMode="External"/><Relationship Id="rId404" Type="http://schemas.openxmlformats.org/officeDocument/2006/relationships/hyperlink" Target="https://pbs.twimg.com/profile_images/1935466314300002304/4NGLoK6__normal.jpg" TargetMode="External"/><Relationship Id="rId646" Type="http://schemas.openxmlformats.org/officeDocument/2006/relationships/hyperlink" Target="https://www.instagram.com/tv/CfZkp_iActj/?igshid=YmMyMTA2M2Y=" TargetMode="External"/><Relationship Id="rId888" Type="http://schemas.openxmlformats.org/officeDocument/2006/relationships/hyperlink" Target="https://x.com/Isabelnunezvill/status/1401266320906326021" TargetMode="External"/><Relationship Id="rId403" Type="http://schemas.openxmlformats.org/officeDocument/2006/relationships/hyperlink" Target="https://x.com/malditatv_/status/1659714688723058695" TargetMode="External"/><Relationship Id="rId645" Type="http://schemas.openxmlformats.org/officeDocument/2006/relationships/hyperlink" Target="https://pbs.twimg.com/profile_banners/1127581082986192896/1660506971" TargetMode="External"/><Relationship Id="rId887" Type="http://schemas.openxmlformats.org/officeDocument/2006/relationships/hyperlink" Target="https://pbs.twimg.com/profile_banners/59464192/1619411393" TargetMode="External"/><Relationship Id="rId402" Type="http://schemas.openxmlformats.org/officeDocument/2006/relationships/hyperlink" Target="https://pbs.twimg.com/profile_banners/1361271221657214976/1634611328" TargetMode="External"/><Relationship Id="rId644" Type="http://schemas.openxmlformats.org/officeDocument/2006/relationships/hyperlink" Target="https://pbs.twimg.com/profile_images/1477276471878209541/954UqXt6_normal.jpg" TargetMode="External"/><Relationship Id="rId886" Type="http://schemas.openxmlformats.org/officeDocument/2006/relationships/hyperlink" Target="https://pbs.twimg.com/profile_images/1401188116455698436/lX7cZL-V_normal.jpg" TargetMode="External"/><Relationship Id="rId401" Type="http://schemas.openxmlformats.org/officeDocument/2006/relationships/hyperlink" Target="https://pbs.twimg.com/profile_images/1685661549598228481/62txBozO_normal.jpg" TargetMode="External"/><Relationship Id="rId643" Type="http://schemas.openxmlformats.org/officeDocument/2006/relationships/hyperlink" Target="https://x.com/dara_coch/status/1542386186693509121" TargetMode="External"/><Relationship Id="rId885" Type="http://schemas.openxmlformats.org/officeDocument/2006/relationships/hyperlink" Target="https://x.com/bacabi/status/1408403647818571781" TargetMode="External"/><Relationship Id="rId408" Type="http://schemas.openxmlformats.org/officeDocument/2006/relationships/hyperlink" Target="https://pbs.twimg.com/media/FwakP3-WYAAEupG.jpg" TargetMode="External"/><Relationship Id="rId407" Type="http://schemas.openxmlformats.org/officeDocument/2006/relationships/hyperlink" Target="https://pbs.twimg.com/profile_banners/1426998562097967104/1679838392" TargetMode="External"/><Relationship Id="rId649" Type="http://schemas.openxmlformats.org/officeDocument/2006/relationships/hyperlink" Target="https://pbs.twimg.com/profile_banners/1201999683062767616/1575414932" TargetMode="External"/><Relationship Id="rId406" Type="http://schemas.openxmlformats.org/officeDocument/2006/relationships/hyperlink" Target="https://pbs.twimg.com/profile_images/1639987383876583427/FHKyE0jn_normal.jpg" TargetMode="External"/><Relationship Id="rId648" Type="http://schemas.openxmlformats.org/officeDocument/2006/relationships/hyperlink" Target="https://pbs.twimg.com/profile_images/1542267070200569857/vBWlbLhF_normal.jpg" TargetMode="External"/><Relationship Id="rId405" Type="http://schemas.openxmlformats.org/officeDocument/2006/relationships/hyperlink" Target="https://x.com/Gil_Cardoso_/status/1659194111373737984" TargetMode="External"/><Relationship Id="rId647" Type="http://schemas.openxmlformats.org/officeDocument/2006/relationships/hyperlink" Target="https://x.com/holatdah/status/1542268399161679872" TargetMode="External"/><Relationship Id="rId889" Type="http://schemas.openxmlformats.org/officeDocument/2006/relationships/hyperlink" Target="https://pbs.twimg.com/profile_images/1557247884621488128/_CWJ8uIe_normal.jpg" TargetMode="External"/><Relationship Id="rId880" Type="http://schemas.openxmlformats.org/officeDocument/2006/relationships/hyperlink" Target="https://pbs.twimg.com/media/E6L1p3pXEAQKBTE.jpg" TargetMode="External"/><Relationship Id="rId400" Type="http://schemas.openxmlformats.org/officeDocument/2006/relationships/hyperlink" Target="https://x.com/tdahdislex/status/1661503884517416961" TargetMode="External"/><Relationship Id="rId642" Type="http://schemas.openxmlformats.org/officeDocument/2006/relationships/hyperlink" Target="https://pbs.twimg.com/media/FWfYPSpX0AAnirw.jpg" TargetMode="External"/><Relationship Id="rId884" Type="http://schemas.openxmlformats.org/officeDocument/2006/relationships/hyperlink" Target="https://pbs.twimg.com/media/E6Lj4SmXsAQDwAR.jpg" TargetMode="External"/><Relationship Id="rId641" Type="http://schemas.openxmlformats.org/officeDocument/2006/relationships/hyperlink" Target="https://pbs.twimg.com/profile_banners/937041894198136838/1752248588" TargetMode="External"/><Relationship Id="rId883" Type="http://schemas.openxmlformats.org/officeDocument/2006/relationships/hyperlink" Target="https://pbs.twimg.com/profile_banners/3114604301/1633529545" TargetMode="External"/><Relationship Id="rId640" Type="http://schemas.openxmlformats.org/officeDocument/2006/relationships/hyperlink" Target="https://pbs.twimg.com/profile_images/1623821709865283584/Yu6OfLCD_normal.jpg" TargetMode="External"/><Relationship Id="rId882" Type="http://schemas.openxmlformats.org/officeDocument/2006/relationships/hyperlink" Target="https://pbs.twimg.com/profile_images/1744422112108969984/uPrKDBCU_normal.jpg" TargetMode="External"/><Relationship Id="rId881" Type="http://schemas.openxmlformats.org/officeDocument/2006/relationships/hyperlink" Target="https://x.com/LoretoCharques/status/1414943813534208001" TargetMode="External"/><Relationship Id="rId1224" Type="http://schemas.openxmlformats.org/officeDocument/2006/relationships/hyperlink" Target="https://www.revistamercado.do/cinco-maneras-de-enfocarse-de-un-ejecutivo-que-sufrio-de-tdah/" TargetMode="External"/><Relationship Id="rId1225" Type="http://schemas.openxmlformats.org/officeDocument/2006/relationships/drawing" Target="../drawings/drawing3.xml"/><Relationship Id="rId635" Type="http://schemas.openxmlformats.org/officeDocument/2006/relationships/hyperlink" Target="https://x.com/dara_coch/status/1544730962898178048" TargetMode="External"/><Relationship Id="rId877" Type="http://schemas.openxmlformats.org/officeDocument/2006/relationships/hyperlink" Target="https://x.com/EQUIDAEpsico/status/1414963343094337546" TargetMode="External"/><Relationship Id="rId634" Type="http://schemas.openxmlformats.org/officeDocument/2006/relationships/hyperlink" Target="https://pbs.twimg.com/media/FW__SL1WYAEjTuN.jpg" TargetMode="External"/><Relationship Id="rId876" Type="http://schemas.openxmlformats.org/officeDocument/2006/relationships/hyperlink" Target="https://pbs.twimg.com/media/E6MAkESWUAI5q1d.jpg" TargetMode="External"/><Relationship Id="rId633" Type="http://schemas.openxmlformats.org/officeDocument/2006/relationships/hyperlink" Target="https://pbs.twimg.com/profile_banners/1127581082986192896/1660506971" TargetMode="External"/><Relationship Id="rId875" Type="http://schemas.openxmlformats.org/officeDocument/2006/relationships/hyperlink" Target="https://pbs.twimg.com/profile_banners/382008617/1706203733" TargetMode="External"/><Relationship Id="rId632" Type="http://schemas.openxmlformats.org/officeDocument/2006/relationships/hyperlink" Target="https://pbs.twimg.com/profile_images/1477276471878209541/954UqXt6_normal.jpg" TargetMode="External"/><Relationship Id="rId874" Type="http://schemas.openxmlformats.org/officeDocument/2006/relationships/hyperlink" Target="https://pbs.twimg.com/profile_images/1767643627243606016/O8aJowcV_normal.jpg" TargetMode="External"/><Relationship Id="rId639" Type="http://schemas.openxmlformats.org/officeDocument/2006/relationships/hyperlink" Target="https://x.com/adahigi/status/1542563773302689795" TargetMode="External"/><Relationship Id="rId638" Type="http://schemas.openxmlformats.org/officeDocument/2006/relationships/hyperlink" Target="https://pbs.twimg.com/media/FW_8nm9XoAAgi3H.jpg" TargetMode="External"/><Relationship Id="rId637" Type="http://schemas.openxmlformats.org/officeDocument/2006/relationships/hyperlink" Target="https://pbs.twimg.com/profile_banners/1127581082986192896/1660506971" TargetMode="External"/><Relationship Id="rId879" Type="http://schemas.openxmlformats.org/officeDocument/2006/relationships/hyperlink" Target="https://pbs.twimg.com/profile_banners/368864404/1513244095" TargetMode="External"/><Relationship Id="rId636" Type="http://schemas.openxmlformats.org/officeDocument/2006/relationships/hyperlink" Target="https://pbs.twimg.com/profile_images/1477276471878209541/954UqXt6_normal.jpg" TargetMode="External"/><Relationship Id="rId878" Type="http://schemas.openxmlformats.org/officeDocument/2006/relationships/hyperlink" Target="https://pbs.twimg.com/profile_images/1486001982297063429/k_jnYQT3_normal.jpg" TargetMode="External"/><Relationship Id="rId631" Type="http://schemas.openxmlformats.org/officeDocument/2006/relationships/hyperlink" Target="https://x.com/dara_coch/status/1544733893936414727" TargetMode="External"/><Relationship Id="rId873" Type="http://schemas.openxmlformats.org/officeDocument/2006/relationships/hyperlink" Target="https://x.com/PaquiBlancoPsi/status/1414975366049972224" TargetMode="External"/><Relationship Id="rId1220" Type="http://schemas.openxmlformats.org/officeDocument/2006/relationships/hyperlink" Target="https://www.instagram.com/catiapipoca2/p/BwcT55JFakc/?utm_source=ig_twitter_share&amp;igshid=1pe05ylhyyuy0" TargetMode="External"/><Relationship Id="rId630" Type="http://schemas.openxmlformats.org/officeDocument/2006/relationships/hyperlink" Target="https://pbs.twimg.com/media/FW__WTPXEAEB8iA.jpg" TargetMode="External"/><Relationship Id="rId872" Type="http://schemas.openxmlformats.org/officeDocument/2006/relationships/hyperlink" Target="https://www.linkedin.com/pulse/primeros-auxilios-para-el-tdah-nuria-bautista-ord%25C3%25A1s" TargetMode="External"/><Relationship Id="rId1221" Type="http://schemas.openxmlformats.org/officeDocument/2006/relationships/hyperlink" Target="https://x.com/apnadah/status/1114811100397223936" TargetMode="External"/><Relationship Id="rId871" Type="http://schemas.openxmlformats.org/officeDocument/2006/relationships/hyperlink" Target="https://pbs.twimg.com/profile_banners/1127581082986192896/1660506971" TargetMode="External"/><Relationship Id="rId1222" Type="http://schemas.openxmlformats.org/officeDocument/2006/relationships/hyperlink" Target="https://pbs.twimg.com/profile_images/1864701137938419713/rSYj-mMB_normal.jpg" TargetMode="External"/><Relationship Id="rId870" Type="http://schemas.openxmlformats.org/officeDocument/2006/relationships/hyperlink" Target="https://pbs.twimg.com/profile_images/1477276471878209541/954UqXt6_normal.jpg" TargetMode="External"/><Relationship Id="rId1223" Type="http://schemas.openxmlformats.org/officeDocument/2006/relationships/hyperlink" Target="https://pbs.twimg.com/profile_banners/3329875162/1743190833" TargetMode="External"/><Relationship Id="rId829" Type="http://schemas.openxmlformats.org/officeDocument/2006/relationships/hyperlink" Target="https://pbs.twimg.com/profile_banners/912754313625309185/1506452869" TargetMode="External"/><Relationship Id="rId828" Type="http://schemas.openxmlformats.org/officeDocument/2006/relationships/hyperlink" Target="https://pbs.twimg.com/profile_images/912755535967064065/IDyyEMQm_normal.jpg" TargetMode="External"/><Relationship Id="rId827" Type="http://schemas.openxmlformats.org/officeDocument/2006/relationships/hyperlink" Target="https://x.com/Deebbrandao/status/1453161454178291714" TargetMode="External"/><Relationship Id="rId822" Type="http://schemas.openxmlformats.org/officeDocument/2006/relationships/hyperlink" Target="https://www.instagram.com/p/CWZKqNqt-sh/?utm_medium=twitter" TargetMode="External"/><Relationship Id="rId821" Type="http://schemas.openxmlformats.org/officeDocument/2006/relationships/hyperlink" Target="https://pbs.twimg.com/profile_banners/85579025/1646525025" TargetMode="External"/><Relationship Id="rId820" Type="http://schemas.openxmlformats.org/officeDocument/2006/relationships/hyperlink" Target="https://pbs.twimg.com/profile_images/1586867025116381185/tVsuBPic_normal.jpg" TargetMode="External"/><Relationship Id="rId826" Type="http://schemas.openxmlformats.org/officeDocument/2006/relationships/hyperlink" Target="https://pbs.twimg.com/media/FD7jf_QWYAAiQCc.png" TargetMode="External"/><Relationship Id="rId825" Type="http://schemas.openxmlformats.org/officeDocument/2006/relationships/hyperlink" Target="https://pbs.twimg.com/profile_banners/1270360276144193542/1631137670" TargetMode="External"/><Relationship Id="rId824" Type="http://schemas.openxmlformats.org/officeDocument/2006/relationships/hyperlink" Target="https://pbs.twimg.com/profile_images/1435716799484645377/WxN_NQ7D_normal.jpg" TargetMode="External"/><Relationship Id="rId823" Type="http://schemas.openxmlformats.org/officeDocument/2006/relationships/hyperlink" Target="https://x.com/16enconducTDAH/status/1458854918077530125" TargetMode="External"/><Relationship Id="rId819" Type="http://schemas.openxmlformats.org/officeDocument/2006/relationships/hyperlink" Target="https://x.com/paolasantysnow/status/1461094517675900930" TargetMode="External"/><Relationship Id="rId818" Type="http://schemas.openxmlformats.org/officeDocument/2006/relationships/hyperlink" Target="https://pbs.twimg.com/media/FEfzc5OX0AE5l8k.jpg" TargetMode="External"/><Relationship Id="rId817" Type="http://schemas.openxmlformats.org/officeDocument/2006/relationships/hyperlink" Target="https://pbs.twimg.com/profile_banners/148166520/1648312589" TargetMode="External"/><Relationship Id="rId816" Type="http://schemas.openxmlformats.org/officeDocument/2006/relationships/hyperlink" Target="https://pbs.twimg.com/profile_images/1374762365510680578/hHZ5kikg_normal.jpg" TargetMode="External"/><Relationship Id="rId811" Type="http://schemas.openxmlformats.org/officeDocument/2006/relationships/hyperlink" Target="https://www.instagram.com/p/CWiY31oPEz2tAgwStddSH_slzfIdki_Mt8IY-Y0/?utm_medium=twitter" TargetMode="External"/><Relationship Id="rId810" Type="http://schemas.openxmlformats.org/officeDocument/2006/relationships/hyperlink" Target="https://pbs.twimg.com/profile_banners/303479496/1634946552" TargetMode="External"/><Relationship Id="rId815" Type="http://schemas.openxmlformats.org/officeDocument/2006/relationships/hyperlink" Target="https://x.com/cmmenna/status/1461404330733543426" TargetMode="External"/><Relationship Id="rId814" Type="http://schemas.openxmlformats.org/officeDocument/2006/relationships/hyperlink" Target="https://pbs.twimg.com/profile_banners/1405630571066298374/1635160055" TargetMode="External"/><Relationship Id="rId813" Type="http://schemas.openxmlformats.org/officeDocument/2006/relationships/hyperlink" Target="https://pbs.twimg.com/profile_images/1463835793752039424/pFi-XOJA_normal.jpg" TargetMode="External"/><Relationship Id="rId812" Type="http://schemas.openxmlformats.org/officeDocument/2006/relationships/hyperlink" Target="https://x.com/NEURAdivergente/status/1461415845263986689" TargetMode="External"/><Relationship Id="rId609" Type="http://schemas.openxmlformats.org/officeDocument/2006/relationships/hyperlink" Target="https://pbs.twimg.com/profile_banners/1127581082986192896/1660506971" TargetMode="External"/><Relationship Id="rId608" Type="http://schemas.openxmlformats.org/officeDocument/2006/relationships/hyperlink" Target="https://pbs.twimg.com/profile_images/1477276471878209541/954UqXt6_normal.jpg" TargetMode="External"/><Relationship Id="rId607" Type="http://schemas.openxmlformats.org/officeDocument/2006/relationships/hyperlink" Target="https://x.com/dara_coch/status/1549036040635109378" TargetMode="External"/><Relationship Id="rId849" Type="http://schemas.openxmlformats.org/officeDocument/2006/relationships/hyperlink" Target="https://x.com/NeuroMty/status/1446154848706211846" TargetMode="External"/><Relationship Id="rId602" Type="http://schemas.openxmlformats.org/officeDocument/2006/relationships/hyperlink" Target="https://pbs.twimg.com/profile_images/898853589266944000/AjZBTIgg_normal.jpg" TargetMode="External"/><Relationship Id="rId844" Type="http://schemas.openxmlformats.org/officeDocument/2006/relationships/hyperlink" Target="https://pbs.twimg.com/profile_images/1792231364651003904/gQTTfdMB_normal.jpg" TargetMode="External"/><Relationship Id="rId601" Type="http://schemas.openxmlformats.org/officeDocument/2006/relationships/hyperlink" Target="https://x.com/LogopediaYMas/status/1550441056541474816" TargetMode="External"/><Relationship Id="rId843" Type="http://schemas.openxmlformats.org/officeDocument/2006/relationships/hyperlink" Target="https://x.com/marcobonito/status/1448319042436149248" TargetMode="External"/><Relationship Id="rId600" Type="http://schemas.openxmlformats.org/officeDocument/2006/relationships/hyperlink" Target="https://pbs.twimg.com/media/FYWSitFWAAArWBs.jpg" TargetMode="External"/><Relationship Id="rId842" Type="http://schemas.openxmlformats.org/officeDocument/2006/relationships/hyperlink" Target="https://pbs.twimg.com/profile_banners/1068540099242147846/1633396524" TargetMode="External"/><Relationship Id="rId841" Type="http://schemas.openxmlformats.org/officeDocument/2006/relationships/hyperlink" Target="https://pbs.twimg.com/profile_images/1786384764867420160/K2bsw3uI_normal.jpg" TargetMode="External"/><Relationship Id="rId606" Type="http://schemas.openxmlformats.org/officeDocument/2006/relationships/hyperlink" Target="https://pbs.twimg.com/media/FYRF7LUWIAEYpmo.jpg" TargetMode="External"/><Relationship Id="rId848" Type="http://schemas.openxmlformats.org/officeDocument/2006/relationships/hyperlink" Target="https://pbs.twimg.com/profile_banners/1068540099242147846/1633396524" TargetMode="External"/><Relationship Id="rId605" Type="http://schemas.openxmlformats.org/officeDocument/2006/relationships/hyperlink" Target="https://www.logopediaymas.es/blog/tda/" TargetMode="External"/><Relationship Id="rId847" Type="http://schemas.openxmlformats.org/officeDocument/2006/relationships/hyperlink" Target="https://pbs.twimg.com/profile_images/1786384764867420160/K2bsw3uI_normal.jpg" TargetMode="External"/><Relationship Id="rId604" Type="http://schemas.openxmlformats.org/officeDocument/2006/relationships/hyperlink" Target="http://conte.ai" TargetMode="External"/><Relationship Id="rId846" Type="http://schemas.openxmlformats.org/officeDocument/2006/relationships/hyperlink" Target="https://x.com/doug_romao/status/1447989352991186951" TargetMode="External"/><Relationship Id="rId603" Type="http://schemas.openxmlformats.org/officeDocument/2006/relationships/hyperlink" Target="https://pbs.twimg.com/profile_banners/4017379276/1661957865" TargetMode="External"/><Relationship Id="rId845" Type="http://schemas.openxmlformats.org/officeDocument/2006/relationships/hyperlink" Target="https://pbs.twimg.com/profile_banners/29739738/1716136242" TargetMode="External"/><Relationship Id="rId840" Type="http://schemas.openxmlformats.org/officeDocument/2006/relationships/hyperlink" Target="https://x.com/doug_romao/status/1448750204904222721" TargetMode="External"/><Relationship Id="rId839" Type="http://schemas.openxmlformats.org/officeDocument/2006/relationships/hyperlink" Target="https://pbs.twimg.com/profile_banners/206729257/1564063613" TargetMode="External"/><Relationship Id="rId838" Type="http://schemas.openxmlformats.org/officeDocument/2006/relationships/hyperlink" Target="https://pbs.twimg.com/profile_images/1450574364764565504/m42D2ZQ1_normal.jpg" TargetMode="External"/><Relationship Id="rId833" Type="http://schemas.openxmlformats.org/officeDocument/2006/relationships/hyperlink" Target="https://www.instagram.com/p/CVZlilLAYOVCwrgH5cblklEaxb_KJGbg_7BpIw0/?utm_medium=twitter" TargetMode="External"/><Relationship Id="rId832" Type="http://schemas.openxmlformats.org/officeDocument/2006/relationships/hyperlink" Target="https://pbs.twimg.com/profile_banners/1275477288331751424/1764346765" TargetMode="External"/><Relationship Id="rId831" Type="http://schemas.openxmlformats.org/officeDocument/2006/relationships/hyperlink" Target="https://pbs.twimg.com/profile_images/1945655004833910784/CnZJ8R5b_normal.jpg" TargetMode="External"/><Relationship Id="rId830" Type="http://schemas.openxmlformats.org/officeDocument/2006/relationships/hyperlink" Target="https://x.com/PMueckay/status/1452146292612689921" TargetMode="External"/><Relationship Id="rId837" Type="http://schemas.openxmlformats.org/officeDocument/2006/relationships/hyperlink" Target="https://x.com/mirind4/status/1449555161391714304" TargetMode="External"/><Relationship Id="rId836" Type="http://schemas.openxmlformats.org/officeDocument/2006/relationships/hyperlink" Target="https://pbs.twimg.com/profile_banners/1048863479506067456/1704694222" TargetMode="External"/><Relationship Id="rId835" Type="http://schemas.openxmlformats.org/officeDocument/2006/relationships/hyperlink" Target="https://pbs.twimg.com/profile_images/1744240102245568514/8KDBqomS_normal.jpg" TargetMode="External"/><Relationship Id="rId834" Type="http://schemas.openxmlformats.org/officeDocument/2006/relationships/hyperlink" Target="https://x.com/ahidabizkaia/status/1451631720814555141" TargetMode="External"/><Relationship Id="rId1059" Type="http://schemas.openxmlformats.org/officeDocument/2006/relationships/hyperlink" Target="https://pbs.twimg.com/profile_banners/3329875162/1743190833" TargetMode="External"/><Relationship Id="rId228" Type="http://schemas.openxmlformats.org/officeDocument/2006/relationships/hyperlink" Target="https://pbs.twimg.com/profile_images/1178170882981793792/Wp29KRAz_normal.jpg" TargetMode="External"/><Relationship Id="rId227" Type="http://schemas.openxmlformats.org/officeDocument/2006/relationships/hyperlink" Target="https://x.com/NeuroMty/status/1798399102511694225" TargetMode="External"/><Relationship Id="rId469" Type="http://schemas.openxmlformats.org/officeDocument/2006/relationships/hyperlink" Target="https://pbs.twimg.com/profile_banners/1127581082986192896/1660506971" TargetMode="External"/><Relationship Id="rId226" Type="http://schemas.openxmlformats.org/officeDocument/2006/relationships/hyperlink" Target="https://pbs.twimg.com/profile_banners/1010965028441346050/1529949647" TargetMode="External"/><Relationship Id="rId468" Type="http://schemas.openxmlformats.org/officeDocument/2006/relationships/hyperlink" Target="https://pbs.twimg.com/profile_images/1477276471878209541/954UqXt6_normal.jpg" TargetMode="External"/><Relationship Id="rId225" Type="http://schemas.openxmlformats.org/officeDocument/2006/relationships/hyperlink" Target="https://pbs.twimg.com/profile_images/1178170882981793792/Wp29KRAz_normal.jpg" TargetMode="External"/><Relationship Id="rId467" Type="http://schemas.openxmlformats.org/officeDocument/2006/relationships/hyperlink" Target="https://x.com/dara_coch/status/1605258885434056722" TargetMode="External"/><Relationship Id="rId229" Type="http://schemas.openxmlformats.org/officeDocument/2006/relationships/hyperlink" Target="https://pbs.twimg.com/profile_banners/1010965028441346050/1529949647" TargetMode="External"/><Relationship Id="rId1050" Type="http://schemas.openxmlformats.org/officeDocument/2006/relationships/hyperlink" Target="https://x.com/DNATalentqro/status/1263950133349269504" TargetMode="External"/><Relationship Id="rId220" Type="http://schemas.openxmlformats.org/officeDocument/2006/relationships/hyperlink" Target="https://pbs.twimg.com/media/GPLATosWYAAMSyp.jpg" TargetMode="External"/><Relationship Id="rId462" Type="http://schemas.openxmlformats.org/officeDocument/2006/relationships/hyperlink" Target="https://pbs.twimg.com/profile_images/1397076451875241987/OMSYoNJO_normal.jpg" TargetMode="External"/><Relationship Id="rId1051" Type="http://schemas.openxmlformats.org/officeDocument/2006/relationships/hyperlink" Target="https://pbs.twimg.com/profile_images/1955868134839136258/R9xQQFNI_normal.jpg" TargetMode="External"/><Relationship Id="rId461" Type="http://schemas.openxmlformats.org/officeDocument/2006/relationships/hyperlink" Target="https://x.com/LadyDalek/status/1606415506709401603" TargetMode="External"/><Relationship Id="rId1052" Type="http://schemas.openxmlformats.org/officeDocument/2006/relationships/hyperlink" Target="https://pbs.twimg.com/profile_banners/1107081892522807297/1763784304" TargetMode="External"/><Relationship Id="rId460" Type="http://schemas.openxmlformats.org/officeDocument/2006/relationships/hyperlink" Target="https://www.fronteiralivre.com.br/noticia/20-estrategias-escolares-para-criancas-com-deficit-de-atencao-ou-tdah" TargetMode="External"/><Relationship Id="rId1053" Type="http://schemas.openxmlformats.org/officeDocument/2006/relationships/hyperlink" Target="https://pbs.twimg.com/media/EYpz8YrXYAYn-cU.jpg" TargetMode="External"/><Relationship Id="rId1054" Type="http://schemas.openxmlformats.org/officeDocument/2006/relationships/hyperlink" Target="https://x.com/apnadah/status/1263375675425206272" TargetMode="External"/><Relationship Id="rId224" Type="http://schemas.openxmlformats.org/officeDocument/2006/relationships/hyperlink" Target="https://x.com/NeuroMty/status/1798399287426171004" TargetMode="External"/><Relationship Id="rId466" Type="http://schemas.openxmlformats.org/officeDocument/2006/relationships/hyperlink" Target="https://www.instagram.com/p/CmcKd-gJWyN/?igshid=YTgzYjQ4ZTY=" TargetMode="External"/><Relationship Id="rId1055" Type="http://schemas.openxmlformats.org/officeDocument/2006/relationships/hyperlink" Target="https://pbs.twimg.com/profile_images/1864701137938419713/rSYj-mMB_normal.jpg" TargetMode="External"/><Relationship Id="rId223" Type="http://schemas.openxmlformats.org/officeDocument/2006/relationships/hyperlink" Target="https://pbs.twimg.com/profile_banners/1010965028441346050/1529949647" TargetMode="External"/><Relationship Id="rId465" Type="http://schemas.openxmlformats.org/officeDocument/2006/relationships/hyperlink" Target="https://pbs.twimg.com/profile_images/1277308858671783938/lZ_eWfDQ_normal.jpg" TargetMode="External"/><Relationship Id="rId1056" Type="http://schemas.openxmlformats.org/officeDocument/2006/relationships/hyperlink" Target="https://pbs.twimg.com/profile_banners/3329875162/1743190833" TargetMode="External"/><Relationship Id="rId222" Type="http://schemas.openxmlformats.org/officeDocument/2006/relationships/hyperlink" Target="https://pbs.twimg.com/profile_images/1178170882981793792/Wp29KRAz_normal.jpg" TargetMode="External"/><Relationship Id="rId464" Type="http://schemas.openxmlformats.org/officeDocument/2006/relationships/hyperlink" Target="https://x.com/MicheleLuckwu/status/1605631366208552984" TargetMode="External"/><Relationship Id="rId1057" Type="http://schemas.openxmlformats.org/officeDocument/2006/relationships/hyperlink" Target="https://x.com/apnadah/status/1263134606800363520" TargetMode="External"/><Relationship Id="rId221" Type="http://schemas.openxmlformats.org/officeDocument/2006/relationships/hyperlink" Target="https://x.com/NeuroMty/status/1798399611238797434" TargetMode="External"/><Relationship Id="rId463" Type="http://schemas.openxmlformats.org/officeDocument/2006/relationships/hyperlink" Target="https://pbs.twimg.com/profile_banners/620336672/1401060219" TargetMode="External"/><Relationship Id="rId1058" Type="http://schemas.openxmlformats.org/officeDocument/2006/relationships/hyperlink" Target="https://pbs.twimg.com/profile_images/1864701137938419713/rSYj-mMB_normal.jpg" TargetMode="External"/><Relationship Id="rId1048" Type="http://schemas.openxmlformats.org/officeDocument/2006/relationships/hyperlink" Target="https://pbs.twimg.com/profile_images/1982901806452576256/__5CcFkY_normal.jpg" TargetMode="External"/><Relationship Id="rId1049" Type="http://schemas.openxmlformats.org/officeDocument/2006/relationships/hyperlink" Target="https://pbs.twimg.com/profile_banners/2271551214/1741608348" TargetMode="External"/><Relationship Id="rId217" Type="http://schemas.openxmlformats.org/officeDocument/2006/relationships/hyperlink" Target="https://x.com/AlexsimonSeg/status/1798435370226630873" TargetMode="External"/><Relationship Id="rId459" Type="http://schemas.openxmlformats.org/officeDocument/2006/relationships/hyperlink" Target="https://pbs.twimg.com/profile_banners/72681608/1743102241" TargetMode="External"/><Relationship Id="rId216" Type="http://schemas.openxmlformats.org/officeDocument/2006/relationships/hyperlink" Target="https://pbs.twimg.com/media/GPLDjAfXYAApDf9.jpg" TargetMode="External"/><Relationship Id="rId458" Type="http://schemas.openxmlformats.org/officeDocument/2006/relationships/hyperlink" Target="https://pbs.twimg.com/profile_images/1824509553616076800/GzxavTR__normal.jpg" TargetMode="External"/><Relationship Id="rId215" Type="http://schemas.openxmlformats.org/officeDocument/2006/relationships/hyperlink" Target="https://pbs.twimg.com/profile_banners/2482901372/1399507048" TargetMode="External"/><Relationship Id="rId457" Type="http://schemas.openxmlformats.org/officeDocument/2006/relationships/hyperlink" Target="https://x.com/fronteira_livre/status/1611037608443797504" TargetMode="External"/><Relationship Id="rId699" Type="http://schemas.openxmlformats.org/officeDocument/2006/relationships/hyperlink" Target="https://www.instagram.com/p/CcifcyllELW/?igshid=YTgzYjQ4ZTY=" TargetMode="External"/><Relationship Id="rId214" Type="http://schemas.openxmlformats.org/officeDocument/2006/relationships/hyperlink" Target="https://pbs.twimg.com/profile_images/464189920618094592/sucnZ0y4_normal.jpeg" TargetMode="External"/><Relationship Id="rId456" Type="http://schemas.openxmlformats.org/officeDocument/2006/relationships/hyperlink" Target="https://pbs.twimg.com/profile_banners/16407741/1653499712" TargetMode="External"/><Relationship Id="rId698" Type="http://schemas.openxmlformats.org/officeDocument/2006/relationships/hyperlink" Target="https://pbs.twimg.com/profile_banners/29438265/1764250272" TargetMode="External"/><Relationship Id="rId219" Type="http://schemas.openxmlformats.org/officeDocument/2006/relationships/hyperlink" Target="https://pbs.twimg.com/profile_banners/2478776394/1399501983" TargetMode="External"/><Relationship Id="rId218" Type="http://schemas.openxmlformats.org/officeDocument/2006/relationships/hyperlink" Target="https://pbs.twimg.com/profile_images/463405532796039168/U0GUXLy7_normal.jpeg" TargetMode="External"/><Relationship Id="rId451" Type="http://schemas.openxmlformats.org/officeDocument/2006/relationships/hyperlink" Target="https://pbs.twimg.com/profile_banners/1174138773023657985/1591234301" TargetMode="External"/><Relationship Id="rId693" Type="http://schemas.openxmlformats.org/officeDocument/2006/relationships/hyperlink" Target="https://pbs.twimg.com/profile_images/1686526371089018880/edfk0Y-e_normal.jpg" TargetMode="External"/><Relationship Id="rId1040" Type="http://schemas.openxmlformats.org/officeDocument/2006/relationships/hyperlink" Target="https://x.com/apnadah/status/1274244422738345984" TargetMode="External"/><Relationship Id="rId450" Type="http://schemas.openxmlformats.org/officeDocument/2006/relationships/hyperlink" Target="https://pbs.twimg.com/profile_images/1377529312304373766/DezBVjOe_normal.jpg" TargetMode="External"/><Relationship Id="rId692" Type="http://schemas.openxmlformats.org/officeDocument/2006/relationships/hyperlink" Target="https://x.com/kellemcristina/status/1517600249954684929" TargetMode="External"/><Relationship Id="rId1041" Type="http://schemas.openxmlformats.org/officeDocument/2006/relationships/hyperlink" Target="https://pbs.twimg.com/profile_images/1864701137938419713/rSYj-mMB_normal.jpg" TargetMode="External"/><Relationship Id="rId691" Type="http://schemas.openxmlformats.org/officeDocument/2006/relationships/hyperlink" Target="https://www.magisnet.com/2022/04/maite-urkizu-vivimos-en-una-sociedad-donde-acudir-a-salud-mental-esta-mal-visto/" TargetMode="External"/><Relationship Id="rId1042" Type="http://schemas.openxmlformats.org/officeDocument/2006/relationships/hyperlink" Target="https://pbs.twimg.com/profile_banners/3329875162/1743190833" TargetMode="External"/><Relationship Id="rId690" Type="http://schemas.openxmlformats.org/officeDocument/2006/relationships/hyperlink" Target="https://pbs.twimg.com/profile_banners/883094708/1633941130" TargetMode="External"/><Relationship Id="rId1043" Type="http://schemas.openxmlformats.org/officeDocument/2006/relationships/hyperlink" Target="https://x.com/eu_tdah/status/1273447099896598528" TargetMode="External"/><Relationship Id="rId213" Type="http://schemas.openxmlformats.org/officeDocument/2006/relationships/hyperlink" Target="https://x.com/Fllexibilidade/status/1798801281235955817" TargetMode="External"/><Relationship Id="rId455" Type="http://schemas.openxmlformats.org/officeDocument/2006/relationships/hyperlink" Target="https://pbs.twimg.com/profile_images/1524056616370376704/jUKLwu36_normal.jpg" TargetMode="External"/><Relationship Id="rId697" Type="http://schemas.openxmlformats.org/officeDocument/2006/relationships/hyperlink" Target="https://pbs.twimg.com/profile_images/1845914071033315328/h5nNVZ_-_normal.jpg" TargetMode="External"/><Relationship Id="rId1044" Type="http://schemas.openxmlformats.org/officeDocument/2006/relationships/hyperlink" Target="https://pbs.twimg.com/profile_images/1239380006511525889/cADTF2WX_normal.jpg" TargetMode="External"/><Relationship Id="rId212" Type="http://schemas.openxmlformats.org/officeDocument/2006/relationships/hyperlink" Target="https://pbs.twimg.com/media/GQkK4f4WoAE3vf4.jpg" TargetMode="External"/><Relationship Id="rId454" Type="http://schemas.openxmlformats.org/officeDocument/2006/relationships/hyperlink" Target="https://x.com/ffdalles/status/1611065472639766535" TargetMode="External"/><Relationship Id="rId696" Type="http://schemas.openxmlformats.org/officeDocument/2006/relationships/hyperlink" Target="https://x.com/CarlosAlmada/status/1516449930138857487" TargetMode="External"/><Relationship Id="rId1045" Type="http://schemas.openxmlformats.org/officeDocument/2006/relationships/hyperlink" Target="https://pbs.twimg.com/profile_banners/1008879073739853824/1584326196" TargetMode="External"/><Relationship Id="rId211" Type="http://schemas.openxmlformats.org/officeDocument/2006/relationships/hyperlink" Target="https://pbs.twimg.com/profile_banners/294078984/1760971502" TargetMode="External"/><Relationship Id="rId453" Type="http://schemas.openxmlformats.org/officeDocument/2006/relationships/hyperlink" Target="https://video.twimg.com/ext_tw_video/1618277587792314369/pu/vid/480x848/5y3AnmYSHuN_9BXL.mp4?tag=12" TargetMode="External"/><Relationship Id="rId695" Type="http://schemas.openxmlformats.org/officeDocument/2006/relationships/hyperlink" Target="https://www.instagram.com/p/CcqqjTIJ3NK/?igshid=YTgzYjQ4ZTY=" TargetMode="External"/><Relationship Id="rId1046" Type="http://schemas.openxmlformats.org/officeDocument/2006/relationships/hyperlink" Target="https://pbs.twimg.com/media/EawxYmRXgAE74yw.jpg" TargetMode="External"/><Relationship Id="rId210" Type="http://schemas.openxmlformats.org/officeDocument/2006/relationships/hyperlink" Target="https://pbs.twimg.com/profile_images/1983736835537776641/iYJzQoW2_normal.jpg" TargetMode="External"/><Relationship Id="rId452" Type="http://schemas.openxmlformats.org/officeDocument/2006/relationships/hyperlink" Target="https://pbs.twimg.com/ext_tw_video_thumb/1618277587792314369/pu/img/LvXcWb6pmPfsZlDd.jpg" TargetMode="External"/><Relationship Id="rId694" Type="http://schemas.openxmlformats.org/officeDocument/2006/relationships/hyperlink" Target="https://pbs.twimg.com/profile_banners/66186992/1658785677" TargetMode="External"/><Relationship Id="rId1047" Type="http://schemas.openxmlformats.org/officeDocument/2006/relationships/hyperlink" Target="https://x.com/victoramat01/status/1270736539174293505" TargetMode="External"/><Relationship Id="rId491" Type="http://schemas.openxmlformats.org/officeDocument/2006/relationships/hyperlink" Target="https://x.com/thalita/status/1590547019869073408" TargetMode="External"/><Relationship Id="rId490" Type="http://schemas.openxmlformats.org/officeDocument/2006/relationships/hyperlink" Target="https://pbs.twimg.com/profile_banners/1210547564967342081/1710866801" TargetMode="External"/><Relationship Id="rId249" Type="http://schemas.openxmlformats.org/officeDocument/2006/relationships/hyperlink" Target="https://pbs.twimg.com/profile_images/1976590156187512832/_VGxXwTK_normal.jpg" TargetMode="External"/><Relationship Id="rId248" Type="http://schemas.openxmlformats.org/officeDocument/2006/relationships/hyperlink" Target="https://x.com/feaadah/status/1782385788010832017" TargetMode="External"/><Relationship Id="rId247" Type="http://schemas.openxmlformats.org/officeDocument/2006/relationships/hyperlink" Target="https://www.instagram.com/p/C7hCnsZAY_w/?igsh=MXF1Zm81dGZvbmtlaA==" TargetMode="External"/><Relationship Id="rId489" Type="http://schemas.openxmlformats.org/officeDocument/2006/relationships/hyperlink" Target="https://pbs.twimg.com/profile_images/1770130549400608768/OfwHHRMr_normal.jpg" TargetMode="External"/><Relationship Id="rId1070" Type="http://schemas.openxmlformats.org/officeDocument/2006/relationships/hyperlink" Target="http://tdah-ajedrez.com" TargetMode="External"/><Relationship Id="rId1071" Type="http://schemas.openxmlformats.org/officeDocument/2006/relationships/hyperlink" Target="https://pbs.twimg.com/media/EUguCoSXgAYSmKr.jpg" TargetMode="External"/><Relationship Id="rId1072" Type="http://schemas.openxmlformats.org/officeDocument/2006/relationships/hyperlink" Target="https://x.com/AnittaBrito/status/1244934340510965765" TargetMode="External"/><Relationship Id="rId242" Type="http://schemas.openxmlformats.org/officeDocument/2006/relationships/hyperlink" Target="https://pbs.twimg.com/profile_images/933720057322057730/D13GPxaY_normal.jpg" TargetMode="External"/><Relationship Id="rId484" Type="http://schemas.openxmlformats.org/officeDocument/2006/relationships/hyperlink" Target="https://x.com/fundacioningada/status/1593543809681563649" TargetMode="External"/><Relationship Id="rId1073" Type="http://schemas.openxmlformats.org/officeDocument/2006/relationships/hyperlink" Target="https://pbs.twimg.com/profile_images/1441988460/DSC04789_normal.JPG" TargetMode="External"/><Relationship Id="rId241" Type="http://schemas.openxmlformats.org/officeDocument/2006/relationships/hyperlink" Target="https://x.com/milagorriti/status/1795822119697400131" TargetMode="External"/><Relationship Id="rId483" Type="http://schemas.openxmlformats.org/officeDocument/2006/relationships/hyperlink" Target="https://pbs.twimg.com/profile_images/1706399099728039936/1xmk8ckF_normal.jpg" TargetMode="External"/><Relationship Id="rId1074" Type="http://schemas.openxmlformats.org/officeDocument/2006/relationships/hyperlink" Target="https://pbs.twimg.com/profile_banners/159568467/1445777644" TargetMode="External"/><Relationship Id="rId240" Type="http://schemas.openxmlformats.org/officeDocument/2006/relationships/hyperlink" Target="https://i.mtr.cool/okjokjgjho" TargetMode="External"/><Relationship Id="rId482" Type="http://schemas.openxmlformats.org/officeDocument/2006/relationships/hyperlink" Target="https://x.com/eupaulaeller/status/1594664477001220096" TargetMode="External"/><Relationship Id="rId1075" Type="http://schemas.openxmlformats.org/officeDocument/2006/relationships/hyperlink" Target="https://www.instagram.com/p/B-ZQcrSlqQh/?igshid=rqybp9ugop9u" TargetMode="External"/><Relationship Id="rId481" Type="http://schemas.openxmlformats.org/officeDocument/2006/relationships/hyperlink" Target="https://pbs.twimg.com/profile_banners/937041894198136838/1752248588" TargetMode="External"/><Relationship Id="rId1076" Type="http://schemas.openxmlformats.org/officeDocument/2006/relationships/hyperlink" Target="https://x.com/apnadah/status/1244369367820832775" TargetMode="External"/><Relationship Id="rId246" Type="http://schemas.openxmlformats.org/officeDocument/2006/relationships/hyperlink" Target="https://pbs.twimg.com/profile_images/1781043747167289344/5QNj33E2_normal.jpg" TargetMode="External"/><Relationship Id="rId488" Type="http://schemas.openxmlformats.org/officeDocument/2006/relationships/hyperlink" Target="https://x.com/umpiscianosou/status/1591125317900730368" TargetMode="External"/><Relationship Id="rId1077" Type="http://schemas.openxmlformats.org/officeDocument/2006/relationships/hyperlink" Target="https://pbs.twimg.com/profile_images/1864701137938419713/rSYj-mMB_normal.jpg" TargetMode="External"/><Relationship Id="rId245" Type="http://schemas.openxmlformats.org/officeDocument/2006/relationships/hyperlink" Target="https://x.com/loqmsalvolavida/status/1795495359004991871" TargetMode="External"/><Relationship Id="rId487" Type="http://schemas.openxmlformats.org/officeDocument/2006/relationships/hyperlink" Target="https://pbs.twimg.com/media/Fh1npI_WYAEWUy1.jpg" TargetMode="External"/><Relationship Id="rId1078" Type="http://schemas.openxmlformats.org/officeDocument/2006/relationships/hyperlink" Target="https://pbs.twimg.com/profile_banners/3329875162/1743190833" TargetMode="External"/><Relationship Id="rId244" Type="http://schemas.openxmlformats.org/officeDocument/2006/relationships/hyperlink" Target="https://elneuropediatra.es/ep-2x22-un-tdah-da-para-escribir-un-libro-o-dos-con-mila-gorriti/" TargetMode="External"/><Relationship Id="rId486" Type="http://schemas.openxmlformats.org/officeDocument/2006/relationships/hyperlink" Target="https://pbs.twimg.com/profile_banners/2364082788/1425462919" TargetMode="External"/><Relationship Id="rId1079" Type="http://schemas.openxmlformats.org/officeDocument/2006/relationships/hyperlink" Target="https://pbs.twimg.com/media/EUNz0jdXsAI0Rwq.jpg" TargetMode="External"/><Relationship Id="rId243" Type="http://schemas.openxmlformats.org/officeDocument/2006/relationships/hyperlink" Target="https://pbs.twimg.com/profile_banners/428873334/1514322460" TargetMode="External"/><Relationship Id="rId485" Type="http://schemas.openxmlformats.org/officeDocument/2006/relationships/hyperlink" Target="https://pbs.twimg.com/profile_images/439016713338617856/itWypl0R_normal.png" TargetMode="External"/><Relationship Id="rId480" Type="http://schemas.openxmlformats.org/officeDocument/2006/relationships/hyperlink" Target="https://pbs.twimg.com/profile_images/1623821709865283584/Yu6OfLCD_normal.jpg" TargetMode="External"/><Relationship Id="rId239" Type="http://schemas.openxmlformats.org/officeDocument/2006/relationships/hyperlink" Target="https://pbs.twimg.com/profile_banners/337569038/1515873527" TargetMode="External"/><Relationship Id="rId238" Type="http://schemas.openxmlformats.org/officeDocument/2006/relationships/hyperlink" Target="https://pbs.twimg.com/profile_images/1707653377050521600/uRq160FU_normal.jpg" TargetMode="External"/><Relationship Id="rId237" Type="http://schemas.openxmlformats.org/officeDocument/2006/relationships/hyperlink" Target="https://x.com/elneuropediatra/status/1798029607834436089" TargetMode="External"/><Relationship Id="rId479" Type="http://schemas.openxmlformats.org/officeDocument/2006/relationships/hyperlink" Target="https://x.com/adahigi/status/1597309500150910977" TargetMode="External"/><Relationship Id="rId236" Type="http://schemas.openxmlformats.org/officeDocument/2006/relationships/hyperlink" Target="https://pbs.twimg.com/media/GPLE5pDXoAE4ysp.jpg" TargetMode="External"/><Relationship Id="rId478" Type="http://schemas.openxmlformats.org/officeDocument/2006/relationships/hyperlink" Target="https://pbs.twimg.com/media/FjtbqXIWQAcZkUc.jpg" TargetMode="External"/><Relationship Id="rId1060" Type="http://schemas.openxmlformats.org/officeDocument/2006/relationships/hyperlink" Target="https://x.com/AndTdah/status/1256949514096836612" TargetMode="External"/><Relationship Id="rId1061" Type="http://schemas.openxmlformats.org/officeDocument/2006/relationships/hyperlink" Target="https://pbs.twimg.com/profile_images/1321243396976054273/1R3rfIY9_normal.jpg" TargetMode="External"/><Relationship Id="rId231" Type="http://schemas.openxmlformats.org/officeDocument/2006/relationships/hyperlink" Target="https://pbs.twimg.com/profile_images/1178170882981793792/Wp29KRAz_normal.jpg" TargetMode="External"/><Relationship Id="rId473" Type="http://schemas.openxmlformats.org/officeDocument/2006/relationships/hyperlink" Target="https://pbs.twimg.com/profile_banners/89605309/1348214572" TargetMode="External"/><Relationship Id="rId1062" Type="http://schemas.openxmlformats.org/officeDocument/2006/relationships/hyperlink" Target="https://www.instagram.com/p/B_uoUllJIEP/?igshid=zp30jg8whm8v" TargetMode="External"/><Relationship Id="rId230" Type="http://schemas.openxmlformats.org/officeDocument/2006/relationships/hyperlink" Target="https://x.com/NeuroMty/status/1798121600904237075" TargetMode="External"/><Relationship Id="rId472" Type="http://schemas.openxmlformats.org/officeDocument/2006/relationships/hyperlink" Target="https://pbs.twimg.com/profile_images/1604979531097538561/bj78nGh__normal.jpg" TargetMode="External"/><Relationship Id="rId1063" Type="http://schemas.openxmlformats.org/officeDocument/2006/relationships/hyperlink" Target="https://x.com/adahi_es/status/1252570421649715201" TargetMode="External"/><Relationship Id="rId471" Type="http://schemas.openxmlformats.org/officeDocument/2006/relationships/hyperlink" Target="https://x.com/rafamerino/status/1604893886656258049" TargetMode="External"/><Relationship Id="rId1064" Type="http://schemas.openxmlformats.org/officeDocument/2006/relationships/hyperlink" Target="https://pbs.twimg.com/profile_images/1522157600514715648/UYDjDRjy_normal.jpg" TargetMode="External"/><Relationship Id="rId470" Type="http://schemas.openxmlformats.org/officeDocument/2006/relationships/hyperlink" Target="https://pbs.twimg.com/media/FkcGcu3XEAAu-s3.jpg" TargetMode="External"/><Relationship Id="rId1065" Type="http://schemas.openxmlformats.org/officeDocument/2006/relationships/hyperlink" Target="https://pbs.twimg.com/profile_banners/3341640273/1649862663" TargetMode="External"/><Relationship Id="rId235" Type="http://schemas.openxmlformats.org/officeDocument/2006/relationships/hyperlink" Target="https://pbs.twimg.com/profile_banners/2483025594/1399515333" TargetMode="External"/><Relationship Id="rId477" Type="http://schemas.openxmlformats.org/officeDocument/2006/relationships/hyperlink" Target="https://pbs.twimg.com/profile_banners/1127581082986192896/1660506971" TargetMode="External"/><Relationship Id="rId1066" Type="http://schemas.openxmlformats.org/officeDocument/2006/relationships/hyperlink" Target="https://pbs.twimg.com/media/EWIDfVMX0AEXij1.png" TargetMode="External"/><Relationship Id="rId234" Type="http://schemas.openxmlformats.org/officeDocument/2006/relationships/hyperlink" Target="https://pbs.twimg.com/profile_images/464224594920869888/lNekW1Va_normal.jpeg" TargetMode="External"/><Relationship Id="rId476" Type="http://schemas.openxmlformats.org/officeDocument/2006/relationships/hyperlink" Target="https://pbs.twimg.com/profile_images/1477276471878209541/954UqXt6_normal.jpg" TargetMode="External"/><Relationship Id="rId1067" Type="http://schemas.openxmlformats.org/officeDocument/2006/relationships/hyperlink" Target="https://x.com/tdahajedrez/status/1245306161936642048" TargetMode="External"/><Relationship Id="rId233" Type="http://schemas.openxmlformats.org/officeDocument/2006/relationships/hyperlink" Target="https://x.com/MajesegSeguros/status/1798078015252914266" TargetMode="External"/><Relationship Id="rId475" Type="http://schemas.openxmlformats.org/officeDocument/2006/relationships/hyperlink" Target="https://x.com/dara_coch/status/1602695064630837248" TargetMode="External"/><Relationship Id="rId1068" Type="http://schemas.openxmlformats.org/officeDocument/2006/relationships/hyperlink" Target="https://pbs.twimg.com/profile_images/1230435744386179072/ejWQu574_normal.png" TargetMode="External"/><Relationship Id="rId232" Type="http://schemas.openxmlformats.org/officeDocument/2006/relationships/hyperlink" Target="https://pbs.twimg.com/profile_banners/1010965028441346050/1529949647" TargetMode="External"/><Relationship Id="rId474" Type="http://schemas.openxmlformats.org/officeDocument/2006/relationships/hyperlink" Target="https://pbs.twimg.com/media/FkW6XarWYAAEyn5.png" TargetMode="External"/><Relationship Id="rId1069" Type="http://schemas.openxmlformats.org/officeDocument/2006/relationships/hyperlink" Target="https://pbs.twimg.com/profile_banners/1230435593148096513/1582193926" TargetMode="External"/><Relationship Id="rId1015" Type="http://schemas.openxmlformats.org/officeDocument/2006/relationships/hyperlink" Target="https://x.com/adamfrancoo/status/1299202128859275264" TargetMode="External"/><Relationship Id="rId1016" Type="http://schemas.openxmlformats.org/officeDocument/2006/relationships/hyperlink" Target="https://pbs.twimg.com/profile_images/1477894576857915395/hffubEWb_normal.jpg" TargetMode="External"/><Relationship Id="rId1017" Type="http://schemas.openxmlformats.org/officeDocument/2006/relationships/hyperlink" Target="https://pbs.twimg.com/profile_banners/4909051090/1593296024" TargetMode="External"/><Relationship Id="rId1018" Type="http://schemas.openxmlformats.org/officeDocument/2006/relationships/hyperlink" Target="https://instagr.am/p/CEawHcqD8Zd/" TargetMode="External"/><Relationship Id="rId1019" Type="http://schemas.openxmlformats.org/officeDocument/2006/relationships/hyperlink" Target="https://pbs.twimg.com/media/Egexc6JXgAAhcOw.jpg" TargetMode="External"/><Relationship Id="rId426" Type="http://schemas.openxmlformats.org/officeDocument/2006/relationships/hyperlink" Target="https://video.twimg.com/ext_tw_video/1644349730766438400/pu/vid/576x932/JRut805fj0YvqHgh.mp4?tag=12" TargetMode="External"/><Relationship Id="rId668" Type="http://schemas.openxmlformats.org/officeDocument/2006/relationships/hyperlink" Target="https://pbs.twimg.com/profile_images/1524056616370376704/jUKLwu36_normal.jpg" TargetMode="External"/><Relationship Id="rId425" Type="http://schemas.openxmlformats.org/officeDocument/2006/relationships/hyperlink" Target="https://pbs.twimg.com/ext_tw_video_thumb/1644349730766438400/pu/img/pFdjOuVpDKBEurO0.jpg" TargetMode="External"/><Relationship Id="rId667" Type="http://schemas.openxmlformats.org/officeDocument/2006/relationships/hyperlink" Target="https://x.com/ffdalles/status/1536453384651276288" TargetMode="External"/><Relationship Id="rId424" Type="http://schemas.openxmlformats.org/officeDocument/2006/relationships/hyperlink" Target="https://pbs.twimg.com/profile_banners/180142991/1667445978" TargetMode="External"/><Relationship Id="rId666" Type="http://schemas.openxmlformats.org/officeDocument/2006/relationships/hyperlink" Target="https://pbs.twimg.com/profile_banners/16407741/1653499712" TargetMode="External"/><Relationship Id="rId423" Type="http://schemas.openxmlformats.org/officeDocument/2006/relationships/hyperlink" Target="https://pbs.twimg.com/profile_images/1812592932068773888/geNiLL8B_normal.jpg" TargetMode="External"/><Relationship Id="rId665" Type="http://schemas.openxmlformats.org/officeDocument/2006/relationships/hyperlink" Target="https://pbs.twimg.com/profile_images/1524056616370376704/jUKLwu36_normal.jpg" TargetMode="External"/><Relationship Id="rId429" Type="http://schemas.openxmlformats.org/officeDocument/2006/relationships/hyperlink" Target="https://pbs.twimg.com/profile_banners/981246782/1354312092" TargetMode="External"/><Relationship Id="rId428" Type="http://schemas.openxmlformats.org/officeDocument/2006/relationships/hyperlink" Target="https://pbs.twimg.com/profile_images/2916123536/77aa775f2291e22e0f91e35ce07b8d06_normal.jpeg" TargetMode="External"/><Relationship Id="rId427" Type="http://schemas.openxmlformats.org/officeDocument/2006/relationships/hyperlink" Target="https://x.com/apdaperu/status/1631687336256847875" TargetMode="External"/><Relationship Id="rId669" Type="http://schemas.openxmlformats.org/officeDocument/2006/relationships/hyperlink" Target="https://pbs.twimg.com/profile_banners/16407741/1653499712" TargetMode="External"/><Relationship Id="rId660" Type="http://schemas.openxmlformats.org/officeDocument/2006/relationships/hyperlink" Target="https://www.instagram.com/p/Ce4w_GJN8xhLQn-5Sz-jo4wNlr20_ZUYlgqapk0/?igshid=YTgzYjQ4ZTY=" TargetMode="External"/><Relationship Id="rId1010" Type="http://schemas.openxmlformats.org/officeDocument/2006/relationships/hyperlink" Target="https://www.instagram.com/p/CEziZaFllU-/?igshid=sjpuxyulcg8v" TargetMode="External"/><Relationship Id="rId422" Type="http://schemas.openxmlformats.org/officeDocument/2006/relationships/hyperlink" Target="https://x.com/paulaenz/status/1644349795975282695" TargetMode="External"/><Relationship Id="rId664" Type="http://schemas.openxmlformats.org/officeDocument/2006/relationships/hyperlink" Target="https://x.com/ffdalles/status/1536558656015278083" TargetMode="External"/><Relationship Id="rId1011" Type="http://schemas.openxmlformats.org/officeDocument/2006/relationships/hyperlink" Target="https://x.com/byemme_/status/1300534268490285056" TargetMode="External"/><Relationship Id="rId421" Type="http://schemas.openxmlformats.org/officeDocument/2006/relationships/hyperlink" Target="https://pbs.twimg.com/media/FuoXU2LWwAI5H0s.jpg" TargetMode="External"/><Relationship Id="rId663" Type="http://schemas.openxmlformats.org/officeDocument/2006/relationships/hyperlink" Target="https://pbs.twimg.com/profile_banners/16407741/1653499712" TargetMode="External"/><Relationship Id="rId1012" Type="http://schemas.openxmlformats.org/officeDocument/2006/relationships/hyperlink" Target="https://pbs.twimg.com/profile_images/1713843706610987008/2z8MDqIh_normal.jpg" TargetMode="External"/><Relationship Id="rId420" Type="http://schemas.openxmlformats.org/officeDocument/2006/relationships/hyperlink" Target="https://pbs.twimg.com/profile_images/1488559085528268804/AVpS9V6Q_normal.jpg" TargetMode="External"/><Relationship Id="rId662" Type="http://schemas.openxmlformats.org/officeDocument/2006/relationships/hyperlink" Target="https://pbs.twimg.com/profile_images/1524056616370376704/jUKLwu36_normal.jpg" TargetMode="External"/><Relationship Id="rId1013" Type="http://schemas.openxmlformats.org/officeDocument/2006/relationships/hyperlink" Target="https://pbs.twimg.com/profile_banners/1034532516009582592/1708280801" TargetMode="External"/><Relationship Id="rId661" Type="http://schemas.openxmlformats.org/officeDocument/2006/relationships/hyperlink" Target="https://x.com/ffdalles/status/1537135217642700801" TargetMode="External"/><Relationship Id="rId1014" Type="http://schemas.openxmlformats.org/officeDocument/2006/relationships/hyperlink" Target="https://www.instagram.com/p/CEkUJiNCPd-/?igshid=1441hpoun9esr" TargetMode="External"/><Relationship Id="rId1004" Type="http://schemas.openxmlformats.org/officeDocument/2006/relationships/hyperlink" Target="https://pbs.twimg.com/profile_images/1230435744386179072/ejWQu574_normal.png" TargetMode="External"/><Relationship Id="rId1005" Type="http://schemas.openxmlformats.org/officeDocument/2006/relationships/hyperlink" Target="https://pbs.twimg.com/profile_banners/1230435593148096513/1582193926" TargetMode="External"/><Relationship Id="rId1006" Type="http://schemas.openxmlformats.org/officeDocument/2006/relationships/hyperlink" Target="http://tdah-ajedrez.com" TargetMode="External"/><Relationship Id="rId1007" Type="http://schemas.openxmlformats.org/officeDocument/2006/relationships/hyperlink" Target="https://pbs.twimg.com/media/EhUcxyHWoAE9SwM.jpg" TargetMode="External"/><Relationship Id="rId1008" Type="http://schemas.openxmlformats.org/officeDocument/2006/relationships/hyperlink" Target="https://x.com/PatriciaLopesT2/status/1302676167930109954" TargetMode="External"/><Relationship Id="rId1009" Type="http://schemas.openxmlformats.org/officeDocument/2006/relationships/hyperlink" Target="https://pbs.twimg.com/profile_images/1252593795851583491/ArWlJ87Z_normal.jpg" TargetMode="External"/><Relationship Id="rId415" Type="http://schemas.openxmlformats.org/officeDocument/2006/relationships/hyperlink" Target="https://x.com/tupsiquiatraa/status/1651944436643819520" TargetMode="External"/><Relationship Id="rId657" Type="http://schemas.openxmlformats.org/officeDocument/2006/relationships/hyperlink" Target="https://pbs.twimg.com/profile_banners/1361271221657214976/1634611328" TargetMode="External"/><Relationship Id="rId899" Type="http://schemas.openxmlformats.org/officeDocument/2006/relationships/hyperlink" Target="https://pbs.twimg.com/media/E1akL28XEAQKBF0.jpg,https://pbs.twimg.com/media/E1akL28XIAUT54N.jpg" TargetMode="External"/><Relationship Id="rId414" Type="http://schemas.openxmlformats.org/officeDocument/2006/relationships/hyperlink" Target="https://pbs.twimg.com/profile_banners/184775379/1588882728" TargetMode="External"/><Relationship Id="rId656" Type="http://schemas.openxmlformats.org/officeDocument/2006/relationships/hyperlink" Target="https://pbs.twimg.com/profile_images/1685661549598228481/62txBozO_normal.jpg" TargetMode="External"/><Relationship Id="rId898" Type="http://schemas.openxmlformats.org/officeDocument/2006/relationships/hyperlink" Target="https://pbs.twimg.com/profile_banners/518324519/1761211140" TargetMode="External"/><Relationship Id="rId413" Type="http://schemas.openxmlformats.org/officeDocument/2006/relationships/hyperlink" Target="https://pbs.twimg.com/profile_images/1246536418228396032/gud9LO03_normal.jpg" TargetMode="External"/><Relationship Id="rId655" Type="http://schemas.openxmlformats.org/officeDocument/2006/relationships/hyperlink" Target="https://x.com/tdahdislex/status/1541590354364977152" TargetMode="External"/><Relationship Id="rId897" Type="http://schemas.openxmlformats.org/officeDocument/2006/relationships/hyperlink" Target="https://pbs.twimg.com/profile_images/1976590156187512832/_VGxXwTK_normal.jpg" TargetMode="External"/><Relationship Id="rId412" Type="http://schemas.openxmlformats.org/officeDocument/2006/relationships/hyperlink" Target="https://x.com/Txeminis/status/1656241562362212353" TargetMode="External"/><Relationship Id="rId654" Type="http://schemas.openxmlformats.org/officeDocument/2006/relationships/hyperlink" Target="https://video.twimg.com/ext_tw_video/1542267398111330306/pu/vid/576x1024/unbTdAuzRokMEtCQ.mp4?tag=12" TargetMode="External"/><Relationship Id="rId896" Type="http://schemas.openxmlformats.org/officeDocument/2006/relationships/hyperlink" Target="https://x.com/feaadah/status/1393481663225778177" TargetMode="External"/><Relationship Id="rId419" Type="http://schemas.openxmlformats.org/officeDocument/2006/relationships/hyperlink" Target="https://x.com/gisele_dornelas/status/1651157867842482178" TargetMode="External"/><Relationship Id="rId418" Type="http://schemas.openxmlformats.org/officeDocument/2006/relationships/hyperlink" Target="https://pbs.twimg.com/media/FuzitdxWAAEXxqY.jpg" TargetMode="External"/><Relationship Id="rId417" Type="http://schemas.openxmlformats.org/officeDocument/2006/relationships/hyperlink" Target="https://pbs.twimg.com/profile_banners/831316723/1585412750" TargetMode="External"/><Relationship Id="rId659" Type="http://schemas.openxmlformats.org/officeDocument/2006/relationships/hyperlink" Target="https://pbs.twimg.com/profile_images/1277308858671783938/lZ_eWfDQ_normal.jpg" TargetMode="External"/><Relationship Id="rId416" Type="http://schemas.openxmlformats.org/officeDocument/2006/relationships/hyperlink" Target="https://pbs.twimg.com/profile_images/1370589148768264192/7y0hnbal_normal.jpg" TargetMode="External"/><Relationship Id="rId658" Type="http://schemas.openxmlformats.org/officeDocument/2006/relationships/hyperlink" Target="https://x.com/MicheleLuckwu/status/1537599120302653440" TargetMode="External"/><Relationship Id="rId891" Type="http://schemas.openxmlformats.org/officeDocument/2006/relationships/hyperlink" Target="https://pbs.twimg.com/media/E3JMSvDWUAQAHnn.jpg" TargetMode="External"/><Relationship Id="rId890" Type="http://schemas.openxmlformats.org/officeDocument/2006/relationships/hyperlink" Target="https://pbs.twimg.com/profile_banners/231255389/1660111814" TargetMode="External"/><Relationship Id="rId411" Type="http://schemas.openxmlformats.org/officeDocument/2006/relationships/hyperlink" Target="https://pbs.twimg.com/profile_banners/184775379/1588882728" TargetMode="External"/><Relationship Id="rId653" Type="http://schemas.openxmlformats.org/officeDocument/2006/relationships/hyperlink" Target="https://pbs.twimg.com/ext_tw_video_thumb/1542267398111330306/pu/img/GdCOF7O39P-BEi-D.jpg" TargetMode="External"/><Relationship Id="rId895" Type="http://schemas.openxmlformats.org/officeDocument/2006/relationships/hyperlink" Target="https://pbs.twimg.com/media/E2e-MhnXoA8eBrP.jpg" TargetMode="External"/><Relationship Id="rId1000" Type="http://schemas.openxmlformats.org/officeDocument/2006/relationships/hyperlink" Target="https://pbs.twimg.com/profile_images/478604221042810881/F_e2hv3l_normal.png" TargetMode="External"/><Relationship Id="rId410" Type="http://schemas.openxmlformats.org/officeDocument/2006/relationships/hyperlink" Target="https://pbs.twimg.com/profile_images/1246536418228396032/gud9LO03_normal.jpg" TargetMode="External"/><Relationship Id="rId652" Type="http://schemas.openxmlformats.org/officeDocument/2006/relationships/hyperlink" Target="https://pbs.twimg.com/profile_banners/1201999683062767616/1575414932" TargetMode="External"/><Relationship Id="rId894" Type="http://schemas.openxmlformats.org/officeDocument/2006/relationships/hyperlink" Target="https://pbs.twimg.com/profile_banners/80196025/1644007301" TargetMode="External"/><Relationship Id="rId1001" Type="http://schemas.openxmlformats.org/officeDocument/2006/relationships/hyperlink" Target="https://pbs.twimg.com/profile_banners/2571424633/1563458970" TargetMode="External"/><Relationship Id="rId651" Type="http://schemas.openxmlformats.org/officeDocument/2006/relationships/hyperlink" Target="https://pbs.twimg.com/profile_images/1542267070200569857/vBWlbLhF_normal.jpg" TargetMode="External"/><Relationship Id="rId893" Type="http://schemas.openxmlformats.org/officeDocument/2006/relationships/hyperlink" Target="https://pbs.twimg.com/profile_images/1489703983862140938/pPzl_A4j_normal.jpg" TargetMode="External"/><Relationship Id="rId1002" Type="http://schemas.openxmlformats.org/officeDocument/2006/relationships/hyperlink" Target="https://www.instagram.com/p/CE_4HLAlZ6E/?igshid=15b8ya60iculi" TargetMode="External"/><Relationship Id="rId650" Type="http://schemas.openxmlformats.org/officeDocument/2006/relationships/hyperlink" Target="https://x.com/holatdah/status/1542267436132597761" TargetMode="External"/><Relationship Id="rId892" Type="http://schemas.openxmlformats.org/officeDocument/2006/relationships/hyperlink" Target="https://x.com/DeborahCapell/status/1398295334040842240" TargetMode="External"/><Relationship Id="rId1003" Type="http://schemas.openxmlformats.org/officeDocument/2006/relationships/hyperlink" Target="https://x.com/tdahajedrez/status/1302979316268097536" TargetMode="External"/><Relationship Id="rId1037" Type="http://schemas.openxmlformats.org/officeDocument/2006/relationships/hyperlink" Target="https://pbs.twimg.com/profile_images/1542661624544337923/1INOK3Cv_normal.jpg" TargetMode="External"/><Relationship Id="rId1038" Type="http://schemas.openxmlformats.org/officeDocument/2006/relationships/hyperlink" Target="https://pbs.twimg.com/profile_banners/1021394908043710465/1688988054" TargetMode="External"/><Relationship Id="rId1039" Type="http://schemas.openxmlformats.org/officeDocument/2006/relationships/hyperlink" Target="https://pbs.twimg.com/media/Ebhqb2qWkAEF0re.jpg" TargetMode="External"/><Relationship Id="rId206" Type="http://schemas.openxmlformats.org/officeDocument/2006/relationships/hyperlink" Target="https://pbs.twimg.com/profile_images/1962314387235995649/CKd6-OmU_normal.jpg" TargetMode="External"/><Relationship Id="rId448" Type="http://schemas.openxmlformats.org/officeDocument/2006/relationships/hyperlink" Target="https://video.twimg.com/ext_tw_video/1621954933896396800/pu/vid/720x1280/BuP47sHpdE2la6Xt.mp4?tag=12" TargetMode="External"/><Relationship Id="rId205" Type="http://schemas.openxmlformats.org/officeDocument/2006/relationships/hyperlink" Target="https://x.com/psic_sifuentes/status/1812166654459011252" TargetMode="External"/><Relationship Id="rId447" Type="http://schemas.openxmlformats.org/officeDocument/2006/relationships/hyperlink" Target="https://pbs.twimg.com/ext_tw_video_thumb/1621954933896396800/pu/img/awDbUEehhJCmo0BS.jpg" TargetMode="External"/><Relationship Id="rId689" Type="http://schemas.openxmlformats.org/officeDocument/2006/relationships/hyperlink" Target="https://pbs.twimg.com/profile_images/2751438511/f64d383540d19906b2056f66282537e3_normal.jpeg" TargetMode="External"/><Relationship Id="rId204" Type="http://schemas.openxmlformats.org/officeDocument/2006/relationships/hyperlink" Target="https://video.twimg.com/ext_tw_video/1812958089923985408/pu/vid/avc1/718x1278/bD5IXucRNjNeEd_K.mp4?tag=12" TargetMode="External"/><Relationship Id="rId446" Type="http://schemas.openxmlformats.org/officeDocument/2006/relationships/hyperlink" Target="https://pbs.twimg.com/profile_banners/1361271221657214976/1634611328" TargetMode="External"/><Relationship Id="rId688" Type="http://schemas.openxmlformats.org/officeDocument/2006/relationships/hyperlink" Target="https://x.com/AnhidaCoruna/status/1519589964312465408" TargetMode="External"/><Relationship Id="rId203" Type="http://schemas.openxmlformats.org/officeDocument/2006/relationships/hyperlink" Target="https://pbs.twimg.com/ext_tw_video_thumb/1812958089923985408/pu/img/cXe7dXgXdyr48Pew.jpg" TargetMode="External"/><Relationship Id="rId445" Type="http://schemas.openxmlformats.org/officeDocument/2006/relationships/hyperlink" Target="https://pbs.twimg.com/profile_images/1685661549598228481/62txBozO_normal.jpg" TargetMode="External"/><Relationship Id="rId687" Type="http://schemas.openxmlformats.org/officeDocument/2006/relationships/hyperlink" Target="https://www.instagram.com/p/CdI2czwLgge/?igshid=YTgzYjQ4ZTY=" TargetMode="External"/><Relationship Id="rId209" Type="http://schemas.openxmlformats.org/officeDocument/2006/relationships/hyperlink" Target="https://x.com/lolotorresmx/status/1803985185630757293" TargetMode="External"/><Relationship Id="rId208" Type="http://schemas.openxmlformats.org/officeDocument/2006/relationships/hyperlink" Target="https://pbs.twimg.com/media/GSYa_duXcAABCkT.jpg,https://pbs.twimg.com/media/GSYa_duWUAEBYbm.jpg,https://pbs.twimg.com/media/GSYa_d3W4AAmFB0.jpg,https://pbs.twimg.com/media/GSYa_doW4AAaWqg.jpg" TargetMode="External"/><Relationship Id="rId207" Type="http://schemas.openxmlformats.org/officeDocument/2006/relationships/hyperlink" Target="https://pbs.twimg.com/profile_banners/825891390529880064/1485744031" TargetMode="External"/><Relationship Id="rId449" Type="http://schemas.openxmlformats.org/officeDocument/2006/relationships/hyperlink" Target="https://x.com/TriboTDAH/status/1618277697230372870" TargetMode="External"/><Relationship Id="rId440" Type="http://schemas.openxmlformats.org/officeDocument/2006/relationships/hyperlink" Target="https://x.com/adahigi/status/1623821371695370241" TargetMode="External"/><Relationship Id="rId682" Type="http://schemas.openxmlformats.org/officeDocument/2006/relationships/hyperlink" Target="https://pbs.twimg.com/profile_banners/1145647150107418626/1645892068" TargetMode="External"/><Relationship Id="rId681" Type="http://schemas.openxmlformats.org/officeDocument/2006/relationships/hyperlink" Target="https://pbs.twimg.com/profile_images/1145647325081219073/oqyXCOYO_normal.jpg" TargetMode="External"/><Relationship Id="rId1030" Type="http://schemas.openxmlformats.org/officeDocument/2006/relationships/hyperlink" Target="https://pbs.twimg.com/profile_banners/2774265712/1554963594" TargetMode="External"/><Relationship Id="rId680" Type="http://schemas.openxmlformats.org/officeDocument/2006/relationships/hyperlink" Target="https://x.com/SalomeTaboada/status/1523997261742620674" TargetMode="External"/><Relationship Id="rId1031" Type="http://schemas.openxmlformats.org/officeDocument/2006/relationships/hyperlink" Target="https://pbs.twimg.com/media/Eb7a-x-XgAATMsr.jpg" TargetMode="External"/><Relationship Id="rId1032" Type="http://schemas.openxmlformats.org/officeDocument/2006/relationships/hyperlink" Target="https://x.com/marcussabry/status/1277953021717118978" TargetMode="External"/><Relationship Id="rId202" Type="http://schemas.openxmlformats.org/officeDocument/2006/relationships/hyperlink" Target="https://encurtalink.online/testetdah" TargetMode="External"/><Relationship Id="rId444" Type="http://schemas.openxmlformats.org/officeDocument/2006/relationships/hyperlink" Target="https://x.com/tdahdislex/status/1621955122879135747" TargetMode="External"/><Relationship Id="rId686" Type="http://schemas.openxmlformats.org/officeDocument/2006/relationships/hyperlink" Target="https://pbs.twimg.com/profile_banners/1385606962260414465/1645107009" TargetMode="External"/><Relationship Id="rId1033" Type="http://schemas.openxmlformats.org/officeDocument/2006/relationships/hyperlink" Target="https://pbs.twimg.com/profile_images/1797832632119500800/NGZdcrrk_normal.jpg" TargetMode="External"/><Relationship Id="rId201" Type="http://schemas.openxmlformats.org/officeDocument/2006/relationships/hyperlink" Target="https://pbs.twimg.com/profile_banners/1721862287773077504/1699359642" TargetMode="External"/><Relationship Id="rId443" Type="http://schemas.openxmlformats.org/officeDocument/2006/relationships/hyperlink" Target="https://www.naiz.eus/es/iritzia/articulos/que-puede-hacer-un-tdah-por-mejorar-la-vida-de-los-demas" TargetMode="External"/><Relationship Id="rId685" Type="http://schemas.openxmlformats.org/officeDocument/2006/relationships/hyperlink" Target="https://pbs.twimg.com/profile_images/1494313173964492807/y3fGe0aj_normal.jpg" TargetMode="External"/><Relationship Id="rId1034" Type="http://schemas.openxmlformats.org/officeDocument/2006/relationships/hyperlink" Target="https://pbs.twimg.com/profile_banners/80662610/1717471687" TargetMode="External"/><Relationship Id="rId200" Type="http://schemas.openxmlformats.org/officeDocument/2006/relationships/hyperlink" Target="https://pbs.twimg.com/profile_images/1721862431192858624/YiiwoYd0_normal.jpg" TargetMode="External"/><Relationship Id="rId442" Type="http://schemas.openxmlformats.org/officeDocument/2006/relationships/hyperlink" Target="https://pbs.twimg.com/profile_banners/937041894198136838/1752248588" TargetMode="External"/><Relationship Id="rId684" Type="http://schemas.openxmlformats.org/officeDocument/2006/relationships/hyperlink" Target="https://x.com/tdahfocoevida/status/1521848539227340801" TargetMode="External"/><Relationship Id="rId1035" Type="http://schemas.openxmlformats.org/officeDocument/2006/relationships/hyperlink" Target="https://pbs.twimg.com/media/EbwzfhOX0AAS4iG.jpg,https://pbs.twimg.com/media/EbwzfhNXQAQaJ7v.jpg" TargetMode="External"/><Relationship Id="rId441" Type="http://schemas.openxmlformats.org/officeDocument/2006/relationships/hyperlink" Target="https://pbs.twimg.com/profile_images/1623821709865283584/Yu6OfLCD_normal.jpg" TargetMode="External"/><Relationship Id="rId683" Type="http://schemas.openxmlformats.org/officeDocument/2006/relationships/hyperlink" Target="https://pbs.twimg.com/media/FSZTbevXEAEh4ix.jpg" TargetMode="External"/><Relationship Id="rId1036" Type="http://schemas.openxmlformats.org/officeDocument/2006/relationships/hyperlink" Target="https://x.com/LeonasTdah/status/1276887529279549441" TargetMode="External"/><Relationship Id="rId1026" Type="http://schemas.openxmlformats.org/officeDocument/2006/relationships/hyperlink" Target="https://pbs.twimg.com/profile_banners/914788294436716544/1506937867" TargetMode="External"/><Relationship Id="rId1027" Type="http://schemas.openxmlformats.org/officeDocument/2006/relationships/hyperlink" Target="https://www.instagram.com/p/CClJdwsBoKa/?igshid=138e6ep2l1ovi" TargetMode="External"/><Relationship Id="rId1028" Type="http://schemas.openxmlformats.org/officeDocument/2006/relationships/hyperlink" Target="https://x.com/LarahBezerra_/status/1278700140551966720" TargetMode="External"/><Relationship Id="rId1029" Type="http://schemas.openxmlformats.org/officeDocument/2006/relationships/hyperlink" Target="https://pbs.twimg.com/profile_images/1159646366982909953/NmzidvP4_normal.jpg" TargetMode="External"/><Relationship Id="rId437" Type="http://schemas.openxmlformats.org/officeDocument/2006/relationships/hyperlink" Target="https://pbs.twimg.com/profile_images/2916123536/77aa775f2291e22e0f91e35ce07b8d06_normal.jpeg" TargetMode="External"/><Relationship Id="rId679" Type="http://schemas.openxmlformats.org/officeDocument/2006/relationships/hyperlink" Target="https://pbs.twimg.com/profile_images/1580287990215196672/nIzbtvmI_normal.jpg" TargetMode="External"/><Relationship Id="rId436" Type="http://schemas.openxmlformats.org/officeDocument/2006/relationships/hyperlink" Target="https://x.com/apdaperu/status/1626373270747467776" TargetMode="External"/><Relationship Id="rId678" Type="http://schemas.openxmlformats.org/officeDocument/2006/relationships/hyperlink" Target="https://x.com/LevementeND/status/1525716555929161729" TargetMode="External"/><Relationship Id="rId435" Type="http://schemas.openxmlformats.org/officeDocument/2006/relationships/hyperlink" Target="https://video.twimg.com/ext_tw_video/1629056046542061569/pu/vid/1280x720/kSHIf22nfhMglkYy.mp4?tag=12" TargetMode="External"/><Relationship Id="rId677" Type="http://schemas.openxmlformats.org/officeDocument/2006/relationships/hyperlink" Target="https://pbs.twimg.com/media/FSpU69NWYAg4EBs.png" TargetMode="External"/><Relationship Id="rId434" Type="http://schemas.openxmlformats.org/officeDocument/2006/relationships/hyperlink" Target="https://pbs.twimg.com/ext_tw_video_thumb/1629056046542061569/pu/img/QWDh1s183whAe0KF.jpg" TargetMode="External"/><Relationship Id="rId676" Type="http://schemas.openxmlformats.org/officeDocument/2006/relationships/hyperlink" Target="https://pbs.twimg.com/profile_banners/937041894198136838/1752248588" TargetMode="External"/><Relationship Id="rId439" Type="http://schemas.openxmlformats.org/officeDocument/2006/relationships/hyperlink" Target="https://pbs.twimg.com/media/FpIJwX0XsAA7TZ0.jpg" TargetMode="External"/><Relationship Id="rId438" Type="http://schemas.openxmlformats.org/officeDocument/2006/relationships/hyperlink" Target="https://pbs.twimg.com/profile_banners/981246782/1354312092" TargetMode="External"/><Relationship Id="rId671" Type="http://schemas.openxmlformats.org/officeDocument/2006/relationships/hyperlink" Target="https://pbs.twimg.com/profile_images/1640421922939781122/0urA2H5q_normal.jpg" TargetMode="External"/><Relationship Id="rId670" Type="http://schemas.openxmlformats.org/officeDocument/2006/relationships/hyperlink" Target="https://x.com/diversifixe/status/1528361587404423170" TargetMode="External"/><Relationship Id="rId1020" Type="http://schemas.openxmlformats.org/officeDocument/2006/relationships/hyperlink" Target="https://x.com/SiempreSiglo/status/1290308647051038720" TargetMode="External"/><Relationship Id="rId1021" Type="http://schemas.openxmlformats.org/officeDocument/2006/relationships/hyperlink" Target="https://pbs.twimg.com/profile_images/1277482508108664833/bS_ia0ED_normal.jpg" TargetMode="External"/><Relationship Id="rId433" Type="http://schemas.openxmlformats.org/officeDocument/2006/relationships/hyperlink" Target="https://pbs.twimg.com/profile_banners/2364082788/1425462919" TargetMode="External"/><Relationship Id="rId675" Type="http://schemas.openxmlformats.org/officeDocument/2006/relationships/hyperlink" Target="https://pbs.twimg.com/profile_images/1623821709865283584/Yu6OfLCD_normal.jpg" TargetMode="External"/><Relationship Id="rId1022" Type="http://schemas.openxmlformats.org/officeDocument/2006/relationships/hyperlink" Target="https://pbs.twimg.com/profile_banners/1263878991666176002/1592859373" TargetMode="External"/><Relationship Id="rId432" Type="http://schemas.openxmlformats.org/officeDocument/2006/relationships/hyperlink" Target="https://pbs.twimg.com/profile_images/439016713338617856/itWypl0R_normal.png" TargetMode="External"/><Relationship Id="rId674" Type="http://schemas.openxmlformats.org/officeDocument/2006/relationships/hyperlink" Target="https://x.com/adahigi/status/1526509747905634304" TargetMode="External"/><Relationship Id="rId1023" Type="http://schemas.openxmlformats.org/officeDocument/2006/relationships/hyperlink" Target="https://pbs.twimg.com/media/EegY3_yXYAEEz7F.jpg" TargetMode="External"/><Relationship Id="rId431" Type="http://schemas.openxmlformats.org/officeDocument/2006/relationships/hyperlink" Target="https://x.com/fundacioningada/status/1629057536472018944" TargetMode="External"/><Relationship Id="rId673" Type="http://schemas.openxmlformats.org/officeDocument/2006/relationships/hyperlink" Target="https://diversifixeol.wordpress.com/2022/05/22/os-10-sinais-que-podem-indicar-que-voce-tem-deficit-de-atencao/" TargetMode="External"/><Relationship Id="rId1024" Type="http://schemas.openxmlformats.org/officeDocument/2006/relationships/hyperlink" Target="https://x.com/PsicoToledo/status/1282636622031282180" TargetMode="External"/><Relationship Id="rId430" Type="http://schemas.openxmlformats.org/officeDocument/2006/relationships/hyperlink" Target="https://pbs.twimg.com/media/FqTq85DWIAEVOnA.jpg" TargetMode="External"/><Relationship Id="rId672" Type="http://schemas.openxmlformats.org/officeDocument/2006/relationships/hyperlink" Target="https://pbs.twimg.com/profile_banners/1243998025464365056/1679942037" TargetMode="External"/><Relationship Id="rId1025" Type="http://schemas.openxmlformats.org/officeDocument/2006/relationships/hyperlink" Target="https://pbs.twimg.com/profile_images/914789238289371136/42IwAk_0_normal.jpg"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pbs.twimg.com/profile_images/1622600960273940482/xi_3j3O9_normal.jpg" TargetMode="External"/><Relationship Id="rId194" Type="http://schemas.openxmlformats.org/officeDocument/2006/relationships/hyperlink" Target="https://pbs.twimg.com/profile_banners/236621586/1606877123" TargetMode="External"/><Relationship Id="rId193" Type="http://schemas.openxmlformats.org/officeDocument/2006/relationships/hyperlink" Target="https://pbs.twimg.com/profile_images/1540464860768731136/UM4JIXS3_normal.jpg" TargetMode="External"/><Relationship Id="rId192" Type="http://schemas.openxmlformats.org/officeDocument/2006/relationships/hyperlink" Target="https://x.com/ElPaido/status/1942346730110083106" TargetMode="External"/><Relationship Id="rId191" Type="http://schemas.openxmlformats.org/officeDocument/2006/relationships/hyperlink" Target="https://pbs.twimg.com/profile_banners/1400777557/1465037153" TargetMode="External"/><Relationship Id="rId187" Type="http://schemas.openxmlformats.org/officeDocument/2006/relationships/hyperlink" Target="https://pbs.twimg.com/profile_images/1774640336301654016/C6z8O5Cp_normal.jpg" TargetMode="External"/><Relationship Id="rId186" Type="http://schemas.openxmlformats.org/officeDocument/2006/relationships/hyperlink" Target="https://x.com/cielorvr/status/1988705051591033046" TargetMode="External"/><Relationship Id="rId185" Type="http://schemas.openxmlformats.org/officeDocument/2006/relationships/hyperlink" Target="https://pbs.twimg.com/profile_banners/1777150888773079040/1733819990" TargetMode="External"/><Relationship Id="rId184" Type="http://schemas.openxmlformats.org/officeDocument/2006/relationships/hyperlink" Target="https://pbs.twimg.com/profile_images/1977107143699386368/jaOPbgKz_normal.jpg" TargetMode="External"/><Relationship Id="rId189" Type="http://schemas.openxmlformats.org/officeDocument/2006/relationships/hyperlink" Target="https://x.com/AENSaludMental/status/1936875661844717817" TargetMode="External"/><Relationship Id="rId188" Type="http://schemas.openxmlformats.org/officeDocument/2006/relationships/hyperlink" Target="https://pbs.twimg.com/profile_banners/1018296742595448832/1711942427" TargetMode="External"/><Relationship Id="rId183" Type="http://schemas.openxmlformats.org/officeDocument/2006/relationships/hyperlink" Target="https://x.com/flopzynho/status/1924874637244088481" TargetMode="External"/><Relationship Id="rId182" Type="http://schemas.openxmlformats.org/officeDocument/2006/relationships/hyperlink" Target="https://pbs.twimg.com/profile_banners/1703641082087591936/1745943533" TargetMode="External"/><Relationship Id="rId181" Type="http://schemas.openxmlformats.org/officeDocument/2006/relationships/hyperlink" Target="https://pbs.twimg.com/profile_images/1917255962433396736/kVSO_7s-_normal.jpg" TargetMode="External"/><Relationship Id="rId180" Type="http://schemas.openxmlformats.org/officeDocument/2006/relationships/hyperlink" Target="https://x.com/jdiaz_psy/status/1988377745781649650" TargetMode="External"/><Relationship Id="rId176" Type="http://schemas.openxmlformats.org/officeDocument/2006/relationships/hyperlink" Target="https://pbs.twimg.com/profile_banners/432322234/1706009030" TargetMode="External"/><Relationship Id="rId175" Type="http://schemas.openxmlformats.org/officeDocument/2006/relationships/hyperlink" Target="https://pbs.twimg.com/profile_images/1407082152475430912/5J-pMRPv_normal.jpg" TargetMode="External"/><Relationship Id="rId174" Type="http://schemas.openxmlformats.org/officeDocument/2006/relationships/hyperlink" Target="https://x.com/MRizaldos/status/1943334892642697618" TargetMode="External"/><Relationship Id="rId173" Type="http://schemas.openxmlformats.org/officeDocument/2006/relationships/hyperlink" Target="https://pbs.twimg.com/profile_banners/1066000708892352512/1640867142" TargetMode="External"/><Relationship Id="rId179" Type="http://schemas.openxmlformats.org/officeDocument/2006/relationships/hyperlink" Target="https://pbs.twimg.com/profile_banners/1576614038204825601/1664812670" TargetMode="External"/><Relationship Id="rId178" Type="http://schemas.openxmlformats.org/officeDocument/2006/relationships/hyperlink" Target="https://pbs.twimg.com/profile_images/1576614117342953472/IvYN8QgA_normal.png" TargetMode="External"/><Relationship Id="rId177" Type="http://schemas.openxmlformats.org/officeDocument/2006/relationships/hyperlink" Target="https://x.com/tdahworld/status/1916928414768107825" TargetMode="External"/><Relationship Id="rId198" Type="http://schemas.openxmlformats.org/officeDocument/2006/relationships/hyperlink" Target="https://pbs.twimg.com/profile_images/1945604336404283392/Hnr7bWVo_normal.jpg" TargetMode="External"/><Relationship Id="rId197" Type="http://schemas.openxmlformats.org/officeDocument/2006/relationships/hyperlink" Target="https://x.com/issbelinha/status/1925679304622416121" TargetMode="External"/><Relationship Id="rId196" Type="http://schemas.openxmlformats.org/officeDocument/2006/relationships/hyperlink" Target="https://pbs.twimg.com/profile_images/1974835428449513472/dPrcxhPg_normal.jpg" TargetMode="External"/><Relationship Id="rId195" Type="http://schemas.openxmlformats.org/officeDocument/2006/relationships/hyperlink" Target="https://x.com/MMALICK9/status/1987526147651907738" TargetMode="External"/><Relationship Id="rId199" Type="http://schemas.openxmlformats.org/officeDocument/2006/relationships/hyperlink" Target="https://pbs.twimg.com/profile_banners/2831662233/1761602175" TargetMode="External"/><Relationship Id="rId150" Type="http://schemas.openxmlformats.org/officeDocument/2006/relationships/hyperlink" Target="https://x.com/MauricioLeija/status/1943390327462572304" TargetMode="External"/><Relationship Id="rId1" Type="http://schemas.openxmlformats.org/officeDocument/2006/relationships/hyperlink" Target="https://x.com/offlutt/status/1980369299366899925" TargetMode="External"/><Relationship Id="rId2" Type="http://schemas.openxmlformats.org/officeDocument/2006/relationships/hyperlink" Target="https://pbs.twimg.com/profile_images/1967646759720460288/YdjMDEKZ_normal.jpg" TargetMode="External"/><Relationship Id="rId3" Type="http://schemas.openxmlformats.org/officeDocument/2006/relationships/hyperlink" Target="https://pbs.twimg.com/profile_banners/1967630715526512640/1759271328" TargetMode="External"/><Relationship Id="rId149" Type="http://schemas.openxmlformats.org/officeDocument/2006/relationships/hyperlink" Target="https://pbs.twimg.com/profile_banners/2825615947/1674793295" TargetMode="External"/><Relationship Id="rId4" Type="http://schemas.openxmlformats.org/officeDocument/2006/relationships/hyperlink" Target="https://x.com/ElPaido/status/1942730247528689706" TargetMode="External"/><Relationship Id="rId148" Type="http://schemas.openxmlformats.org/officeDocument/2006/relationships/hyperlink" Target="https://pbs.twimg.com/profile_images/1988347861507952640/MmBWSSun_normal.jpg" TargetMode="External"/><Relationship Id="rId9" Type="http://schemas.openxmlformats.org/officeDocument/2006/relationships/hyperlink" Target="https://pbs.twimg.com/profile_banners/236621586/1606877123" TargetMode="External"/><Relationship Id="rId143" Type="http://schemas.openxmlformats.org/officeDocument/2006/relationships/hyperlink" Target="https://pbs.twimg.com/profile_banners/2825615947/1674793295" TargetMode="External"/><Relationship Id="rId142" Type="http://schemas.openxmlformats.org/officeDocument/2006/relationships/hyperlink" Target="https://pbs.twimg.com/profile_images/1988347861507952640/MmBWSSun_normal.jpg" TargetMode="External"/><Relationship Id="rId141" Type="http://schemas.openxmlformats.org/officeDocument/2006/relationships/hyperlink" Target="https://x.com/MauricioLeija/status/1954355089587487231" TargetMode="External"/><Relationship Id="rId140" Type="http://schemas.openxmlformats.org/officeDocument/2006/relationships/hyperlink" Target="https://pbs.twimg.com/profile_banners/2825615947/1674793295" TargetMode="External"/><Relationship Id="rId5" Type="http://schemas.openxmlformats.org/officeDocument/2006/relationships/hyperlink" Target="https://pbs.twimg.com/profile_images/1540464860768731136/UM4JIXS3_normal.jpg" TargetMode="External"/><Relationship Id="rId147" Type="http://schemas.openxmlformats.org/officeDocument/2006/relationships/hyperlink" Target="https://x.com/MauricioLeija/status/1943396412693033148" TargetMode="External"/><Relationship Id="rId6" Type="http://schemas.openxmlformats.org/officeDocument/2006/relationships/hyperlink" Target="https://pbs.twimg.com/profile_banners/236621586/1606877123" TargetMode="External"/><Relationship Id="rId146" Type="http://schemas.openxmlformats.org/officeDocument/2006/relationships/hyperlink" Target="https://pbs.twimg.com/profile_banners/3528171918/1759763308" TargetMode="External"/><Relationship Id="rId7" Type="http://schemas.openxmlformats.org/officeDocument/2006/relationships/hyperlink" Target="https://x.com/ElPaido/status/1931402646964887556" TargetMode="External"/><Relationship Id="rId145" Type="http://schemas.openxmlformats.org/officeDocument/2006/relationships/hyperlink" Target="https://pbs.twimg.com/profile_images/1975219723659870208/S4y-Lmb__normal.jpg" TargetMode="External"/><Relationship Id="rId8" Type="http://schemas.openxmlformats.org/officeDocument/2006/relationships/hyperlink" Target="https://pbs.twimg.com/profile_images/1540464860768731136/UM4JIXS3_normal.jpg" TargetMode="External"/><Relationship Id="rId144" Type="http://schemas.openxmlformats.org/officeDocument/2006/relationships/hyperlink" Target="https://x.com/btswingsjm7/status/1961442241009914041" TargetMode="External"/><Relationship Id="rId139" Type="http://schemas.openxmlformats.org/officeDocument/2006/relationships/hyperlink" Target="https://pbs.twimg.com/profile_images/1988347861507952640/MmBWSSun_normal.jpg" TargetMode="External"/><Relationship Id="rId138" Type="http://schemas.openxmlformats.org/officeDocument/2006/relationships/hyperlink" Target="https://x.com/MauricioLeija/status/1945720032576565388" TargetMode="External"/><Relationship Id="rId137" Type="http://schemas.openxmlformats.org/officeDocument/2006/relationships/hyperlink" Target="https://pbs.twimg.com/profile_banners/2825615947/1674793295" TargetMode="External"/><Relationship Id="rId132" Type="http://schemas.openxmlformats.org/officeDocument/2006/relationships/hyperlink" Target="https://pbs.twimg.com/profile_banners/2825615947/1674793295" TargetMode="External"/><Relationship Id="rId131" Type="http://schemas.openxmlformats.org/officeDocument/2006/relationships/hyperlink" Target="https://pbs.twimg.com/profile_images/1988347861507952640/MmBWSSun_normal.jpg" TargetMode="External"/><Relationship Id="rId130" Type="http://schemas.openxmlformats.org/officeDocument/2006/relationships/hyperlink" Target="https://x.com/MauricioLeija/status/1918387562269323616" TargetMode="External"/><Relationship Id="rId136" Type="http://schemas.openxmlformats.org/officeDocument/2006/relationships/hyperlink" Target="https://pbs.twimg.com/profile_images/1988347861507952640/MmBWSSun_normal.jpg" TargetMode="External"/><Relationship Id="rId135" Type="http://schemas.openxmlformats.org/officeDocument/2006/relationships/hyperlink" Target="https://x.com/MauricioLeija/status/1938685666059264387" TargetMode="External"/><Relationship Id="rId134" Type="http://schemas.openxmlformats.org/officeDocument/2006/relationships/hyperlink" Target="https://pbs.twimg.com/profile_images/1964427375891898368/qNfK24Xo_normal.jpg" TargetMode="External"/><Relationship Id="rId133" Type="http://schemas.openxmlformats.org/officeDocument/2006/relationships/hyperlink" Target="https://x.com/eduardopeccin/status/1982795050330325497" TargetMode="External"/><Relationship Id="rId172" Type="http://schemas.openxmlformats.org/officeDocument/2006/relationships/hyperlink" Target="https://pbs.twimg.com/profile_images/1488001152746676224/NwafY7v7_normal.jpg" TargetMode="External"/><Relationship Id="rId171" Type="http://schemas.openxmlformats.org/officeDocument/2006/relationships/hyperlink" Target="https://x.com/zaydevalentinaz/status/1980676908464394715" TargetMode="External"/><Relationship Id="rId170" Type="http://schemas.openxmlformats.org/officeDocument/2006/relationships/hyperlink" Target="https://pbs.twimg.com/profile_banners/2467626889/1732724736" TargetMode="External"/><Relationship Id="rId165" Type="http://schemas.openxmlformats.org/officeDocument/2006/relationships/hyperlink" Target="https://x.com/elneuropediatra/status/1932387525118623984" TargetMode="External"/><Relationship Id="rId164" Type="http://schemas.openxmlformats.org/officeDocument/2006/relationships/hyperlink" Target="https://pbs.twimg.com/profile_banners/121287943/1738616733" TargetMode="External"/><Relationship Id="rId163" Type="http://schemas.openxmlformats.org/officeDocument/2006/relationships/hyperlink" Target="https://pbs.twimg.com/profile_images/1988655046163070976/KR1WFBcT_normal.jpg" TargetMode="External"/><Relationship Id="rId162" Type="http://schemas.openxmlformats.org/officeDocument/2006/relationships/hyperlink" Target="https://x.com/condesatv1/status/1980789929371226407" TargetMode="External"/><Relationship Id="rId169" Type="http://schemas.openxmlformats.org/officeDocument/2006/relationships/hyperlink" Target="https://pbs.twimg.com/profile_images/1940389913045729280/bA5cKxHU_normal.jpg" TargetMode="External"/><Relationship Id="rId168" Type="http://schemas.openxmlformats.org/officeDocument/2006/relationships/hyperlink" Target="https://x.com/LabRubio/status/1923308023822348364" TargetMode="External"/><Relationship Id="rId167" Type="http://schemas.openxmlformats.org/officeDocument/2006/relationships/hyperlink" Target="https://pbs.twimg.com/profile_banners/337569038/1515873527" TargetMode="External"/><Relationship Id="rId166" Type="http://schemas.openxmlformats.org/officeDocument/2006/relationships/hyperlink" Target="https://pbs.twimg.com/profile_images/1707653377050521600/uRq160FU_normal.jpg" TargetMode="External"/><Relationship Id="rId161" Type="http://schemas.openxmlformats.org/officeDocument/2006/relationships/hyperlink" Target="https://pbs.twimg.com/profile_banners/1197699181487542272/1712974390" TargetMode="External"/><Relationship Id="rId160" Type="http://schemas.openxmlformats.org/officeDocument/2006/relationships/hyperlink" Target="https://pbs.twimg.com/profile_images/1877524749481385984/rDFeLLwz_normal.jpg" TargetMode="External"/><Relationship Id="rId159" Type="http://schemas.openxmlformats.org/officeDocument/2006/relationships/hyperlink" Target="https://x.com/unxciudadana/status/1959363585097789879" TargetMode="External"/><Relationship Id="rId154" Type="http://schemas.openxmlformats.org/officeDocument/2006/relationships/hyperlink" Target="https://pbs.twimg.com/profile_images/1988347861507952640/MmBWSSun_normal.jpg" TargetMode="External"/><Relationship Id="rId153" Type="http://schemas.openxmlformats.org/officeDocument/2006/relationships/hyperlink" Target="https://x.com/MauricioLeija/status/1948855434598662445" TargetMode="External"/><Relationship Id="rId152" Type="http://schemas.openxmlformats.org/officeDocument/2006/relationships/hyperlink" Target="https://pbs.twimg.com/profile_banners/2825615947/1674793295" TargetMode="External"/><Relationship Id="rId151" Type="http://schemas.openxmlformats.org/officeDocument/2006/relationships/hyperlink" Target="https://pbs.twimg.com/profile_images/1988347861507952640/MmBWSSun_normal.jpg" TargetMode="External"/><Relationship Id="rId158" Type="http://schemas.openxmlformats.org/officeDocument/2006/relationships/hyperlink" Target="https://pbs.twimg.com/profile_banners/990296924396900354/1742233433" TargetMode="External"/><Relationship Id="rId157" Type="http://schemas.openxmlformats.org/officeDocument/2006/relationships/hyperlink" Target="https://pbs.twimg.com/profile_images/1901690971215065088/9ZlSpusc_normal.jpg" TargetMode="External"/><Relationship Id="rId156" Type="http://schemas.openxmlformats.org/officeDocument/2006/relationships/hyperlink" Target="https://x.com/seujeitolrs/status/1917651984837943772" TargetMode="External"/><Relationship Id="rId155" Type="http://schemas.openxmlformats.org/officeDocument/2006/relationships/hyperlink" Target="https://pbs.twimg.com/profile_banners/2825615947/1674793295" TargetMode="External"/><Relationship Id="rId40" Type="http://schemas.openxmlformats.org/officeDocument/2006/relationships/hyperlink" Target="https://x.com/cesarfontanapsi/status/1988671662636810656" TargetMode="External"/><Relationship Id="rId42" Type="http://schemas.openxmlformats.org/officeDocument/2006/relationships/hyperlink" Target="https://pbs.twimg.com/profile_banners/1325904158914908161/1748439374" TargetMode="External"/><Relationship Id="rId41" Type="http://schemas.openxmlformats.org/officeDocument/2006/relationships/hyperlink" Target="https://pbs.twimg.com/profile_images/1927719517142052864/4S26noEH_normal.jpg" TargetMode="External"/><Relationship Id="rId44" Type="http://schemas.openxmlformats.org/officeDocument/2006/relationships/hyperlink" Target="https://pbs.twimg.com/profile_images/1141030698947686400/QOH39mM0_normal.jpg" TargetMode="External"/><Relationship Id="rId43" Type="http://schemas.openxmlformats.org/officeDocument/2006/relationships/hyperlink" Target="https://x.com/pau/status/1924178252349718999" TargetMode="External"/><Relationship Id="rId46" Type="http://schemas.openxmlformats.org/officeDocument/2006/relationships/hyperlink" Target="https://x.com/PsicologiaAlSur/status/1964352894464860513" TargetMode="External"/><Relationship Id="rId45" Type="http://schemas.openxmlformats.org/officeDocument/2006/relationships/hyperlink" Target="https://pbs.twimg.com/profile_banners/6068/1665387027" TargetMode="External"/><Relationship Id="rId48" Type="http://schemas.openxmlformats.org/officeDocument/2006/relationships/hyperlink" Target="https://pbs.twimg.com/profile_banners/1777389396838252544/1712604780" TargetMode="External"/><Relationship Id="rId47" Type="http://schemas.openxmlformats.org/officeDocument/2006/relationships/hyperlink" Target="https://pbs.twimg.com/profile_images/1777419380634025985/2Jsog_oX_normal.jpg" TargetMode="External"/><Relationship Id="rId49" Type="http://schemas.openxmlformats.org/officeDocument/2006/relationships/hyperlink" Target="https://x.com/crepch/status/1967271695292792985" TargetMode="External"/><Relationship Id="rId31" Type="http://schemas.openxmlformats.org/officeDocument/2006/relationships/hyperlink" Target="https://x.com/unmetilfenidato/status/1982711545936347332" TargetMode="External"/><Relationship Id="rId30" Type="http://schemas.openxmlformats.org/officeDocument/2006/relationships/hyperlink" Target="https://pbs.twimg.com/profile_banners/1716547017978363905/1762878840" TargetMode="External"/><Relationship Id="rId33" Type="http://schemas.openxmlformats.org/officeDocument/2006/relationships/hyperlink" Target="https://pbs.twimg.com/profile_banners/64585862/1704847794" TargetMode="External"/><Relationship Id="rId32" Type="http://schemas.openxmlformats.org/officeDocument/2006/relationships/hyperlink" Target="https://pbs.twimg.com/profile_images/1926210065792438272/HVHvuUUW_normal.jpg" TargetMode="External"/><Relationship Id="rId35" Type="http://schemas.openxmlformats.org/officeDocument/2006/relationships/hyperlink" Target="https://pbs.twimg.com/profile_images/1964141030556532736/rFL28oIz_normal.jpg" TargetMode="External"/><Relationship Id="rId34" Type="http://schemas.openxmlformats.org/officeDocument/2006/relationships/hyperlink" Target="https://x.com/jjkclean/status/1961471025662607728" TargetMode="External"/><Relationship Id="rId37" Type="http://schemas.openxmlformats.org/officeDocument/2006/relationships/hyperlink" Target="https://x.com/MauricioLeija/status/1943399156560609541" TargetMode="External"/><Relationship Id="rId36" Type="http://schemas.openxmlformats.org/officeDocument/2006/relationships/hyperlink" Target="https://pbs.twimg.com/profile_banners/1232831855038214149/1757122807" TargetMode="External"/><Relationship Id="rId39" Type="http://schemas.openxmlformats.org/officeDocument/2006/relationships/hyperlink" Target="https://pbs.twimg.com/profile_banners/2825615947/1674793295" TargetMode="External"/><Relationship Id="rId38" Type="http://schemas.openxmlformats.org/officeDocument/2006/relationships/hyperlink" Target="https://pbs.twimg.com/profile_images/1988347861507952640/MmBWSSun_normal.jpg" TargetMode="External"/><Relationship Id="rId20" Type="http://schemas.openxmlformats.org/officeDocument/2006/relationships/hyperlink" Target="https://pbs.twimg.com/profile_images/648275514420015104/YXnvi2pP_normal.jpg" TargetMode="External"/><Relationship Id="rId22" Type="http://schemas.openxmlformats.org/officeDocument/2006/relationships/hyperlink" Target="https://x.com/CEPSIONLINE/status/1986814860064379230" TargetMode="External"/><Relationship Id="rId21" Type="http://schemas.openxmlformats.org/officeDocument/2006/relationships/hyperlink" Target="https://pbs.twimg.com/profile_banners/28673574/1486247854" TargetMode="External"/><Relationship Id="rId24" Type="http://schemas.openxmlformats.org/officeDocument/2006/relationships/hyperlink" Target="https://pbs.twimg.com/profile_banners/1063844564/1556543726" TargetMode="External"/><Relationship Id="rId23" Type="http://schemas.openxmlformats.org/officeDocument/2006/relationships/hyperlink" Target="https://pbs.twimg.com/profile_images/1439950115528192001/kjsMeIlz_normal.jpg" TargetMode="External"/><Relationship Id="rId26" Type="http://schemas.openxmlformats.org/officeDocument/2006/relationships/hyperlink" Target="https://pbs.twimg.com/profile_images/1949534018938036224/xA87x9Xs_normal.jpg" TargetMode="External"/><Relationship Id="rId25" Type="http://schemas.openxmlformats.org/officeDocument/2006/relationships/hyperlink" Target="https://x.com/swiftbyheart/status/1988701802787905806" TargetMode="External"/><Relationship Id="rId28" Type="http://schemas.openxmlformats.org/officeDocument/2006/relationships/hyperlink" Target="https://x.com/thvselfs/status/1961463503350272182" TargetMode="External"/><Relationship Id="rId27" Type="http://schemas.openxmlformats.org/officeDocument/2006/relationships/hyperlink" Target="https://pbs.twimg.com/profile_banners/1071534338280435713/1753640116" TargetMode="External"/><Relationship Id="rId29" Type="http://schemas.openxmlformats.org/officeDocument/2006/relationships/hyperlink" Target="https://pbs.twimg.com/profile_images/1988284143810052096/qmpBd5h4_normal.jpg" TargetMode="External"/><Relationship Id="rId11" Type="http://schemas.openxmlformats.org/officeDocument/2006/relationships/hyperlink" Target="https://pbs.twimg.com/profile_images/1136061746895106049/G8TS_hD3_normal.jpg" TargetMode="External"/><Relationship Id="rId10" Type="http://schemas.openxmlformats.org/officeDocument/2006/relationships/hyperlink" Target="https://x.com/crepch/status/1972711348950946024" TargetMode="External"/><Relationship Id="rId13" Type="http://schemas.openxmlformats.org/officeDocument/2006/relationships/hyperlink" Target="https://x.com/Contexto_Visual/status/1948890344613183581" TargetMode="External"/><Relationship Id="rId12" Type="http://schemas.openxmlformats.org/officeDocument/2006/relationships/hyperlink" Target="https://pbs.twimg.com/profile_banners/944734585614716928/1747074694" TargetMode="External"/><Relationship Id="rId15" Type="http://schemas.openxmlformats.org/officeDocument/2006/relationships/hyperlink" Target="https://pbs.twimg.com/profile_banners/923007562873802752/1754445073" TargetMode="External"/><Relationship Id="rId14" Type="http://schemas.openxmlformats.org/officeDocument/2006/relationships/hyperlink" Target="https://pbs.twimg.com/profile_images/1944824519954247680/jgQNGpNG_normal.png" TargetMode="External"/><Relationship Id="rId17" Type="http://schemas.openxmlformats.org/officeDocument/2006/relationships/hyperlink" Target="https://pbs.twimg.com/profile_images/1955868134839136258/R9xQQFNI_normal.jpg" TargetMode="External"/><Relationship Id="rId16" Type="http://schemas.openxmlformats.org/officeDocument/2006/relationships/hyperlink" Target="https://x.com/DNATalentqro/status/1918125220608516379" TargetMode="External"/><Relationship Id="rId19" Type="http://schemas.openxmlformats.org/officeDocument/2006/relationships/hyperlink" Target="https://x.com/alexandre_amato/status/1971185712612475219" TargetMode="External"/><Relationship Id="rId18" Type="http://schemas.openxmlformats.org/officeDocument/2006/relationships/hyperlink" Target="https://pbs.twimg.com/profile_banners/1107081892522807297/1758760949" TargetMode="External"/><Relationship Id="rId84" Type="http://schemas.openxmlformats.org/officeDocument/2006/relationships/hyperlink" Target="https://x.com/dellullq/status/1986522768242811124" TargetMode="External"/><Relationship Id="rId83" Type="http://schemas.openxmlformats.org/officeDocument/2006/relationships/hyperlink" Target="https://pbs.twimg.com/profile_banners/301473763/1741343123" TargetMode="External"/><Relationship Id="rId86" Type="http://schemas.openxmlformats.org/officeDocument/2006/relationships/hyperlink" Target="https://pbs.twimg.com/profile_banners/1910827190410743808/1744412067" TargetMode="External"/><Relationship Id="rId85" Type="http://schemas.openxmlformats.org/officeDocument/2006/relationships/hyperlink" Target="https://pbs.twimg.com/profile_images/1935039325269315584/0U6o_8Zd_normal.jpg" TargetMode="External"/><Relationship Id="rId88" Type="http://schemas.openxmlformats.org/officeDocument/2006/relationships/hyperlink" Target="https://pbs.twimg.com/profile_images/1987670593966112768/WLsf6i0I_normal.jpg" TargetMode="External"/><Relationship Id="rId87" Type="http://schemas.openxmlformats.org/officeDocument/2006/relationships/hyperlink" Target="https://x.com/daesungssexual/status/1917088187597390065" TargetMode="External"/><Relationship Id="rId89" Type="http://schemas.openxmlformats.org/officeDocument/2006/relationships/hyperlink" Target="https://pbs.twimg.com/profile_banners/1176258873575038976/1761074601" TargetMode="External"/><Relationship Id="rId80" Type="http://schemas.openxmlformats.org/officeDocument/2006/relationships/hyperlink" Target="https://pbs.twimg.com/profile_banners/1589704718820990976/1724499995" TargetMode="External"/><Relationship Id="rId82" Type="http://schemas.openxmlformats.org/officeDocument/2006/relationships/hyperlink" Target="https://pbs.twimg.com/profile_images/1938687777400389632/lwvajkvb_normal.jpg" TargetMode="External"/><Relationship Id="rId81" Type="http://schemas.openxmlformats.org/officeDocument/2006/relationships/hyperlink" Target="https://x.com/nabi_onandia/status/1974170843828924589" TargetMode="External"/><Relationship Id="rId73" Type="http://schemas.openxmlformats.org/officeDocument/2006/relationships/hyperlink" Target="https://pbs.twimg.com/profile_images/1573013094892175360/wfMGmG5B_normal.jpg" TargetMode="External"/><Relationship Id="rId72" Type="http://schemas.openxmlformats.org/officeDocument/2006/relationships/hyperlink" Target="https://x.com/nuevatribuna/status/1982000175573770397" TargetMode="External"/><Relationship Id="rId75" Type="http://schemas.openxmlformats.org/officeDocument/2006/relationships/hyperlink" Target="https://x.com/MauricioLeija/status/1933605162108825963" TargetMode="External"/><Relationship Id="rId74" Type="http://schemas.openxmlformats.org/officeDocument/2006/relationships/hyperlink" Target="https://pbs.twimg.com/profile_banners/18556155/1663870522" TargetMode="External"/><Relationship Id="rId77" Type="http://schemas.openxmlformats.org/officeDocument/2006/relationships/hyperlink" Target="https://pbs.twimg.com/profile_banners/2825615947/1674793295" TargetMode="External"/><Relationship Id="rId76" Type="http://schemas.openxmlformats.org/officeDocument/2006/relationships/hyperlink" Target="https://pbs.twimg.com/profile_images/1988347861507952640/MmBWSSun_normal.jpg" TargetMode="External"/><Relationship Id="rId79" Type="http://schemas.openxmlformats.org/officeDocument/2006/relationships/hyperlink" Target="https://pbs.twimg.com/profile_images/1830855310384287750/HyVGfXiG_normal.jpg" TargetMode="External"/><Relationship Id="rId78" Type="http://schemas.openxmlformats.org/officeDocument/2006/relationships/hyperlink" Target="https://x.com/akillj0y/status/1917374321967694093" TargetMode="External"/><Relationship Id="rId71" Type="http://schemas.openxmlformats.org/officeDocument/2006/relationships/hyperlink" Target="https://pbs.twimg.com/profile_banners/1251399343778811904/1750228887" TargetMode="External"/><Relationship Id="rId70" Type="http://schemas.openxmlformats.org/officeDocument/2006/relationships/hyperlink" Target="https://pbs.twimg.com/profile_images/1935226338291367936/1hO8E1MZ_normal.jpg" TargetMode="External"/><Relationship Id="rId62" Type="http://schemas.openxmlformats.org/officeDocument/2006/relationships/hyperlink" Target="https://pbs.twimg.com/profile_images/1988347861507952640/MmBWSSun_normal.jpg" TargetMode="External"/><Relationship Id="rId61" Type="http://schemas.openxmlformats.org/officeDocument/2006/relationships/hyperlink" Target="https://x.com/MauricioLeija/status/1983221658258420052" TargetMode="External"/><Relationship Id="rId64" Type="http://schemas.openxmlformats.org/officeDocument/2006/relationships/hyperlink" Target="https://x.com/landysJairPsic/status/1961643249480683708" TargetMode="External"/><Relationship Id="rId63" Type="http://schemas.openxmlformats.org/officeDocument/2006/relationships/hyperlink" Target="https://pbs.twimg.com/profile_banners/2825615947/1674793295" TargetMode="External"/><Relationship Id="rId66" Type="http://schemas.openxmlformats.org/officeDocument/2006/relationships/hyperlink" Target="https://x.com/MauricioLeija/status/1943351954383524254" TargetMode="External"/><Relationship Id="rId65" Type="http://schemas.openxmlformats.org/officeDocument/2006/relationships/hyperlink" Target="https://pbs.twimg.com/profile_images/1745094281449103360/Len2zkMK_normal.jpg" TargetMode="External"/><Relationship Id="rId68" Type="http://schemas.openxmlformats.org/officeDocument/2006/relationships/hyperlink" Target="https://pbs.twimg.com/profile_banners/2825615947/1674793295" TargetMode="External"/><Relationship Id="rId67" Type="http://schemas.openxmlformats.org/officeDocument/2006/relationships/hyperlink" Target="https://pbs.twimg.com/profile_images/1988347861507952640/MmBWSSun_normal.jpg" TargetMode="External"/><Relationship Id="rId60" Type="http://schemas.openxmlformats.org/officeDocument/2006/relationships/hyperlink" Target="https://pbs.twimg.com/profile_banners/1651620461296353280/1682615786" TargetMode="External"/><Relationship Id="rId69" Type="http://schemas.openxmlformats.org/officeDocument/2006/relationships/hyperlink" Target="https://x.com/updatebangtan_/status/1961474686472143219" TargetMode="External"/><Relationship Id="rId51" Type="http://schemas.openxmlformats.org/officeDocument/2006/relationships/hyperlink" Target="https://pbs.twimg.com/profile_banners/944734585614716928/1747074694" TargetMode="External"/><Relationship Id="rId50" Type="http://schemas.openxmlformats.org/officeDocument/2006/relationships/hyperlink" Target="https://pbs.twimg.com/profile_images/1136061746895106049/G8TS_hD3_normal.jpg" TargetMode="External"/><Relationship Id="rId53" Type="http://schemas.openxmlformats.org/officeDocument/2006/relationships/hyperlink" Target="https://pbs.twimg.com/profile_images/1988347861507952640/MmBWSSun_normal.jpg" TargetMode="External"/><Relationship Id="rId52" Type="http://schemas.openxmlformats.org/officeDocument/2006/relationships/hyperlink" Target="https://x.com/MauricioLeija/status/1973451647121760351" TargetMode="External"/><Relationship Id="rId55" Type="http://schemas.openxmlformats.org/officeDocument/2006/relationships/hyperlink" Target="https://x.com/MauricioLeija/status/1972470455379349666" TargetMode="External"/><Relationship Id="rId54" Type="http://schemas.openxmlformats.org/officeDocument/2006/relationships/hyperlink" Target="https://pbs.twimg.com/profile_banners/2825615947/1674793295" TargetMode="External"/><Relationship Id="rId57" Type="http://schemas.openxmlformats.org/officeDocument/2006/relationships/hyperlink" Target="https://pbs.twimg.com/profile_banners/2825615947/1674793295" TargetMode="External"/><Relationship Id="rId56" Type="http://schemas.openxmlformats.org/officeDocument/2006/relationships/hyperlink" Target="https://pbs.twimg.com/profile_images/1988347861507952640/MmBWSSun_normal.jpg" TargetMode="External"/><Relationship Id="rId59" Type="http://schemas.openxmlformats.org/officeDocument/2006/relationships/hyperlink" Target="https://pbs.twimg.com/profile_images/1941857553815584768/bG-scmHU_normal.jpg" TargetMode="External"/><Relationship Id="rId58" Type="http://schemas.openxmlformats.org/officeDocument/2006/relationships/hyperlink" Target="https://x.com/QueerMarx_99/status/1971283366839513280" TargetMode="External"/><Relationship Id="rId107" Type="http://schemas.openxmlformats.org/officeDocument/2006/relationships/hyperlink" Target="https://pbs.twimg.com/profile_images/1745094281449103360/Len2zkMK_normal.jpg" TargetMode="External"/><Relationship Id="rId106" Type="http://schemas.openxmlformats.org/officeDocument/2006/relationships/hyperlink" Target="https://x.com/landysJairPsic/status/1962695785713135959" TargetMode="External"/><Relationship Id="rId105" Type="http://schemas.openxmlformats.org/officeDocument/2006/relationships/hyperlink" Target="https://pbs.twimg.com/profile_banners/2358855016/1650879245" TargetMode="External"/><Relationship Id="rId104" Type="http://schemas.openxmlformats.org/officeDocument/2006/relationships/hyperlink" Target="https://pbs.twimg.com/profile_images/1897349690259070976/hgWJ5Oua_normal.jpg" TargetMode="External"/><Relationship Id="rId109" Type="http://schemas.openxmlformats.org/officeDocument/2006/relationships/hyperlink" Target="https://pbs.twimg.com/profile_images/1878496340562284544/etH9hoTo_normal.jpg" TargetMode="External"/><Relationship Id="rId108" Type="http://schemas.openxmlformats.org/officeDocument/2006/relationships/hyperlink" Target="https://x.com/prisi_luna27/status/1971319335915602323" TargetMode="External"/><Relationship Id="rId103" Type="http://schemas.openxmlformats.org/officeDocument/2006/relationships/hyperlink" Target="https://x.com/MatsuiArt/status/1924232790213538006" TargetMode="External"/><Relationship Id="rId102" Type="http://schemas.openxmlformats.org/officeDocument/2006/relationships/hyperlink" Target="https://pbs.twimg.com/profile_banners/2825615947/1674793295" TargetMode="External"/><Relationship Id="rId101" Type="http://schemas.openxmlformats.org/officeDocument/2006/relationships/hyperlink" Target="https://pbs.twimg.com/profile_images/1988347861507952640/MmBWSSun_normal.jpg" TargetMode="External"/><Relationship Id="rId100" Type="http://schemas.openxmlformats.org/officeDocument/2006/relationships/hyperlink" Target="https://x.com/MauricioLeija/status/1954517963807060217" TargetMode="External"/><Relationship Id="rId129" Type="http://schemas.openxmlformats.org/officeDocument/2006/relationships/hyperlink" Target="http://opus.pro" TargetMode="External"/><Relationship Id="rId128" Type="http://schemas.openxmlformats.org/officeDocument/2006/relationships/hyperlink" Target="https://pbs.twimg.com/profile_banners/154403438/1747941937" TargetMode="External"/><Relationship Id="rId127" Type="http://schemas.openxmlformats.org/officeDocument/2006/relationships/hyperlink" Target="https://pbs.twimg.com/profile_images/482530070209130497/Gt7ngfhx_normal.jpeg" TargetMode="External"/><Relationship Id="rId126" Type="http://schemas.openxmlformats.org/officeDocument/2006/relationships/hyperlink" Target="https://x.com/AlfredoAlvarezz/status/1975000183164346744" TargetMode="External"/><Relationship Id="rId121" Type="http://schemas.openxmlformats.org/officeDocument/2006/relationships/hyperlink" Target="https://pbs.twimg.com/profile_images/1988347861507952640/MmBWSSun_normal.jpg" TargetMode="External"/><Relationship Id="rId120" Type="http://schemas.openxmlformats.org/officeDocument/2006/relationships/hyperlink" Target="https://x.com/MauricioLeija/status/1934468429278327271" TargetMode="External"/><Relationship Id="rId125" Type="http://schemas.openxmlformats.org/officeDocument/2006/relationships/hyperlink" Target="https://pbs.twimg.com/profile_banners/2825615947/1674793295" TargetMode="External"/><Relationship Id="rId124" Type="http://schemas.openxmlformats.org/officeDocument/2006/relationships/hyperlink" Target="https://pbs.twimg.com/profile_images/1988347861507952640/MmBWSSun_normal.jpg" TargetMode="External"/><Relationship Id="rId123" Type="http://schemas.openxmlformats.org/officeDocument/2006/relationships/hyperlink" Target="https://x.com/MauricioLeija/status/1933576398158917640" TargetMode="External"/><Relationship Id="rId122" Type="http://schemas.openxmlformats.org/officeDocument/2006/relationships/hyperlink" Target="https://pbs.twimg.com/profile_banners/2825615947/1674793295" TargetMode="External"/><Relationship Id="rId95" Type="http://schemas.openxmlformats.org/officeDocument/2006/relationships/hyperlink" Target="https://pbs.twimg.com/profile_images/1988347861507952640/MmBWSSun_normal.jpg" TargetMode="External"/><Relationship Id="rId94" Type="http://schemas.openxmlformats.org/officeDocument/2006/relationships/hyperlink" Target="https://x.com/MauricioLeija/status/1931786348727284052" TargetMode="External"/><Relationship Id="rId97" Type="http://schemas.openxmlformats.org/officeDocument/2006/relationships/hyperlink" Target="https://x.com/MauricioLeija/status/1930122161517121711" TargetMode="External"/><Relationship Id="rId96" Type="http://schemas.openxmlformats.org/officeDocument/2006/relationships/hyperlink" Target="https://pbs.twimg.com/profile_banners/2825615947/1674793295" TargetMode="External"/><Relationship Id="rId99" Type="http://schemas.openxmlformats.org/officeDocument/2006/relationships/hyperlink" Target="https://pbs.twimg.com/profile_banners/2825615947/1674793295" TargetMode="External"/><Relationship Id="rId98" Type="http://schemas.openxmlformats.org/officeDocument/2006/relationships/hyperlink" Target="https://pbs.twimg.com/profile_images/1988347861507952640/MmBWSSun_normal.jpg" TargetMode="External"/><Relationship Id="rId91" Type="http://schemas.openxmlformats.org/officeDocument/2006/relationships/hyperlink" Target="https://x.com/MauricioLeija/status/1930135274798919870" TargetMode="External"/><Relationship Id="rId90" Type="http://schemas.openxmlformats.org/officeDocument/2006/relationships/hyperlink" Target="https://pbs.twimg.com/media/Gpo42RwW4AAIVXa.jpg" TargetMode="External"/><Relationship Id="rId93" Type="http://schemas.openxmlformats.org/officeDocument/2006/relationships/hyperlink" Target="https://pbs.twimg.com/profile_banners/2825615947/1674793295" TargetMode="External"/><Relationship Id="rId92" Type="http://schemas.openxmlformats.org/officeDocument/2006/relationships/hyperlink" Target="https://pbs.twimg.com/profile_images/1988347861507952640/MmBWSSun_normal.jpg" TargetMode="External"/><Relationship Id="rId118" Type="http://schemas.openxmlformats.org/officeDocument/2006/relationships/hyperlink" Target="https://pbs.twimg.com/profile_images/1988347861507952640/MmBWSSun_normal.jpg" TargetMode="External"/><Relationship Id="rId117" Type="http://schemas.openxmlformats.org/officeDocument/2006/relationships/hyperlink" Target="https://x.com/MauricioLeija/status/1954343187809722450" TargetMode="External"/><Relationship Id="rId116" Type="http://schemas.openxmlformats.org/officeDocument/2006/relationships/hyperlink" Target="https://pbs.twimg.com/profile_banners/1311746150890901505/1760449806" TargetMode="External"/><Relationship Id="rId115" Type="http://schemas.openxmlformats.org/officeDocument/2006/relationships/hyperlink" Target="https://pbs.twimg.com/profile_images/1978090744012328960/RgVwn3_k_normal.jpg" TargetMode="External"/><Relationship Id="rId119" Type="http://schemas.openxmlformats.org/officeDocument/2006/relationships/hyperlink" Target="https://pbs.twimg.com/profile_banners/2825615947/1674793295" TargetMode="External"/><Relationship Id="rId110" Type="http://schemas.openxmlformats.org/officeDocument/2006/relationships/hyperlink" Target="https://pbs.twimg.com/profile_banners/1254627509351714816/1630690788" TargetMode="External"/><Relationship Id="rId114" Type="http://schemas.openxmlformats.org/officeDocument/2006/relationships/hyperlink" Target="https://x.com/jinkook_br/status/1961488240893927812" TargetMode="External"/><Relationship Id="rId113" Type="http://schemas.openxmlformats.org/officeDocument/2006/relationships/hyperlink" Target="https://pbs.twimg.com/profile_banners/1756066206371454976/1755267704" TargetMode="External"/><Relationship Id="rId112" Type="http://schemas.openxmlformats.org/officeDocument/2006/relationships/hyperlink" Target="https://pbs.twimg.com/profile_images/1973881794635186176/IbnCWh0Y_normal.jpg" TargetMode="External"/><Relationship Id="rId111" Type="http://schemas.openxmlformats.org/officeDocument/2006/relationships/hyperlink" Target="https://x.com/viralataavulso/status/1982067973511930133" TargetMode="External"/><Relationship Id="rId271" Type="http://schemas.openxmlformats.org/officeDocument/2006/relationships/hyperlink" Target="https://pbs.twimg.com/media/GsFS7FuWAAAp-3a.jpg" TargetMode="External"/><Relationship Id="rId270" Type="http://schemas.openxmlformats.org/officeDocument/2006/relationships/hyperlink" Target="https://pbs.twimg.com/profile_banners/1525686386/1758671310" TargetMode="External"/><Relationship Id="rId269" Type="http://schemas.openxmlformats.org/officeDocument/2006/relationships/hyperlink" Target="https://pbs.twimg.com/profile_images/1978174835738968064/l1gH_1Zd_normal.jpg" TargetMode="External"/><Relationship Id="rId264" Type="http://schemas.openxmlformats.org/officeDocument/2006/relationships/hyperlink" Target="https://pbs.twimg.com/profile_banners/1656851066825191424/1698518585" TargetMode="External"/><Relationship Id="rId263" Type="http://schemas.openxmlformats.org/officeDocument/2006/relationships/hyperlink" Target="https://pbs.twimg.com/profile_images/1962524049155756033/I-slbMrx_normal.jpg" TargetMode="External"/><Relationship Id="rId262" Type="http://schemas.openxmlformats.org/officeDocument/2006/relationships/hyperlink" Target="https://x.com/manucaralho_/status/1974672399036727526" TargetMode="External"/><Relationship Id="rId261" Type="http://schemas.openxmlformats.org/officeDocument/2006/relationships/hyperlink" Target="https://pbs.twimg.com/profile_banners/755692362890903552/1725258866" TargetMode="External"/><Relationship Id="rId268" Type="http://schemas.openxmlformats.org/officeDocument/2006/relationships/hyperlink" Target="https://x.com/pedregulhando/status/1928494140603478224" TargetMode="External"/><Relationship Id="rId267" Type="http://schemas.openxmlformats.org/officeDocument/2006/relationships/hyperlink" Target="https://pbs.twimg.com/profile_banners/1251470930582347776/1757894583" TargetMode="External"/><Relationship Id="rId266" Type="http://schemas.openxmlformats.org/officeDocument/2006/relationships/hyperlink" Target="https://pbs.twimg.com/profile_images/1928151717985554432/WW5rzUxb_normal.jpg" TargetMode="External"/><Relationship Id="rId265" Type="http://schemas.openxmlformats.org/officeDocument/2006/relationships/hyperlink" Target="https://x.com/thotrrente/status/1988205407278698602" TargetMode="External"/><Relationship Id="rId260" Type="http://schemas.openxmlformats.org/officeDocument/2006/relationships/hyperlink" Target="https://pbs.twimg.com/profile_images/1710312105088335872/Q9lwGVLI_normal.jpg" TargetMode="External"/><Relationship Id="rId259" Type="http://schemas.openxmlformats.org/officeDocument/2006/relationships/hyperlink" Target="https://x.com/LaTardeCOPE/status/1970517428099506408" TargetMode="External"/><Relationship Id="rId258" Type="http://schemas.openxmlformats.org/officeDocument/2006/relationships/hyperlink" Target="https://pbs.twimg.com/profile_images/1787763812550242304/rNeoqV9U_normal.jpg" TargetMode="External"/><Relationship Id="rId253" Type="http://schemas.openxmlformats.org/officeDocument/2006/relationships/hyperlink" Target="https://pbs.twimg.com/profile_banners/82608449/1715111412" TargetMode="External"/><Relationship Id="rId252" Type="http://schemas.openxmlformats.org/officeDocument/2006/relationships/hyperlink" Target="https://pbs.twimg.com/profile_images/1787920497663201280/f5adixpO_normal.jpg" TargetMode="External"/><Relationship Id="rId251" Type="http://schemas.openxmlformats.org/officeDocument/2006/relationships/hyperlink" Target="https://x.com/DiarioPresente/status/1983614814682599537" TargetMode="External"/><Relationship Id="rId250" Type="http://schemas.openxmlformats.org/officeDocument/2006/relationships/hyperlink" Target="https://pbs.twimg.com/profile_banners/1326998840/1737196190" TargetMode="External"/><Relationship Id="rId257" Type="http://schemas.openxmlformats.org/officeDocument/2006/relationships/hyperlink" Target="https://x.com/RussellTor40786/status/1970181565071376777" TargetMode="External"/><Relationship Id="rId256" Type="http://schemas.openxmlformats.org/officeDocument/2006/relationships/hyperlink" Target="https://pbs.twimg.com/profile_banners/141214180/1583003072" TargetMode="External"/><Relationship Id="rId255" Type="http://schemas.openxmlformats.org/officeDocument/2006/relationships/hyperlink" Target="https://pbs.twimg.com/profile_images/1232378473651539968/O1Ihu2EC_normal.jpg" TargetMode="External"/><Relationship Id="rId254" Type="http://schemas.openxmlformats.org/officeDocument/2006/relationships/hyperlink" Target="https://x.com/viadescapetv/status/1977958391969415301" TargetMode="External"/><Relationship Id="rId293" Type="http://schemas.openxmlformats.org/officeDocument/2006/relationships/drawing" Target="../drawings/drawing4.xml"/><Relationship Id="rId292" Type="http://schemas.openxmlformats.org/officeDocument/2006/relationships/hyperlink" Target="https://pbs.twimg.com/profile_banners/4868557389/1733064306" TargetMode="External"/><Relationship Id="rId291" Type="http://schemas.openxmlformats.org/officeDocument/2006/relationships/hyperlink" Target="https://pbs.twimg.com/profile_images/694091082410377216/HuUCM-I-_normal.jpg" TargetMode="External"/><Relationship Id="rId290" Type="http://schemas.openxmlformats.org/officeDocument/2006/relationships/hyperlink" Target="https://x.com/cinenuevatribu/status/1982384694500171803" TargetMode="External"/><Relationship Id="rId286" Type="http://schemas.openxmlformats.org/officeDocument/2006/relationships/hyperlink" Target="https://pbs.twimg.com/profile_banners/187948082/1701347974" TargetMode="External"/><Relationship Id="rId285" Type="http://schemas.openxmlformats.org/officeDocument/2006/relationships/hyperlink" Target="https://pbs.twimg.com/profile_images/1710313266872754176/uy941pAa_normal.jpg" TargetMode="External"/><Relationship Id="rId284" Type="http://schemas.openxmlformats.org/officeDocument/2006/relationships/hyperlink" Target="https://x.com/findesemanacope/status/1970517428766486537" TargetMode="External"/><Relationship Id="rId283" Type="http://schemas.openxmlformats.org/officeDocument/2006/relationships/hyperlink" Target="https://pbs.twimg.com/profile_banners/770557562471284736/1756131770" TargetMode="External"/><Relationship Id="rId289" Type="http://schemas.openxmlformats.org/officeDocument/2006/relationships/hyperlink" Target="https://pbs.twimg.com/profile_banners/245809028/1701348186" TargetMode="External"/><Relationship Id="rId288" Type="http://schemas.openxmlformats.org/officeDocument/2006/relationships/hyperlink" Target="https://pbs.twimg.com/profile_images/1710312743578861568/_itXUjcl_normal.jpg" TargetMode="External"/><Relationship Id="rId287" Type="http://schemas.openxmlformats.org/officeDocument/2006/relationships/hyperlink" Target="https://x.com/linternacope/status/1970517428816736428" TargetMode="External"/><Relationship Id="rId282" Type="http://schemas.openxmlformats.org/officeDocument/2006/relationships/hyperlink" Target="https://pbs.twimg.com/profile_images/1710311542959259648/UEUi7uFS_normal.jpg" TargetMode="External"/><Relationship Id="rId281" Type="http://schemas.openxmlformats.org/officeDocument/2006/relationships/hyperlink" Target="https://x.com/MediodiaCOPE/status/1970517428724519289" TargetMode="External"/><Relationship Id="rId280" Type="http://schemas.openxmlformats.org/officeDocument/2006/relationships/hyperlink" Target="https://pbs.twimg.com/profile_banners/15019391/1762786924" TargetMode="External"/><Relationship Id="rId275" Type="http://schemas.openxmlformats.org/officeDocument/2006/relationships/hyperlink" Target="https://x.com/logopedico/status/1977071769400848784" TargetMode="External"/><Relationship Id="rId274" Type="http://schemas.openxmlformats.org/officeDocument/2006/relationships/hyperlink" Target="https://pbs.twimg.com/profile_banners/9706822/1636029051" TargetMode="External"/><Relationship Id="rId273" Type="http://schemas.openxmlformats.org/officeDocument/2006/relationships/hyperlink" Target="https://pbs.twimg.com/profile_images/1713945389668155392/9yDD807W_normal.jpg" TargetMode="External"/><Relationship Id="rId272" Type="http://schemas.openxmlformats.org/officeDocument/2006/relationships/hyperlink" Target="https://x.com/COPE/status/1970517419505353080" TargetMode="External"/><Relationship Id="rId279" Type="http://schemas.openxmlformats.org/officeDocument/2006/relationships/hyperlink" Target="https://pbs.twimg.com/profile_images/1775078100939718656/HH_-J0ib_normal.jpg" TargetMode="External"/><Relationship Id="rId278" Type="http://schemas.openxmlformats.org/officeDocument/2006/relationships/hyperlink" Target="https://x.com/penguinlibros/status/1966773849724514425" TargetMode="External"/><Relationship Id="rId277" Type="http://schemas.openxmlformats.org/officeDocument/2006/relationships/hyperlink" Target="https://pbs.twimg.com/profile_banners/31093614/1400058512" TargetMode="External"/><Relationship Id="rId276" Type="http://schemas.openxmlformats.org/officeDocument/2006/relationships/hyperlink" Target="https://pbs.twimg.com/profile_images/466500995346755584/Fyhu8cAd_normal.png" TargetMode="External"/><Relationship Id="rId228" Type="http://schemas.openxmlformats.org/officeDocument/2006/relationships/hyperlink" Target="https://pbs.twimg.com/profile_images/1978857104233377792/TEadPn73_normal.jpg" TargetMode="External"/><Relationship Id="rId227" Type="http://schemas.openxmlformats.org/officeDocument/2006/relationships/hyperlink" Target="https://x.com/gonchrv/status/1938767741311164641" TargetMode="External"/><Relationship Id="rId226" Type="http://schemas.openxmlformats.org/officeDocument/2006/relationships/hyperlink" Target="https://pbs.twimg.com/profile_banners/48185021/1761655418" TargetMode="External"/><Relationship Id="rId225" Type="http://schemas.openxmlformats.org/officeDocument/2006/relationships/hyperlink" Target="https://pbs.twimg.com/profile_images/1983167910626353152/TKit1fes_normal.jpg" TargetMode="External"/><Relationship Id="rId229" Type="http://schemas.openxmlformats.org/officeDocument/2006/relationships/hyperlink" Target="https://pbs.twimg.com/profile_banners/1109138263841878017/1749935715" TargetMode="External"/><Relationship Id="rId220" Type="http://schemas.openxmlformats.org/officeDocument/2006/relationships/hyperlink" Target="https://pbs.twimg.com/profile_banners/2825615947/1674793295" TargetMode="External"/><Relationship Id="rId224" Type="http://schemas.openxmlformats.org/officeDocument/2006/relationships/hyperlink" Target="https://x.com/nabiunkula/status/1960722102446661667" TargetMode="External"/><Relationship Id="rId223" Type="http://schemas.openxmlformats.org/officeDocument/2006/relationships/hyperlink" Target="https://pbs.twimg.com/profile_banners/601113942/1761843178" TargetMode="External"/><Relationship Id="rId222" Type="http://schemas.openxmlformats.org/officeDocument/2006/relationships/hyperlink" Target="https://pbs.twimg.com/profile_images/1975688429212954624/Iv_i81XJ_normal.jpg" TargetMode="External"/><Relationship Id="rId221" Type="http://schemas.openxmlformats.org/officeDocument/2006/relationships/hyperlink" Target="https://x.com/SEMERGENap/status/1931627536573677689" TargetMode="External"/><Relationship Id="rId217" Type="http://schemas.openxmlformats.org/officeDocument/2006/relationships/hyperlink" Target="https://pbs.twimg.com/profile_banners/603257566/1762136474" TargetMode="External"/><Relationship Id="rId216" Type="http://schemas.openxmlformats.org/officeDocument/2006/relationships/hyperlink" Target="https://pbs.twimg.com/profile_images/1973189112141152256/Z0ArSqBM_normal.jpg" TargetMode="External"/><Relationship Id="rId215" Type="http://schemas.openxmlformats.org/officeDocument/2006/relationships/hyperlink" Target="https://x.com/PsicoterapiaMSC/status/1965073650824163725" TargetMode="External"/><Relationship Id="rId214" Type="http://schemas.openxmlformats.org/officeDocument/2006/relationships/hyperlink" Target="https://pbs.twimg.com/profile_banners/220106733/1757090234" TargetMode="External"/><Relationship Id="rId219" Type="http://schemas.openxmlformats.org/officeDocument/2006/relationships/hyperlink" Target="https://pbs.twimg.com/profile_images/1988347861507952640/MmBWSSun_normal.jpg" TargetMode="External"/><Relationship Id="rId218" Type="http://schemas.openxmlformats.org/officeDocument/2006/relationships/hyperlink" Target="https://x.com/MauricioLeija/status/1938451902527611187" TargetMode="External"/><Relationship Id="rId213" Type="http://schemas.openxmlformats.org/officeDocument/2006/relationships/hyperlink" Target="https://pbs.twimg.com/profile_images/1964005246570528768/v00RfbRW_normal.jpg" TargetMode="External"/><Relationship Id="rId212" Type="http://schemas.openxmlformats.org/officeDocument/2006/relationships/hyperlink" Target="https://x.com/noadiateixeira/status/1930326354152522125" TargetMode="External"/><Relationship Id="rId211" Type="http://schemas.openxmlformats.org/officeDocument/2006/relationships/hyperlink" Target="https://pbs.twimg.com/profile_banners/2825615947/1674793295" TargetMode="External"/><Relationship Id="rId210" Type="http://schemas.openxmlformats.org/officeDocument/2006/relationships/hyperlink" Target="https://pbs.twimg.com/profile_images/1988347861507952640/MmBWSSun_normal.jpg" TargetMode="External"/><Relationship Id="rId249" Type="http://schemas.openxmlformats.org/officeDocument/2006/relationships/hyperlink" Target="https://pbs.twimg.com/profile_images/1880563923532873728/NAV97Jw9_normal.jpg" TargetMode="External"/><Relationship Id="rId248" Type="http://schemas.openxmlformats.org/officeDocument/2006/relationships/hyperlink" Target="https://x.com/TenemosTDAHSBD/status/1969715444287521091" TargetMode="External"/><Relationship Id="rId247" Type="http://schemas.openxmlformats.org/officeDocument/2006/relationships/hyperlink" Target="https://pbs.twimg.com/profile_banners/206776127/1761915300" TargetMode="External"/><Relationship Id="rId242" Type="http://schemas.openxmlformats.org/officeDocument/2006/relationships/hyperlink" Target="https://x.com/paularosiska/status/1917631948199190561" TargetMode="External"/><Relationship Id="rId241" Type="http://schemas.openxmlformats.org/officeDocument/2006/relationships/hyperlink" Target="http://dlvr.it" TargetMode="External"/><Relationship Id="rId240" Type="http://schemas.openxmlformats.org/officeDocument/2006/relationships/hyperlink" Target="https://pbs.twimg.com/profile_banners/179990537/1718105118" TargetMode="External"/><Relationship Id="rId246" Type="http://schemas.openxmlformats.org/officeDocument/2006/relationships/hyperlink" Target="https://pbs.twimg.com/profile_images/1292993707373993992/qnyOsXJY_normal.jpg" TargetMode="External"/><Relationship Id="rId245" Type="http://schemas.openxmlformats.org/officeDocument/2006/relationships/hyperlink" Target="https://x.com/JustLils/status/1949844628850504064" TargetMode="External"/><Relationship Id="rId244" Type="http://schemas.openxmlformats.org/officeDocument/2006/relationships/hyperlink" Target="https://pbs.twimg.com/profile_banners/54440370/1727452281" TargetMode="External"/><Relationship Id="rId243" Type="http://schemas.openxmlformats.org/officeDocument/2006/relationships/hyperlink" Target="https://pbs.twimg.com/profile_images/1931157312443461632/MIg5UmoV_normal.jpg" TargetMode="External"/><Relationship Id="rId239" Type="http://schemas.openxmlformats.org/officeDocument/2006/relationships/hyperlink" Target="https://pbs.twimg.com/profile_images/1694155721724538880/B6lUZpHj_normal.jpg" TargetMode="External"/><Relationship Id="rId238" Type="http://schemas.openxmlformats.org/officeDocument/2006/relationships/hyperlink" Target="https://x.com/lacapital/status/1941487874853269649" TargetMode="External"/><Relationship Id="rId237" Type="http://schemas.openxmlformats.org/officeDocument/2006/relationships/hyperlink" Target="https://pbs.twimg.com/profile_banners/1132418770696396801/1701787577" TargetMode="External"/><Relationship Id="rId236" Type="http://schemas.openxmlformats.org/officeDocument/2006/relationships/hyperlink" Target="https://pbs.twimg.com/profile_images/1416916148654858240/xFr4xLrK_normal.jpg" TargetMode="External"/><Relationship Id="rId231" Type="http://schemas.openxmlformats.org/officeDocument/2006/relationships/hyperlink" Target="https://pbs.twimg.com/profile_images/1985876936690671616/WiSs9vZD_normal.jpg" TargetMode="External"/><Relationship Id="rId230" Type="http://schemas.openxmlformats.org/officeDocument/2006/relationships/hyperlink" Target="https://x.com/3lenit/status/1930270871844765940" TargetMode="External"/><Relationship Id="rId235" Type="http://schemas.openxmlformats.org/officeDocument/2006/relationships/hyperlink" Target="https://x.com/and_julianas/status/1986787112167817369" TargetMode="External"/><Relationship Id="rId234" Type="http://schemas.openxmlformats.org/officeDocument/2006/relationships/hyperlink" Target="https://pbs.twimg.com/profile_images/1943249874239262723/PHiS0Snq_normal.jpg" TargetMode="External"/><Relationship Id="rId233" Type="http://schemas.openxmlformats.org/officeDocument/2006/relationships/hyperlink" Target="https://x.com/DuganVonda1986/status/1980317816957083798" TargetMode="External"/><Relationship Id="rId232" Type="http://schemas.openxmlformats.org/officeDocument/2006/relationships/hyperlink" Target="https://pbs.twimg.com/profile_banners/164058065/1738305227" TargetMode="External"/><Relationship Id="rId206" Type="http://schemas.openxmlformats.org/officeDocument/2006/relationships/hyperlink" Target="https://x.com/ionlylovemyjuli/status/1988750705360851300" TargetMode="External"/><Relationship Id="rId205" Type="http://schemas.openxmlformats.org/officeDocument/2006/relationships/hyperlink" Target="https://pbs.twimg.com/profile_banners/1926405016492871680/1762356368" TargetMode="External"/><Relationship Id="rId204" Type="http://schemas.openxmlformats.org/officeDocument/2006/relationships/hyperlink" Target="https://pbs.twimg.com/profile_images/1986092336804200448/XZ8WDvUN_normal.jpg" TargetMode="External"/><Relationship Id="rId203" Type="http://schemas.openxmlformats.org/officeDocument/2006/relationships/hyperlink" Target="https://x.com/henssnunkv/status/1961442007944962325" TargetMode="External"/><Relationship Id="rId209" Type="http://schemas.openxmlformats.org/officeDocument/2006/relationships/hyperlink" Target="https://x.com/MauricioLeija/status/1954513578922283113" TargetMode="External"/><Relationship Id="rId208" Type="http://schemas.openxmlformats.org/officeDocument/2006/relationships/hyperlink" Target="https://pbs.twimg.com/profile_banners/166666615/1718764372" TargetMode="External"/><Relationship Id="rId207" Type="http://schemas.openxmlformats.org/officeDocument/2006/relationships/hyperlink" Target="https://pbs.twimg.com/profile_images/1692443415420497920/BJOTxUeH_normal.jpg" TargetMode="External"/><Relationship Id="rId202" Type="http://schemas.openxmlformats.org/officeDocument/2006/relationships/hyperlink" Target="https://pbs.twimg.com/profile_banners/236621586/1606877123" TargetMode="External"/><Relationship Id="rId201" Type="http://schemas.openxmlformats.org/officeDocument/2006/relationships/hyperlink" Target="https://pbs.twimg.com/profile_images/1540464860768731136/UM4JIXS3_normal.jpg" TargetMode="External"/><Relationship Id="rId200" Type="http://schemas.openxmlformats.org/officeDocument/2006/relationships/hyperlink" Target="https://x.com/ElPaido/status/194234670650037065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hidden="1">
      <c r="A2" s="2" t="s">
        <v>44</v>
      </c>
      <c r="B2" s="2" t="s">
        <v>44</v>
      </c>
      <c r="C2" s="6">
        <v>45950.849641203706</v>
      </c>
      <c r="D2" s="2">
        <v>1.760991809E9</v>
      </c>
      <c r="E2" s="8" t="s">
        <v>46</v>
      </c>
      <c r="F2" s="2" t="s">
        <v>56</v>
      </c>
      <c r="G2" s="2" t="s">
        <v>57</v>
      </c>
      <c r="H2" s="2" t="s">
        <v>58</v>
      </c>
      <c r="I2" s="2" t="s">
        <v>59</v>
      </c>
      <c r="J2" s="8" t="s">
        <v>60</v>
      </c>
      <c r="K2" s="8" t="s">
        <v>62</v>
      </c>
      <c r="L2" s="2" t="b">
        <v>0</v>
      </c>
      <c r="M2" s="2" t="s">
        <v>67</v>
      </c>
      <c r="N2" s="2" t="s">
        <v>68</v>
      </c>
      <c r="O2" s="2" t="s">
        <v>65</v>
      </c>
      <c r="P2" s="2">
        <v>1.0</v>
      </c>
      <c r="Q2" s="2">
        <v>1.0</v>
      </c>
      <c r="R2" s="2">
        <v>16.0</v>
      </c>
      <c r="S2" s="2">
        <v>0.0</v>
      </c>
      <c r="T2" s="2">
        <v>822.0</v>
      </c>
      <c r="U2" s="2" t="s">
        <v>65</v>
      </c>
      <c r="W2" s="2" t="s">
        <v>65</v>
      </c>
      <c r="AC2" s="2" t="s">
        <v>65</v>
      </c>
      <c r="AD2" s="2" t="s">
        <v>65</v>
      </c>
      <c r="AF2" s="2" t="s">
        <v>65</v>
      </c>
      <c r="AI2" s="8" t="s">
        <v>73</v>
      </c>
      <c r="AJ2" s="8" t="s">
        <v>82</v>
      </c>
    </row>
    <row r="3" hidden="1">
      <c r="A3" s="2" t="s">
        <v>86</v>
      </c>
      <c r="B3" s="2" t="s">
        <v>86</v>
      </c>
      <c r="C3" s="6">
        <v>45969.32357638889</v>
      </c>
      <c r="D3" s="2">
        <v>1.762587957E9</v>
      </c>
      <c r="E3" s="8" t="s">
        <v>89</v>
      </c>
      <c r="F3" s="2" t="s">
        <v>95</v>
      </c>
      <c r="G3" s="2" t="s">
        <v>97</v>
      </c>
      <c r="H3" s="2" t="s">
        <v>100</v>
      </c>
      <c r="I3" s="2" t="s">
        <v>103</v>
      </c>
      <c r="J3" s="8" t="s">
        <v>106</v>
      </c>
      <c r="K3" s="8" t="s">
        <v>111</v>
      </c>
      <c r="L3" s="2" t="b">
        <v>0</v>
      </c>
      <c r="M3" s="2" t="s">
        <v>67</v>
      </c>
      <c r="N3" s="2" t="s">
        <v>68</v>
      </c>
      <c r="O3" s="2" t="s">
        <v>65</v>
      </c>
      <c r="P3" s="2">
        <v>0.0</v>
      </c>
      <c r="Q3" s="2">
        <v>1.0</v>
      </c>
      <c r="R3" s="2">
        <v>1.0</v>
      </c>
      <c r="S3" s="2">
        <v>0.0</v>
      </c>
      <c r="T3" s="2">
        <v>72.0</v>
      </c>
      <c r="U3" s="2" t="s">
        <v>65</v>
      </c>
      <c r="W3" s="2" t="s">
        <v>65</v>
      </c>
      <c r="AC3" s="2" t="s">
        <v>65</v>
      </c>
      <c r="AD3" s="2" t="s">
        <v>65</v>
      </c>
      <c r="AF3" s="2" t="s">
        <v>65</v>
      </c>
    </row>
    <row r="4" hidden="1">
      <c r="A4" s="2" t="s">
        <v>114</v>
      </c>
      <c r="B4" s="2" t="s">
        <v>114</v>
      </c>
      <c r="C4" s="6">
        <v>45972.995405092595</v>
      </c>
      <c r="D4" s="2">
        <v>1.762905203E9</v>
      </c>
      <c r="E4" s="8" t="s">
        <v>115</v>
      </c>
      <c r="F4" s="2" t="s">
        <v>120</v>
      </c>
      <c r="G4" s="2" t="s">
        <v>121</v>
      </c>
      <c r="H4" s="2" t="s">
        <v>122</v>
      </c>
      <c r="I4" s="2" t="s">
        <v>123</v>
      </c>
      <c r="J4" s="8" t="s">
        <v>124</v>
      </c>
      <c r="K4" s="8" t="s">
        <v>133</v>
      </c>
      <c r="L4" s="2" t="b">
        <v>0</v>
      </c>
      <c r="M4" s="2" t="s">
        <v>85</v>
      </c>
      <c r="N4" s="2" t="s">
        <v>68</v>
      </c>
      <c r="O4" s="2" t="s">
        <v>65</v>
      </c>
      <c r="P4" s="2">
        <v>0.0</v>
      </c>
      <c r="Q4" s="2">
        <v>0.0</v>
      </c>
      <c r="R4" s="2">
        <v>0.0</v>
      </c>
      <c r="S4" s="2">
        <v>0.0</v>
      </c>
      <c r="T4" s="2">
        <v>95.0</v>
      </c>
      <c r="U4" s="2" t="s">
        <v>65</v>
      </c>
      <c r="W4" s="2" t="s">
        <v>65</v>
      </c>
      <c r="AC4" s="2" t="s">
        <v>65</v>
      </c>
      <c r="AD4" s="2" t="s">
        <v>65</v>
      </c>
      <c r="AF4" s="2" t="s">
        <v>65</v>
      </c>
      <c r="AI4" s="8" t="s">
        <v>136</v>
      </c>
      <c r="AJ4" s="8" t="s">
        <v>141</v>
      </c>
    </row>
    <row r="5">
      <c r="A5" s="2" t="s">
        <v>148</v>
      </c>
      <c r="B5" s="2" t="s">
        <v>148</v>
      </c>
      <c r="C5" s="6">
        <v>45846.98563657407</v>
      </c>
      <c r="D5" s="2">
        <v>1.752017959E9</v>
      </c>
      <c r="E5" s="8" t="s">
        <v>149</v>
      </c>
      <c r="F5" s="2" t="s">
        <v>157</v>
      </c>
      <c r="G5" s="2" t="s">
        <v>158</v>
      </c>
      <c r="H5" s="2" t="s">
        <v>159</v>
      </c>
      <c r="I5" s="2">
        <v>2.36621586E8</v>
      </c>
      <c r="J5" s="8" t="s">
        <v>160</v>
      </c>
      <c r="K5" s="8" t="s">
        <v>162</v>
      </c>
      <c r="L5" s="2" t="b">
        <v>0</v>
      </c>
      <c r="M5" s="2" t="s">
        <v>67</v>
      </c>
      <c r="N5" s="2" t="s">
        <v>64</v>
      </c>
      <c r="O5" s="2" t="s">
        <v>65</v>
      </c>
      <c r="P5" s="2">
        <v>20.0</v>
      </c>
      <c r="Q5" s="2">
        <v>3.0</v>
      </c>
      <c r="R5" s="2">
        <v>74.0</v>
      </c>
      <c r="S5" s="2">
        <v>2.0</v>
      </c>
      <c r="T5" s="2">
        <v>7110.0</v>
      </c>
      <c r="U5" s="2" t="s">
        <v>65</v>
      </c>
      <c r="W5" s="2" t="s">
        <v>65</v>
      </c>
      <c r="AC5" s="2" t="s">
        <v>65</v>
      </c>
      <c r="AD5" s="2" t="s">
        <v>65</v>
      </c>
      <c r="AF5" s="2" t="s">
        <v>65</v>
      </c>
      <c r="AI5" s="8" t="s">
        <v>169</v>
      </c>
    </row>
    <row r="6">
      <c r="A6" s="2" t="s">
        <v>176</v>
      </c>
      <c r="B6" s="2" t="s">
        <v>176</v>
      </c>
      <c r="C6" s="6">
        <v>45815.72741898148</v>
      </c>
      <c r="D6" s="2">
        <v>1.749317249E9</v>
      </c>
      <c r="E6" s="8" t="s">
        <v>177</v>
      </c>
      <c r="F6" s="2" t="s">
        <v>184</v>
      </c>
      <c r="G6" s="2" t="s">
        <v>158</v>
      </c>
      <c r="H6" s="2" t="s">
        <v>159</v>
      </c>
      <c r="I6" s="2">
        <v>2.36621586E8</v>
      </c>
      <c r="J6" s="8" t="s">
        <v>160</v>
      </c>
      <c r="K6" s="8" t="s">
        <v>162</v>
      </c>
      <c r="L6" s="2" t="b">
        <v>0</v>
      </c>
      <c r="M6" s="2" t="s">
        <v>66</v>
      </c>
      <c r="N6" s="2" t="s">
        <v>64</v>
      </c>
      <c r="O6" s="2" t="s">
        <v>65</v>
      </c>
      <c r="P6" s="2">
        <v>42.0</v>
      </c>
      <c r="Q6" s="2">
        <v>4.0</v>
      </c>
      <c r="R6" s="2">
        <v>185.0</v>
      </c>
      <c r="S6" s="2">
        <v>3.0</v>
      </c>
      <c r="T6" s="2">
        <v>5127.0</v>
      </c>
      <c r="U6" s="2" t="s">
        <v>65</v>
      </c>
      <c r="W6" s="2" t="s">
        <v>65</v>
      </c>
      <c r="AC6" s="2" t="s">
        <v>65</v>
      </c>
      <c r="AD6" s="2" t="s">
        <v>65</v>
      </c>
      <c r="AF6" s="2" t="s">
        <v>65</v>
      </c>
      <c r="AI6" s="8" t="s">
        <v>189</v>
      </c>
    </row>
    <row r="7" hidden="1">
      <c r="A7" s="2" t="s">
        <v>196</v>
      </c>
      <c r="B7" s="2" t="s">
        <v>196</v>
      </c>
      <c r="C7" s="6">
        <v>45967.12819444444</v>
      </c>
      <c r="D7" s="2">
        <v>1.762398276E9</v>
      </c>
      <c r="E7" s="8" t="s">
        <v>197</v>
      </c>
      <c r="F7" s="2" t="s">
        <v>198</v>
      </c>
      <c r="G7" s="2" t="s">
        <v>199</v>
      </c>
      <c r="H7" s="2" t="s">
        <v>201</v>
      </c>
      <c r="I7" s="2">
        <v>4.55268784E8</v>
      </c>
      <c r="J7" s="8" t="s">
        <v>202</v>
      </c>
      <c r="K7" s="8" t="s">
        <v>205</v>
      </c>
      <c r="L7" s="2" t="b">
        <v>0</v>
      </c>
      <c r="M7" s="2" t="s">
        <v>85</v>
      </c>
      <c r="N7" s="2" t="s">
        <v>68</v>
      </c>
      <c r="O7" s="2" t="s">
        <v>65</v>
      </c>
      <c r="P7" s="2">
        <v>247.0</v>
      </c>
      <c r="Q7" s="2">
        <v>0.0</v>
      </c>
      <c r="R7" s="2">
        <v>286.0</v>
      </c>
      <c r="S7" s="2">
        <v>8.0</v>
      </c>
      <c r="T7" s="2">
        <v>23803.0</v>
      </c>
      <c r="U7" s="2" t="s">
        <v>65</v>
      </c>
      <c r="W7" s="2" t="s">
        <v>65</v>
      </c>
      <c r="AC7" s="2" t="s">
        <v>65</v>
      </c>
      <c r="AD7" s="2" t="s">
        <v>65</v>
      </c>
      <c r="AF7" s="2" t="s">
        <v>65</v>
      </c>
    </row>
    <row r="8">
      <c r="A8" s="2" t="s">
        <v>209</v>
      </c>
      <c r="B8" s="2" t="s">
        <v>209</v>
      </c>
      <c r="C8" s="6">
        <v>45929.71771990741</v>
      </c>
      <c r="D8" s="2">
        <v>1.759166011E9</v>
      </c>
      <c r="E8" s="8" t="s">
        <v>210</v>
      </c>
      <c r="F8" s="2" t="s">
        <v>218</v>
      </c>
      <c r="G8" s="2" t="s">
        <v>219</v>
      </c>
      <c r="H8" s="2" t="s">
        <v>221</v>
      </c>
      <c r="I8" s="2" t="s">
        <v>222</v>
      </c>
      <c r="J8" s="8" t="s">
        <v>223</v>
      </c>
      <c r="K8" s="8" t="s">
        <v>226</v>
      </c>
      <c r="L8" s="2" t="b">
        <v>0</v>
      </c>
      <c r="M8" s="2" t="s">
        <v>67</v>
      </c>
      <c r="N8" s="2" t="s">
        <v>64</v>
      </c>
      <c r="O8" s="2" t="s">
        <v>65</v>
      </c>
      <c r="P8" s="2">
        <v>1.0</v>
      </c>
      <c r="Q8" s="2">
        <v>0.0</v>
      </c>
      <c r="R8" s="2">
        <v>1.0</v>
      </c>
      <c r="S8" s="2">
        <v>0.0</v>
      </c>
      <c r="T8" s="2">
        <v>15.0</v>
      </c>
      <c r="U8" s="2" t="s">
        <v>65</v>
      </c>
      <c r="W8" s="2" t="s">
        <v>65</v>
      </c>
      <c r="AC8" s="2" t="s">
        <v>65</v>
      </c>
      <c r="AD8" s="2" t="s">
        <v>65</v>
      </c>
      <c r="AF8" s="2" t="s">
        <v>65</v>
      </c>
      <c r="AG8" s="2" t="s">
        <v>236</v>
      </c>
      <c r="AI8" s="8" t="s">
        <v>237</v>
      </c>
    </row>
    <row r="9" hidden="1">
      <c r="A9" s="2" t="s">
        <v>243</v>
      </c>
      <c r="B9" s="2" t="s">
        <v>243</v>
      </c>
      <c r="C9" s="6">
        <v>45971.74304398148</v>
      </c>
      <c r="D9" s="2">
        <v>1.762796999E9</v>
      </c>
      <c r="E9" s="8" t="s">
        <v>244</v>
      </c>
      <c r="F9" s="2" t="s">
        <v>246</v>
      </c>
      <c r="G9" s="2" t="s">
        <v>248</v>
      </c>
      <c r="H9" s="2" t="s">
        <v>249</v>
      </c>
      <c r="I9" s="2">
        <v>3.357444861E9</v>
      </c>
      <c r="J9" s="8" t="s">
        <v>251</v>
      </c>
      <c r="K9" s="8" t="s">
        <v>256</v>
      </c>
      <c r="L9" s="2" t="b">
        <v>0</v>
      </c>
      <c r="M9" s="2" t="s">
        <v>85</v>
      </c>
      <c r="N9" s="2" t="s">
        <v>68</v>
      </c>
      <c r="O9" s="2" t="s">
        <v>65</v>
      </c>
      <c r="P9" s="2">
        <v>0.0</v>
      </c>
      <c r="Q9" s="2">
        <v>0.0</v>
      </c>
      <c r="R9" s="2">
        <v>2.0</v>
      </c>
      <c r="S9" s="2">
        <v>0.0</v>
      </c>
      <c r="T9" s="2">
        <v>52.0</v>
      </c>
      <c r="U9" s="2" t="s">
        <v>65</v>
      </c>
      <c r="W9" s="2" t="s">
        <v>65</v>
      </c>
      <c r="AC9" s="2" t="s">
        <v>65</v>
      </c>
      <c r="AD9" s="2" t="s">
        <v>65</v>
      </c>
      <c r="AF9" s="2" t="s">
        <v>65</v>
      </c>
      <c r="AI9" s="8" t="s">
        <v>262</v>
      </c>
    </row>
    <row r="10">
      <c r="A10" s="2" t="s">
        <v>267</v>
      </c>
      <c r="B10" s="2" t="s">
        <v>267</v>
      </c>
      <c r="C10" s="6">
        <v>45936.78252314815</v>
      </c>
      <c r="D10" s="2">
        <v>1.75977641E9</v>
      </c>
      <c r="E10" s="8" t="s">
        <v>269</v>
      </c>
      <c r="F10" s="2" t="s">
        <v>278</v>
      </c>
      <c r="G10" s="2" t="s">
        <v>219</v>
      </c>
      <c r="H10" s="2" t="s">
        <v>221</v>
      </c>
      <c r="I10" s="2" t="s">
        <v>222</v>
      </c>
      <c r="J10" s="8" t="s">
        <v>223</v>
      </c>
      <c r="K10" s="8" t="s">
        <v>226</v>
      </c>
      <c r="L10" s="2" t="b">
        <v>0</v>
      </c>
      <c r="M10" s="2" t="s">
        <v>67</v>
      </c>
      <c r="N10" s="2" t="s">
        <v>64</v>
      </c>
      <c r="O10" s="2" t="s">
        <v>65</v>
      </c>
      <c r="P10" s="2">
        <v>1.0</v>
      </c>
      <c r="Q10" s="2">
        <v>0.0</v>
      </c>
      <c r="R10" s="2">
        <v>1.0</v>
      </c>
      <c r="S10" s="2">
        <v>0.0</v>
      </c>
      <c r="T10" s="2">
        <v>8.0</v>
      </c>
      <c r="U10" s="2" t="s">
        <v>65</v>
      </c>
      <c r="W10" s="2" t="s">
        <v>65</v>
      </c>
      <c r="AC10" s="2" t="s">
        <v>65</v>
      </c>
      <c r="AD10" s="2" t="s">
        <v>65</v>
      </c>
      <c r="AF10" s="2" t="s">
        <v>65</v>
      </c>
      <c r="AG10" s="2" t="s">
        <v>283</v>
      </c>
      <c r="AI10" s="8" t="s">
        <v>286</v>
      </c>
      <c r="AJ10" s="8" t="s">
        <v>289</v>
      </c>
    </row>
    <row r="11">
      <c r="A11" s="2" t="s">
        <v>295</v>
      </c>
      <c r="B11" s="2" t="s">
        <v>295</v>
      </c>
      <c r="C11" s="6">
        <v>45863.98427083333</v>
      </c>
      <c r="D11" s="2">
        <v>1.753486641E9</v>
      </c>
      <c r="E11" s="8" t="s">
        <v>296</v>
      </c>
      <c r="F11" s="2" t="s">
        <v>302</v>
      </c>
      <c r="G11" s="2" t="s">
        <v>303</v>
      </c>
      <c r="H11" s="2" t="s">
        <v>305</v>
      </c>
      <c r="I11" s="2" t="s">
        <v>306</v>
      </c>
      <c r="J11" s="8" t="s">
        <v>307</v>
      </c>
      <c r="K11" s="8" t="s">
        <v>314</v>
      </c>
      <c r="L11" s="2" t="b">
        <v>1</v>
      </c>
      <c r="M11" s="2" t="s">
        <v>66</v>
      </c>
      <c r="N11" s="2" t="s">
        <v>64</v>
      </c>
      <c r="O11" s="2" t="s">
        <v>65</v>
      </c>
      <c r="P11" s="2">
        <v>187.0</v>
      </c>
      <c r="Q11" s="2">
        <v>16.0</v>
      </c>
      <c r="R11" s="2">
        <v>971.0</v>
      </c>
      <c r="S11" s="2">
        <v>3.0</v>
      </c>
      <c r="T11" s="2">
        <v>106688.0</v>
      </c>
      <c r="U11" s="2" t="s">
        <v>65</v>
      </c>
      <c r="W11" s="2" t="s">
        <v>65</v>
      </c>
      <c r="AC11" s="2" t="s">
        <v>65</v>
      </c>
      <c r="AD11" s="2" t="s">
        <v>65</v>
      </c>
      <c r="AF11" s="2" t="s">
        <v>65</v>
      </c>
      <c r="AI11" s="8" t="s">
        <v>322</v>
      </c>
    </row>
    <row r="12">
      <c r="A12" s="2" t="s">
        <v>331</v>
      </c>
      <c r="B12" s="2" t="s">
        <v>331</v>
      </c>
      <c r="C12" s="6">
        <v>45971.79665509259</v>
      </c>
      <c r="D12" s="2">
        <v>1.762801631E9</v>
      </c>
      <c r="E12" s="8" t="s">
        <v>332</v>
      </c>
      <c r="F12" s="2" t="s">
        <v>334</v>
      </c>
      <c r="G12" s="2" t="s">
        <v>335</v>
      </c>
      <c r="H12" s="2" t="s">
        <v>336</v>
      </c>
      <c r="I12" s="2" t="s">
        <v>337</v>
      </c>
      <c r="J12" s="8" t="s">
        <v>338</v>
      </c>
      <c r="K12" s="8" t="s">
        <v>345</v>
      </c>
      <c r="L12" s="2" t="b">
        <v>0</v>
      </c>
      <c r="M12" s="2" t="s">
        <v>66</v>
      </c>
      <c r="N12" s="2" t="s">
        <v>64</v>
      </c>
      <c r="O12" s="2" t="s">
        <v>65</v>
      </c>
      <c r="P12" s="2">
        <v>45.0</v>
      </c>
      <c r="Q12" s="2">
        <v>2.0</v>
      </c>
      <c r="R12" s="2">
        <v>2431.0</v>
      </c>
      <c r="S12" s="2">
        <v>0.0</v>
      </c>
      <c r="T12" s="2">
        <v>35222.0</v>
      </c>
      <c r="U12" s="2" t="s">
        <v>65</v>
      </c>
      <c r="W12" s="2" t="s">
        <v>65</v>
      </c>
      <c r="AC12" s="2" t="s">
        <v>65</v>
      </c>
      <c r="AD12" s="2" t="s">
        <v>65</v>
      </c>
      <c r="AF12" s="2" t="s">
        <v>65</v>
      </c>
      <c r="AG12" s="2" t="s">
        <v>352</v>
      </c>
      <c r="AI12" s="8" t="s">
        <v>354</v>
      </c>
    </row>
    <row r="13">
      <c r="A13" s="2" t="s">
        <v>356</v>
      </c>
      <c r="B13" s="2" t="s">
        <v>356</v>
      </c>
      <c r="C13" s="6">
        <v>44617.64890046296</v>
      </c>
      <c r="D13" s="2">
        <v>1.645803265E9</v>
      </c>
      <c r="E13" s="8" t="s">
        <v>358</v>
      </c>
      <c r="F13" s="2" t="s">
        <v>364</v>
      </c>
      <c r="G13" s="2" t="s">
        <v>365</v>
      </c>
      <c r="H13" s="2" t="s">
        <v>366</v>
      </c>
      <c r="I13" s="2" t="s">
        <v>367</v>
      </c>
      <c r="J13" s="8" t="s">
        <v>368</v>
      </c>
      <c r="K13" s="8" t="s">
        <v>379</v>
      </c>
      <c r="L13" s="2" t="b">
        <v>1</v>
      </c>
      <c r="M13" s="2" t="s">
        <v>67</v>
      </c>
      <c r="N13" s="2" t="s">
        <v>64</v>
      </c>
      <c r="O13" s="2" t="s">
        <v>65</v>
      </c>
      <c r="P13" s="2">
        <v>38.0</v>
      </c>
      <c r="Q13" s="2">
        <v>9.0</v>
      </c>
      <c r="R13" s="2">
        <v>222.0</v>
      </c>
      <c r="S13" s="2">
        <v>5.0</v>
      </c>
      <c r="U13" s="2" t="s">
        <v>65</v>
      </c>
      <c r="W13" s="2" t="s">
        <v>65</v>
      </c>
      <c r="AC13" s="2" t="s">
        <v>65</v>
      </c>
      <c r="AD13" s="2" t="s">
        <v>65</v>
      </c>
      <c r="AF13" s="2" t="s">
        <v>65</v>
      </c>
      <c r="AI13" s="8" t="s">
        <v>381</v>
      </c>
    </row>
    <row r="14">
      <c r="A14" s="2" t="s">
        <v>386</v>
      </c>
      <c r="B14" s="2" t="s">
        <v>386</v>
      </c>
      <c r="C14" s="6">
        <v>45779.0887037037</v>
      </c>
      <c r="D14" s="2">
        <v>1.746151664E9</v>
      </c>
      <c r="E14" s="8" t="s">
        <v>387</v>
      </c>
      <c r="F14" s="2" t="s">
        <v>389</v>
      </c>
      <c r="G14" s="2" t="s">
        <v>391</v>
      </c>
      <c r="H14" s="2" t="s">
        <v>392</v>
      </c>
      <c r="I14" s="2" t="s">
        <v>394</v>
      </c>
      <c r="J14" s="8" t="s">
        <v>396</v>
      </c>
      <c r="K14" s="8" t="s">
        <v>398</v>
      </c>
      <c r="L14" s="2" t="b">
        <v>0</v>
      </c>
      <c r="M14" s="2" t="s">
        <v>85</v>
      </c>
      <c r="N14" s="2" t="s">
        <v>64</v>
      </c>
      <c r="O14" s="2" t="s">
        <v>65</v>
      </c>
      <c r="P14" s="2">
        <v>0.0</v>
      </c>
      <c r="Q14" s="2">
        <v>0.0</v>
      </c>
      <c r="R14" s="2">
        <v>0.0</v>
      </c>
      <c r="S14" s="2">
        <v>0.0</v>
      </c>
      <c r="T14" s="2">
        <v>86.0</v>
      </c>
      <c r="U14" s="2" t="s">
        <v>65</v>
      </c>
      <c r="W14" s="2" t="s">
        <v>65</v>
      </c>
      <c r="AC14" s="2" t="s">
        <v>65</v>
      </c>
      <c r="AD14" s="2" t="s">
        <v>65</v>
      </c>
      <c r="AF14" s="2" t="s">
        <v>65</v>
      </c>
      <c r="AH14" s="8" t="s">
        <v>400</v>
      </c>
      <c r="AI14" s="8" t="s">
        <v>407</v>
      </c>
    </row>
    <row r="15" hidden="1">
      <c r="A15" s="2" t="s">
        <v>412</v>
      </c>
      <c r="B15" s="2" t="s">
        <v>412</v>
      </c>
      <c r="C15" s="6">
        <v>45925.5077662037</v>
      </c>
      <c r="D15" s="2">
        <v>1.758802271E9</v>
      </c>
      <c r="E15" s="8" t="s">
        <v>413</v>
      </c>
      <c r="F15" s="2" t="s">
        <v>417</v>
      </c>
      <c r="G15" s="2" t="s">
        <v>418</v>
      </c>
      <c r="H15" s="2" t="s">
        <v>419</v>
      </c>
      <c r="I15" s="2">
        <v>2.8673574E7</v>
      </c>
      <c r="J15" s="8" t="s">
        <v>420</v>
      </c>
      <c r="K15" s="8" t="s">
        <v>423</v>
      </c>
      <c r="L15" s="2" t="b">
        <v>1</v>
      </c>
      <c r="M15" s="2" t="s">
        <v>427</v>
      </c>
      <c r="N15" s="2" t="s">
        <v>68</v>
      </c>
      <c r="O15" s="2" t="s">
        <v>65</v>
      </c>
      <c r="P15" s="2">
        <v>0.0</v>
      </c>
      <c r="Q15" s="2">
        <v>1.0</v>
      </c>
      <c r="R15" s="2">
        <v>0.0</v>
      </c>
      <c r="S15" s="2">
        <v>0.0</v>
      </c>
      <c r="T15" s="2">
        <v>16.0</v>
      </c>
      <c r="U15" s="2" t="s">
        <v>65</v>
      </c>
      <c r="W15" s="2" t="s">
        <v>65</v>
      </c>
      <c r="AC15" s="2" t="s">
        <v>65</v>
      </c>
      <c r="AD15" s="2" t="s">
        <v>65</v>
      </c>
      <c r="AF15" s="2" t="s">
        <v>65</v>
      </c>
      <c r="AG15" s="2" t="s">
        <v>429</v>
      </c>
      <c r="AI15" s="8" t="s">
        <v>431</v>
      </c>
      <c r="AJ15" s="8" t="s">
        <v>438</v>
      </c>
    </row>
    <row r="16">
      <c r="A16" s="2" t="s">
        <v>444</v>
      </c>
      <c r="B16" s="2" t="s">
        <v>444</v>
      </c>
      <c r="C16" s="6">
        <v>45650.203831018516</v>
      </c>
      <c r="D16" s="2">
        <v>1.735016011E9</v>
      </c>
      <c r="E16" s="8" t="s">
        <v>445</v>
      </c>
      <c r="F16" s="2" t="s">
        <v>452</v>
      </c>
      <c r="G16" s="2" t="s">
        <v>158</v>
      </c>
      <c r="H16" s="2" t="s">
        <v>159</v>
      </c>
      <c r="I16" s="2">
        <v>2.36621586E8</v>
      </c>
      <c r="J16" s="8" t="s">
        <v>160</v>
      </c>
      <c r="K16" s="8" t="s">
        <v>162</v>
      </c>
      <c r="L16" s="2" t="b">
        <v>0</v>
      </c>
      <c r="M16" s="2" t="s">
        <v>66</v>
      </c>
      <c r="N16" s="2" t="s">
        <v>64</v>
      </c>
      <c r="O16" s="2" t="s">
        <v>65</v>
      </c>
      <c r="P16" s="2">
        <v>95.0</v>
      </c>
      <c r="Q16" s="2">
        <v>4.0</v>
      </c>
      <c r="R16" s="2">
        <v>521.0</v>
      </c>
      <c r="S16" s="2">
        <v>3.0</v>
      </c>
      <c r="T16" s="2">
        <v>24491.0</v>
      </c>
      <c r="U16" s="2" t="s">
        <v>65</v>
      </c>
      <c r="W16" s="2" t="s">
        <v>65</v>
      </c>
      <c r="AC16" s="2" t="s">
        <v>65</v>
      </c>
      <c r="AD16" s="2" t="s">
        <v>65</v>
      </c>
      <c r="AF16" s="2" t="s">
        <v>65</v>
      </c>
      <c r="AI16" s="8" t="s">
        <v>454</v>
      </c>
    </row>
    <row r="17" hidden="1">
      <c r="A17" s="2" t="s">
        <v>458</v>
      </c>
      <c r="B17" s="2" t="s">
        <v>459</v>
      </c>
      <c r="C17" s="6">
        <v>45923.7365625</v>
      </c>
      <c r="D17" s="2">
        <v>1.758649239E9</v>
      </c>
      <c r="E17" s="8" t="s">
        <v>460</v>
      </c>
      <c r="F17" s="2" t="s">
        <v>466</v>
      </c>
      <c r="G17" s="2" t="s">
        <v>467</v>
      </c>
      <c r="H17" s="2" t="s">
        <v>468</v>
      </c>
      <c r="I17" s="2">
        <v>2.6512E7</v>
      </c>
      <c r="J17" s="8" t="s">
        <v>470</v>
      </c>
      <c r="K17" s="8" t="s">
        <v>475</v>
      </c>
      <c r="L17" s="2" t="b">
        <v>0</v>
      </c>
      <c r="M17" s="2" t="s">
        <v>67</v>
      </c>
      <c r="N17" s="2" t="s">
        <v>68</v>
      </c>
      <c r="O17" s="2" t="s">
        <v>65</v>
      </c>
      <c r="P17" s="2">
        <v>167.0</v>
      </c>
      <c r="Q17" s="2">
        <v>117.0</v>
      </c>
      <c r="R17" s="2">
        <v>9942.0</v>
      </c>
      <c r="S17" s="2">
        <v>23.0</v>
      </c>
      <c r="T17" s="2">
        <v>234195.0</v>
      </c>
      <c r="U17" s="2" t="s">
        <v>65</v>
      </c>
      <c r="W17" s="2" t="s">
        <v>65</v>
      </c>
      <c r="AC17" s="2" t="s">
        <v>65</v>
      </c>
      <c r="AD17" s="2" t="s">
        <v>71</v>
      </c>
      <c r="AE17" s="2" t="s">
        <v>477</v>
      </c>
      <c r="AF17" s="2" t="s">
        <v>65</v>
      </c>
      <c r="AK17" s="2" t="s">
        <v>477</v>
      </c>
    </row>
    <row r="18">
      <c r="A18" s="2" t="s">
        <v>479</v>
      </c>
      <c r="B18" s="2" t="s">
        <v>479</v>
      </c>
      <c r="C18" s="6">
        <v>45968.63599537037</v>
      </c>
      <c r="D18" s="2">
        <v>1.76252855E9</v>
      </c>
      <c r="E18" s="8" t="s">
        <v>480</v>
      </c>
      <c r="F18" s="2" t="s">
        <v>485</v>
      </c>
      <c r="G18" s="2" t="s">
        <v>487</v>
      </c>
      <c r="H18" s="2" t="s">
        <v>489</v>
      </c>
      <c r="I18" s="2">
        <v>1.063844564E9</v>
      </c>
      <c r="J18" s="8" t="s">
        <v>490</v>
      </c>
      <c r="K18" s="8" t="s">
        <v>494</v>
      </c>
      <c r="L18" s="2" t="b">
        <v>0</v>
      </c>
      <c r="M18" s="2" t="s">
        <v>66</v>
      </c>
      <c r="N18" s="2" t="s">
        <v>64</v>
      </c>
      <c r="O18" s="2" t="s">
        <v>65</v>
      </c>
      <c r="P18" s="2">
        <v>0.0</v>
      </c>
      <c r="Q18" s="2">
        <v>0.0</v>
      </c>
      <c r="R18" s="2">
        <v>2.0</v>
      </c>
      <c r="S18" s="2">
        <v>0.0</v>
      </c>
      <c r="T18" s="2">
        <v>15.0</v>
      </c>
      <c r="U18" s="2" t="s">
        <v>65</v>
      </c>
      <c r="W18" s="2" t="s">
        <v>65</v>
      </c>
      <c r="AC18" s="2" t="s">
        <v>65</v>
      </c>
      <c r="AD18" s="2" t="s">
        <v>65</v>
      </c>
      <c r="AF18" s="2" t="s">
        <v>65</v>
      </c>
      <c r="AG18" s="2" t="s">
        <v>501</v>
      </c>
      <c r="AI18" s="8" t="s">
        <v>502</v>
      </c>
    </row>
    <row r="19" hidden="1">
      <c r="A19" s="2" t="s">
        <v>507</v>
      </c>
      <c r="B19" s="2" t="s">
        <v>507</v>
      </c>
      <c r="C19" s="6">
        <v>45969.58798611111</v>
      </c>
      <c r="D19" s="2">
        <v>1.762610802E9</v>
      </c>
      <c r="E19" s="8" t="s">
        <v>509</v>
      </c>
      <c r="F19" s="2" t="s">
        <v>511</v>
      </c>
      <c r="G19" s="2" t="s">
        <v>512</v>
      </c>
      <c r="H19" s="2" t="s">
        <v>513</v>
      </c>
      <c r="I19" s="2" t="s">
        <v>514</v>
      </c>
      <c r="J19" s="8" t="s">
        <v>515</v>
      </c>
      <c r="K19" s="8" t="s">
        <v>521</v>
      </c>
      <c r="L19" s="2" t="b">
        <v>0</v>
      </c>
      <c r="M19" s="2" t="s">
        <v>67</v>
      </c>
      <c r="N19" s="2" t="s">
        <v>68</v>
      </c>
      <c r="O19" s="2" t="s">
        <v>65</v>
      </c>
      <c r="P19" s="2">
        <v>0.0</v>
      </c>
      <c r="Q19" s="2">
        <v>0.0</v>
      </c>
      <c r="R19" s="2">
        <v>14.0</v>
      </c>
      <c r="S19" s="2">
        <v>0.0</v>
      </c>
      <c r="T19" s="2">
        <v>1165.0</v>
      </c>
      <c r="U19" s="2" t="s">
        <v>65</v>
      </c>
      <c r="W19" s="2" t="s">
        <v>71</v>
      </c>
      <c r="X19" s="2" t="s">
        <v>531</v>
      </c>
      <c r="Y19" s="2" t="s">
        <v>532</v>
      </c>
      <c r="Z19" s="2" t="s">
        <v>533</v>
      </c>
      <c r="AB19" s="8" t="s">
        <v>534</v>
      </c>
      <c r="AC19" s="2" t="s">
        <v>65</v>
      </c>
      <c r="AD19" s="2" t="s">
        <v>65</v>
      </c>
      <c r="AF19" s="2" t="s">
        <v>65</v>
      </c>
    </row>
    <row r="20" hidden="1">
      <c r="A20" s="2" t="s">
        <v>538</v>
      </c>
      <c r="B20" s="2" t="s">
        <v>538</v>
      </c>
      <c r="C20" s="6">
        <v>45973.84296296296</v>
      </c>
      <c r="D20" s="2">
        <v>1.762978432E9</v>
      </c>
      <c r="E20" s="8" t="s">
        <v>540</v>
      </c>
      <c r="F20" s="2" t="s">
        <v>546</v>
      </c>
      <c r="G20" s="2" t="s">
        <v>547</v>
      </c>
      <c r="H20" s="2" t="s">
        <v>548</v>
      </c>
      <c r="I20" s="2" t="s">
        <v>549</v>
      </c>
      <c r="J20" s="8" t="s">
        <v>550</v>
      </c>
      <c r="K20" s="8" t="s">
        <v>554</v>
      </c>
      <c r="L20" s="2" t="b">
        <v>0</v>
      </c>
      <c r="M20" s="2" t="s">
        <v>66</v>
      </c>
      <c r="N20" s="2" t="s">
        <v>68</v>
      </c>
      <c r="O20" s="2" t="s">
        <v>65</v>
      </c>
      <c r="P20" s="2">
        <v>0.0</v>
      </c>
      <c r="Q20" s="2">
        <v>1.0</v>
      </c>
      <c r="R20" s="2">
        <v>1.0</v>
      </c>
      <c r="S20" s="2">
        <v>0.0</v>
      </c>
      <c r="T20" s="2">
        <v>22.0</v>
      </c>
      <c r="U20" s="2" t="s">
        <v>65</v>
      </c>
      <c r="W20" s="2" t="s">
        <v>65</v>
      </c>
      <c r="AC20" s="2" t="s">
        <v>65</v>
      </c>
      <c r="AD20" s="2" t="s">
        <v>65</v>
      </c>
      <c r="AF20" s="2" t="s">
        <v>65</v>
      </c>
    </row>
    <row r="21" hidden="1">
      <c r="A21" s="2" t="s">
        <v>567</v>
      </c>
      <c r="B21" s="2" t="s">
        <v>567</v>
      </c>
      <c r="C21" s="6">
        <v>45898.67958333333</v>
      </c>
      <c r="D21" s="2">
        <v>1.756484316E9</v>
      </c>
      <c r="E21" s="8" t="s">
        <v>568</v>
      </c>
      <c r="F21" s="2" t="s">
        <v>571</v>
      </c>
      <c r="G21" s="2" t="s">
        <v>572</v>
      </c>
      <c r="H21" s="2" t="s">
        <v>573</v>
      </c>
      <c r="I21" s="2" t="s">
        <v>574</v>
      </c>
      <c r="J21" s="8" t="s">
        <v>575</v>
      </c>
      <c r="K21" s="8" t="s">
        <v>581</v>
      </c>
      <c r="L21" s="2" t="b">
        <v>0</v>
      </c>
      <c r="M21" s="2" t="s">
        <v>85</v>
      </c>
      <c r="N21" s="2" t="s">
        <v>68</v>
      </c>
      <c r="O21" s="2" t="s">
        <v>65</v>
      </c>
      <c r="P21" s="2">
        <v>29.0</v>
      </c>
      <c r="Q21" s="2">
        <v>0.0</v>
      </c>
      <c r="R21" s="2">
        <v>172.0</v>
      </c>
      <c r="S21" s="2">
        <v>2.0</v>
      </c>
      <c r="T21" s="2">
        <v>3444.0</v>
      </c>
      <c r="U21" s="2" t="s">
        <v>65</v>
      </c>
      <c r="W21" s="2" t="s">
        <v>65</v>
      </c>
      <c r="AC21" s="2" t="s">
        <v>65</v>
      </c>
      <c r="AD21" s="2" t="s">
        <v>65</v>
      </c>
      <c r="AF21" s="2" t="s">
        <v>65</v>
      </c>
      <c r="AI21" s="8" t="s">
        <v>591</v>
      </c>
      <c r="AJ21" s="8" t="s">
        <v>605</v>
      </c>
    </row>
    <row r="22">
      <c r="A22" s="2" t="s">
        <v>610</v>
      </c>
      <c r="B22" s="2" t="s">
        <v>610</v>
      </c>
      <c r="C22" s="6">
        <v>45643.98637731482</v>
      </c>
      <c r="D22" s="2">
        <v>1.734478823E9</v>
      </c>
      <c r="E22" s="8" t="s">
        <v>611</v>
      </c>
      <c r="F22" s="2" t="s">
        <v>612</v>
      </c>
      <c r="G22" s="2" t="s">
        <v>391</v>
      </c>
      <c r="H22" s="2" t="s">
        <v>392</v>
      </c>
      <c r="I22" s="2" t="s">
        <v>394</v>
      </c>
      <c r="J22" s="8" t="s">
        <v>396</v>
      </c>
      <c r="K22" s="8" t="s">
        <v>398</v>
      </c>
      <c r="L22" s="2" t="b">
        <v>0</v>
      </c>
      <c r="M22" s="2" t="s">
        <v>85</v>
      </c>
      <c r="N22" s="2" t="s">
        <v>64</v>
      </c>
      <c r="O22" s="2" t="s">
        <v>65</v>
      </c>
      <c r="P22" s="2">
        <v>0.0</v>
      </c>
      <c r="Q22" s="2">
        <v>0.0</v>
      </c>
      <c r="R22" s="2">
        <v>2.0</v>
      </c>
      <c r="S22" s="2">
        <v>0.0</v>
      </c>
      <c r="T22" s="2">
        <v>206.0</v>
      </c>
      <c r="U22" s="2" t="s">
        <v>65</v>
      </c>
      <c r="W22" s="2" t="s">
        <v>65</v>
      </c>
      <c r="AC22" s="2" t="s">
        <v>65</v>
      </c>
      <c r="AD22" s="2" t="s">
        <v>65</v>
      </c>
      <c r="AF22" s="2" t="s">
        <v>65</v>
      </c>
      <c r="AG22" s="2" t="s">
        <v>615</v>
      </c>
      <c r="AH22" s="8" t="s">
        <v>616</v>
      </c>
      <c r="AI22" s="8" t="s">
        <v>618</v>
      </c>
      <c r="AJ22" s="8" t="s">
        <v>621</v>
      </c>
    </row>
    <row r="23">
      <c r="A23" s="2" t="s">
        <v>627</v>
      </c>
      <c r="B23" s="2" t="s">
        <v>627</v>
      </c>
      <c r="C23" s="6">
        <v>45957.31300925926</v>
      </c>
      <c r="D23" s="2">
        <v>1.761550244E9</v>
      </c>
      <c r="E23" s="8" t="s">
        <v>628</v>
      </c>
      <c r="F23" s="2" t="s">
        <v>638</v>
      </c>
      <c r="G23" s="2" t="s">
        <v>639</v>
      </c>
      <c r="H23" s="2" t="s">
        <v>640</v>
      </c>
      <c r="I23" s="2">
        <v>6.4585862E7</v>
      </c>
      <c r="J23" s="8" t="s">
        <v>641</v>
      </c>
      <c r="K23" s="8" t="s">
        <v>644</v>
      </c>
      <c r="L23" s="2" t="b">
        <v>0</v>
      </c>
      <c r="M23" s="2" t="s">
        <v>85</v>
      </c>
      <c r="N23" s="2" t="s">
        <v>64</v>
      </c>
      <c r="O23" s="2" t="s">
        <v>65</v>
      </c>
      <c r="P23" s="2">
        <v>3.0</v>
      </c>
      <c r="Q23" s="2">
        <v>1.0</v>
      </c>
      <c r="R23" s="2">
        <v>15.0</v>
      </c>
      <c r="S23" s="2">
        <v>0.0</v>
      </c>
      <c r="T23" s="2">
        <v>1429.0</v>
      </c>
      <c r="U23" s="2" t="s">
        <v>65</v>
      </c>
      <c r="W23" s="2" t="s">
        <v>65</v>
      </c>
      <c r="AC23" s="2" t="s">
        <v>65</v>
      </c>
      <c r="AD23" s="2" t="s">
        <v>65</v>
      </c>
      <c r="AF23" s="2" t="s">
        <v>65</v>
      </c>
    </row>
    <row r="24">
      <c r="A24" s="2" t="s">
        <v>649</v>
      </c>
      <c r="B24" s="2" t="s">
        <v>649</v>
      </c>
      <c r="C24" s="6">
        <v>44748.06704861111</v>
      </c>
      <c r="D24" s="2">
        <v>1.657071393E9</v>
      </c>
      <c r="E24" s="8" t="s">
        <v>650</v>
      </c>
      <c r="F24" s="2" t="s">
        <v>654</v>
      </c>
      <c r="G24" s="2" t="s">
        <v>655</v>
      </c>
      <c r="H24" s="2" t="s">
        <v>656</v>
      </c>
      <c r="I24" s="2">
        <v>5.6708199E7</v>
      </c>
      <c r="J24" s="8" t="s">
        <v>658</v>
      </c>
      <c r="K24" s="8" t="s">
        <v>666</v>
      </c>
      <c r="L24" s="2" t="b">
        <v>0</v>
      </c>
      <c r="M24" s="2" t="s">
        <v>66</v>
      </c>
      <c r="N24" s="2" t="s">
        <v>64</v>
      </c>
      <c r="O24" s="2" t="s">
        <v>65</v>
      </c>
      <c r="P24" s="2">
        <v>62.0</v>
      </c>
      <c r="Q24" s="2">
        <v>7.0</v>
      </c>
      <c r="R24" s="2">
        <v>228.0</v>
      </c>
      <c r="S24" s="2">
        <v>1.0</v>
      </c>
      <c r="U24" s="2" t="s">
        <v>65</v>
      </c>
      <c r="W24" s="2" t="s">
        <v>65</v>
      </c>
      <c r="AC24" s="2" t="s">
        <v>65</v>
      </c>
      <c r="AD24" s="2" t="s">
        <v>65</v>
      </c>
      <c r="AF24" s="2" t="s">
        <v>65</v>
      </c>
      <c r="AG24" s="2" t="s">
        <v>672</v>
      </c>
      <c r="AI24" s="8" t="s">
        <v>673</v>
      </c>
    </row>
    <row r="25" hidden="1">
      <c r="A25" s="2" t="s">
        <v>677</v>
      </c>
      <c r="B25" s="2" t="s">
        <v>677</v>
      </c>
      <c r="C25" s="6">
        <v>45898.70033564815</v>
      </c>
      <c r="D25" s="2">
        <v>1.756486109E9</v>
      </c>
      <c r="E25" s="8" t="s">
        <v>678</v>
      </c>
      <c r="F25" s="2" t="s">
        <v>682</v>
      </c>
      <c r="G25" s="2" t="s">
        <v>683</v>
      </c>
      <c r="H25" s="2" t="s">
        <v>684</v>
      </c>
      <c r="I25" s="2" t="s">
        <v>685</v>
      </c>
      <c r="J25" s="8" t="s">
        <v>686</v>
      </c>
      <c r="K25" s="8" t="s">
        <v>694</v>
      </c>
      <c r="L25" s="2" t="b">
        <v>1</v>
      </c>
      <c r="M25" s="2" t="s">
        <v>85</v>
      </c>
      <c r="N25" s="2" t="s">
        <v>68</v>
      </c>
      <c r="O25" s="2" t="s">
        <v>65</v>
      </c>
      <c r="P25" s="2">
        <v>215.0</v>
      </c>
      <c r="Q25" s="2">
        <v>29.0</v>
      </c>
      <c r="R25" s="2">
        <v>1958.0</v>
      </c>
      <c r="S25" s="2">
        <v>116.0</v>
      </c>
      <c r="T25" s="2">
        <v>32176.0</v>
      </c>
      <c r="U25" s="2" t="s">
        <v>65</v>
      </c>
      <c r="W25" s="2" t="s">
        <v>65</v>
      </c>
      <c r="AC25" s="2" t="s">
        <v>65</v>
      </c>
      <c r="AD25" s="2" t="s">
        <v>65</v>
      </c>
      <c r="AF25" s="2" t="s">
        <v>65</v>
      </c>
      <c r="AI25" s="8" t="s">
        <v>591</v>
      </c>
      <c r="AJ25" s="8" t="s">
        <v>605</v>
      </c>
    </row>
    <row r="26" hidden="1">
      <c r="A26" s="2" t="s">
        <v>704</v>
      </c>
      <c r="B26" s="2" t="s">
        <v>704</v>
      </c>
      <c r="C26" s="6">
        <v>45910.60356481482</v>
      </c>
      <c r="D26" s="2">
        <v>1.757514548E9</v>
      </c>
      <c r="E26" s="8" t="s">
        <v>707</v>
      </c>
      <c r="F26" s="2" t="s">
        <v>713</v>
      </c>
      <c r="G26" s="2" t="s">
        <v>714</v>
      </c>
      <c r="H26" s="2" t="s">
        <v>715</v>
      </c>
      <c r="I26" s="2" t="s">
        <v>716</v>
      </c>
      <c r="J26" s="8" t="s">
        <v>717</v>
      </c>
      <c r="K26" s="8" t="s">
        <v>720</v>
      </c>
      <c r="L26" s="2" t="b">
        <v>0</v>
      </c>
      <c r="M26" s="2" t="s">
        <v>85</v>
      </c>
      <c r="N26" s="2" t="s">
        <v>68</v>
      </c>
      <c r="O26" s="2" t="s">
        <v>65</v>
      </c>
      <c r="P26" s="2">
        <v>38.0</v>
      </c>
      <c r="Q26" s="2">
        <v>9.0</v>
      </c>
      <c r="R26" s="2">
        <v>313.0</v>
      </c>
      <c r="S26" s="2">
        <v>3.0</v>
      </c>
      <c r="T26" s="2">
        <v>7872.0</v>
      </c>
      <c r="U26" s="2" t="s">
        <v>65</v>
      </c>
      <c r="W26" s="2" t="s">
        <v>71</v>
      </c>
      <c r="X26" s="2" t="s">
        <v>728</v>
      </c>
      <c r="Y26" s="2" t="s">
        <v>729</v>
      </c>
      <c r="Z26" s="2" t="s">
        <v>730</v>
      </c>
      <c r="AC26" s="2" t="s">
        <v>65</v>
      </c>
      <c r="AD26" s="2" t="s">
        <v>65</v>
      </c>
      <c r="AF26" s="2" t="s">
        <v>65</v>
      </c>
      <c r="AI26" s="8" t="s">
        <v>731</v>
      </c>
    </row>
    <row r="27">
      <c r="A27" s="2" t="s">
        <v>740</v>
      </c>
      <c r="B27" s="2" t="s">
        <v>740</v>
      </c>
      <c r="C27" s="6">
        <v>44793.824270833335</v>
      </c>
      <c r="D27" s="2">
        <v>1.661024817E9</v>
      </c>
      <c r="E27" s="8" t="s">
        <v>741</v>
      </c>
      <c r="F27" s="2" t="s">
        <v>743</v>
      </c>
      <c r="G27" s="2" t="s">
        <v>744</v>
      </c>
      <c r="H27" s="2" t="s">
        <v>745</v>
      </c>
      <c r="I27" s="2" t="s">
        <v>746</v>
      </c>
      <c r="J27" s="8" t="s">
        <v>747</v>
      </c>
      <c r="K27" s="8" t="s">
        <v>754</v>
      </c>
      <c r="L27" s="2" t="b">
        <v>0</v>
      </c>
      <c r="M27" s="2" t="s">
        <v>67</v>
      </c>
      <c r="N27" s="2" t="s">
        <v>64</v>
      </c>
      <c r="O27" s="2" t="s">
        <v>65</v>
      </c>
      <c r="P27" s="2">
        <v>58.0</v>
      </c>
      <c r="Q27" s="2">
        <v>2.0</v>
      </c>
      <c r="R27" s="2">
        <v>335.0</v>
      </c>
      <c r="S27" s="2">
        <v>12.0</v>
      </c>
      <c r="U27" s="2" t="s">
        <v>65</v>
      </c>
      <c r="W27" s="2" t="s">
        <v>65</v>
      </c>
      <c r="AC27" s="2" t="s">
        <v>65</v>
      </c>
      <c r="AD27" s="2" t="s">
        <v>65</v>
      </c>
      <c r="AF27" s="2" t="s">
        <v>65</v>
      </c>
      <c r="AI27" s="8" t="s">
        <v>761</v>
      </c>
    </row>
    <row r="28" hidden="1">
      <c r="A28" s="2" t="s">
        <v>769</v>
      </c>
      <c r="B28" s="2" t="s">
        <v>769</v>
      </c>
      <c r="C28" s="6">
        <v>45712.63459490741</v>
      </c>
      <c r="D28" s="2">
        <v>1.740410029E9</v>
      </c>
      <c r="E28" s="8" t="s">
        <v>773</v>
      </c>
      <c r="F28" s="2" t="s">
        <v>775</v>
      </c>
      <c r="G28" s="2" t="s">
        <v>776</v>
      </c>
      <c r="H28" s="2" t="s">
        <v>777</v>
      </c>
      <c r="I28" s="2" t="s">
        <v>778</v>
      </c>
      <c r="J28" s="8" t="s">
        <v>779</v>
      </c>
      <c r="K28" s="8" t="s">
        <v>781</v>
      </c>
      <c r="L28" s="2" t="b">
        <v>1</v>
      </c>
      <c r="M28" s="2" t="s">
        <v>85</v>
      </c>
      <c r="N28" s="2" t="s">
        <v>68</v>
      </c>
      <c r="O28" s="2" t="s">
        <v>65</v>
      </c>
      <c r="P28" s="2">
        <v>0.0</v>
      </c>
      <c r="Q28" s="2">
        <v>0.0</v>
      </c>
      <c r="R28" s="2">
        <v>2.0</v>
      </c>
      <c r="S28" s="2">
        <v>0.0</v>
      </c>
      <c r="T28" s="2">
        <v>530.0</v>
      </c>
      <c r="U28" s="2" t="s">
        <v>65</v>
      </c>
      <c r="W28" s="2" t="s">
        <v>65</v>
      </c>
      <c r="AC28" s="2" t="s">
        <v>65</v>
      </c>
      <c r="AD28" s="2" t="s">
        <v>65</v>
      </c>
      <c r="AF28" s="2" t="s">
        <v>65</v>
      </c>
      <c r="AI28" s="8" t="s">
        <v>783</v>
      </c>
    </row>
    <row r="29">
      <c r="A29" s="2" t="s">
        <v>785</v>
      </c>
      <c r="B29" s="2" t="s">
        <v>785</v>
      </c>
      <c r="C29" s="6">
        <v>44480.44677083333</v>
      </c>
      <c r="D29" s="2">
        <v>1.633949001E9</v>
      </c>
      <c r="E29" s="8" t="s">
        <v>787</v>
      </c>
      <c r="F29" s="2" t="s">
        <v>789</v>
      </c>
      <c r="G29" s="2" t="s">
        <v>790</v>
      </c>
      <c r="H29" s="2" t="s">
        <v>791</v>
      </c>
      <c r="I29" s="2" t="s">
        <v>793</v>
      </c>
      <c r="J29" s="8" t="s">
        <v>799</v>
      </c>
      <c r="K29" s="8" t="s">
        <v>802</v>
      </c>
      <c r="L29" s="2" t="b">
        <v>0</v>
      </c>
      <c r="M29" s="2" t="s">
        <v>85</v>
      </c>
      <c r="N29" s="2" t="s">
        <v>64</v>
      </c>
      <c r="O29" s="2" t="s">
        <v>65</v>
      </c>
      <c r="P29" s="2">
        <v>38.0</v>
      </c>
      <c r="Q29" s="2">
        <v>2.0</v>
      </c>
      <c r="R29" s="2">
        <v>177.0</v>
      </c>
      <c r="S29" s="2">
        <v>0.0</v>
      </c>
      <c r="U29" s="2" t="s">
        <v>65</v>
      </c>
      <c r="W29" s="2" t="s">
        <v>65</v>
      </c>
      <c r="AC29" s="2" t="s">
        <v>65</v>
      </c>
      <c r="AD29" s="2" t="s">
        <v>65</v>
      </c>
      <c r="AF29" s="2" t="s">
        <v>65</v>
      </c>
    </row>
    <row r="30">
      <c r="A30" s="2" t="s">
        <v>808</v>
      </c>
      <c r="B30" s="2" t="s">
        <v>808</v>
      </c>
      <c r="C30" s="6">
        <v>45710.88228009259</v>
      </c>
      <c r="D30" s="2">
        <v>1.740258629E9</v>
      </c>
      <c r="E30" s="8" t="s">
        <v>811</v>
      </c>
      <c r="F30" s="2" t="s">
        <v>814</v>
      </c>
      <c r="G30" s="2" t="s">
        <v>815</v>
      </c>
      <c r="H30" s="2" t="s">
        <v>816</v>
      </c>
      <c r="I30" s="2" t="s">
        <v>817</v>
      </c>
      <c r="J30" s="8" t="s">
        <v>818</v>
      </c>
      <c r="K30" s="8" t="s">
        <v>825</v>
      </c>
      <c r="L30" s="2" t="b">
        <v>0</v>
      </c>
      <c r="M30" s="2" t="s">
        <v>829</v>
      </c>
      <c r="N30" s="2" t="s">
        <v>64</v>
      </c>
      <c r="O30" s="2" t="s">
        <v>65</v>
      </c>
      <c r="P30" s="2">
        <v>0.0</v>
      </c>
      <c r="Q30" s="2">
        <v>0.0</v>
      </c>
      <c r="R30" s="2">
        <v>0.0</v>
      </c>
      <c r="S30" s="2">
        <v>0.0</v>
      </c>
      <c r="T30" s="2">
        <v>47.0</v>
      </c>
      <c r="U30" s="2" t="s">
        <v>65</v>
      </c>
      <c r="W30" s="2" t="s">
        <v>65</v>
      </c>
      <c r="AC30" s="2" t="s">
        <v>65</v>
      </c>
      <c r="AD30" s="2" t="s">
        <v>65</v>
      </c>
      <c r="AF30" s="2" t="s">
        <v>65</v>
      </c>
      <c r="AI30" s="8" t="s">
        <v>830</v>
      </c>
      <c r="AJ30" s="8" t="s">
        <v>836</v>
      </c>
    </row>
    <row r="31">
      <c r="A31" s="2" t="s">
        <v>845</v>
      </c>
      <c r="B31" s="2" t="s">
        <v>845</v>
      </c>
      <c r="C31" s="6">
        <v>45940.71376157407</v>
      </c>
      <c r="D31" s="2">
        <v>1.760116069E9</v>
      </c>
      <c r="E31" s="8" t="s">
        <v>846</v>
      </c>
      <c r="F31" s="2" t="s">
        <v>852</v>
      </c>
      <c r="G31" s="2" t="s">
        <v>219</v>
      </c>
      <c r="H31" s="2" t="s">
        <v>221</v>
      </c>
      <c r="I31" s="2" t="s">
        <v>222</v>
      </c>
      <c r="J31" s="8" t="s">
        <v>223</v>
      </c>
      <c r="K31" s="8" t="s">
        <v>226</v>
      </c>
      <c r="L31" s="2" t="b">
        <v>0</v>
      </c>
      <c r="M31" s="2" t="s">
        <v>67</v>
      </c>
      <c r="N31" s="2" t="s">
        <v>64</v>
      </c>
      <c r="O31" s="2" t="s">
        <v>65</v>
      </c>
      <c r="P31" s="2">
        <v>1.0</v>
      </c>
      <c r="Q31" s="2">
        <v>0.0</v>
      </c>
      <c r="R31" s="2">
        <v>1.0</v>
      </c>
      <c r="S31" s="2">
        <v>0.0</v>
      </c>
      <c r="T31" s="2">
        <v>17.0</v>
      </c>
      <c r="U31" s="2" t="s">
        <v>65</v>
      </c>
      <c r="W31" s="2" t="s">
        <v>65</v>
      </c>
      <c r="AC31" s="2" t="s">
        <v>65</v>
      </c>
      <c r="AD31" s="2" t="s">
        <v>65</v>
      </c>
      <c r="AF31" s="2" t="s">
        <v>65</v>
      </c>
      <c r="AG31" s="2" t="s">
        <v>854</v>
      </c>
      <c r="AI31" s="8" t="s">
        <v>855</v>
      </c>
    </row>
    <row r="32">
      <c r="A32" s="2" t="s">
        <v>857</v>
      </c>
      <c r="B32" s="2" t="s">
        <v>857</v>
      </c>
      <c r="C32" s="6">
        <v>45848.83148148148</v>
      </c>
      <c r="D32" s="2">
        <v>1.75217744E9</v>
      </c>
      <c r="E32" s="8" t="s">
        <v>858</v>
      </c>
      <c r="F32" s="2" t="s">
        <v>863</v>
      </c>
      <c r="G32" s="2" t="s">
        <v>864</v>
      </c>
      <c r="H32" s="2" t="s">
        <v>865</v>
      </c>
      <c r="I32" s="2">
        <v>2.825615947E9</v>
      </c>
      <c r="J32" s="8" t="s">
        <v>866</v>
      </c>
      <c r="K32" s="8" t="s">
        <v>870</v>
      </c>
      <c r="L32" s="2" t="b">
        <v>1</v>
      </c>
      <c r="M32" s="2" t="s">
        <v>66</v>
      </c>
      <c r="N32" s="2" t="s">
        <v>64</v>
      </c>
      <c r="O32" s="2" t="s">
        <v>65</v>
      </c>
      <c r="P32" s="2">
        <v>3.0</v>
      </c>
      <c r="Q32" s="2">
        <v>1.0</v>
      </c>
      <c r="R32" s="2">
        <v>13.0</v>
      </c>
      <c r="S32" s="2">
        <v>1.0</v>
      </c>
      <c r="T32" s="2">
        <v>450.0</v>
      </c>
      <c r="U32" s="2" t="s">
        <v>65</v>
      </c>
      <c r="W32" s="2" t="s">
        <v>65</v>
      </c>
      <c r="AC32" s="2" t="s">
        <v>65</v>
      </c>
      <c r="AD32" s="2" t="s">
        <v>65</v>
      </c>
      <c r="AF32" s="2" t="s">
        <v>65</v>
      </c>
      <c r="AG32" s="2" t="s">
        <v>880</v>
      </c>
      <c r="AI32" s="8" t="s">
        <v>881</v>
      </c>
      <c r="AJ32" s="8" t="s">
        <v>885</v>
      </c>
    </row>
    <row r="33">
      <c r="A33" s="2" t="s">
        <v>888</v>
      </c>
      <c r="B33" s="2" t="s">
        <v>888</v>
      </c>
      <c r="C33" s="6">
        <v>45764.20563657407</v>
      </c>
      <c r="D33" s="2">
        <v>1.744865767E9</v>
      </c>
      <c r="E33" s="8" t="s">
        <v>889</v>
      </c>
      <c r="F33" s="2" t="s">
        <v>897</v>
      </c>
      <c r="G33" s="2" t="s">
        <v>898</v>
      </c>
      <c r="H33" s="2" t="s">
        <v>899</v>
      </c>
      <c r="I33" s="2">
        <v>1.04233369E8</v>
      </c>
      <c r="J33" s="8" t="s">
        <v>901</v>
      </c>
      <c r="K33" s="8" t="s">
        <v>908</v>
      </c>
      <c r="L33" s="2" t="b">
        <v>1</v>
      </c>
      <c r="M33" s="2" t="s">
        <v>912</v>
      </c>
      <c r="N33" s="2" t="s">
        <v>64</v>
      </c>
      <c r="O33" s="2" t="s">
        <v>65</v>
      </c>
      <c r="P33" s="2">
        <v>0.0</v>
      </c>
      <c r="Q33" s="2">
        <v>0.0</v>
      </c>
      <c r="R33" s="2">
        <v>0.0</v>
      </c>
      <c r="S33" s="2">
        <v>0.0</v>
      </c>
      <c r="T33" s="2">
        <v>13.0</v>
      </c>
      <c r="U33" s="2" t="s">
        <v>65</v>
      </c>
      <c r="W33" s="2" t="s">
        <v>65</v>
      </c>
      <c r="AC33" s="2" t="s">
        <v>65</v>
      </c>
      <c r="AD33" s="2" t="s">
        <v>65</v>
      </c>
      <c r="AF33" s="2" t="s">
        <v>65</v>
      </c>
      <c r="AH33" s="8" t="s">
        <v>913</v>
      </c>
      <c r="AI33" s="8" t="s">
        <v>923</v>
      </c>
      <c r="AJ33" s="8" t="s">
        <v>927</v>
      </c>
    </row>
    <row r="34" hidden="1">
      <c r="A34" s="2" t="s">
        <v>622</v>
      </c>
      <c r="B34" s="2" t="s">
        <v>623</v>
      </c>
      <c r="C34" s="6">
        <v>45973.759791666664</v>
      </c>
      <c r="D34" s="2">
        <v>1.762971246E9</v>
      </c>
      <c r="E34" s="8" t="s">
        <v>625</v>
      </c>
      <c r="F34" s="2" t="s">
        <v>629</v>
      </c>
      <c r="G34" s="2" t="s">
        <v>630</v>
      </c>
      <c r="H34" s="2" t="s">
        <v>631</v>
      </c>
      <c r="I34" s="2" t="s">
        <v>632</v>
      </c>
      <c r="J34" s="8" t="s">
        <v>634</v>
      </c>
      <c r="K34" s="8" t="s">
        <v>642</v>
      </c>
      <c r="L34" s="2" t="b">
        <v>0</v>
      </c>
      <c r="M34" s="2" t="s">
        <v>67</v>
      </c>
      <c r="N34" s="2" t="s">
        <v>68</v>
      </c>
      <c r="O34" s="2" t="s">
        <v>65</v>
      </c>
      <c r="P34" s="2">
        <v>0.0</v>
      </c>
      <c r="Q34" s="2">
        <v>0.0</v>
      </c>
      <c r="R34" s="2">
        <v>2.0</v>
      </c>
      <c r="S34" s="2">
        <v>0.0</v>
      </c>
      <c r="T34" s="2">
        <v>29.0</v>
      </c>
      <c r="U34" s="2" t="s">
        <v>65</v>
      </c>
      <c r="W34" s="2" t="s">
        <v>65</v>
      </c>
      <c r="AC34" s="2" t="s">
        <v>65</v>
      </c>
      <c r="AD34" s="2" t="s">
        <v>71</v>
      </c>
      <c r="AE34" s="2" t="s">
        <v>630</v>
      </c>
      <c r="AF34" s="2" t="s">
        <v>65</v>
      </c>
      <c r="AI34" s="8" t="s">
        <v>645</v>
      </c>
      <c r="AK34" s="2" t="s">
        <v>651</v>
      </c>
    </row>
    <row r="35">
      <c r="A35" s="2" t="s">
        <v>951</v>
      </c>
      <c r="B35" s="2" t="s">
        <v>951</v>
      </c>
      <c r="C35" s="6">
        <v>45795.79188657407</v>
      </c>
      <c r="D35" s="2">
        <v>1.747594819E9</v>
      </c>
      <c r="E35" s="8" t="s">
        <v>954</v>
      </c>
      <c r="F35" s="2" t="s">
        <v>955</v>
      </c>
      <c r="G35" s="2" t="s">
        <v>956</v>
      </c>
      <c r="H35" s="2" t="s">
        <v>957</v>
      </c>
      <c r="I35" s="2">
        <v>6068.0</v>
      </c>
      <c r="J35" s="8" t="s">
        <v>958</v>
      </c>
      <c r="K35" s="8" t="s">
        <v>963</v>
      </c>
      <c r="L35" s="2" t="b">
        <v>1</v>
      </c>
      <c r="M35" s="2" t="s">
        <v>967</v>
      </c>
      <c r="N35" s="2" t="s">
        <v>64</v>
      </c>
      <c r="O35" s="2" t="s">
        <v>65</v>
      </c>
      <c r="P35" s="2">
        <v>0.0</v>
      </c>
      <c r="Q35" s="2">
        <v>0.0</v>
      </c>
      <c r="R35" s="2">
        <v>13.0</v>
      </c>
      <c r="S35" s="2">
        <v>0.0</v>
      </c>
      <c r="T35" s="2">
        <v>2806.0</v>
      </c>
      <c r="U35" s="2" t="s">
        <v>65</v>
      </c>
      <c r="W35" s="2" t="s">
        <v>65</v>
      </c>
      <c r="AC35" s="2" t="s">
        <v>65</v>
      </c>
      <c r="AD35" s="2" t="s">
        <v>65</v>
      </c>
      <c r="AF35" s="2" t="s">
        <v>65</v>
      </c>
      <c r="AI35" s="8" t="s">
        <v>970</v>
      </c>
      <c r="AJ35" s="8" t="s">
        <v>973</v>
      </c>
    </row>
    <row r="36">
      <c r="A36" s="2" t="s">
        <v>979</v>
      </c>
      <c r="B36" s="2" t="s">
        <v>979</v>
      </c>
      <c r="C36" s="6">
        <v>45971.72006944445</v>
      </c>
      <c r="D36" s="2">
        <v>1.762795014E9</v>
      </c>
      <c r="E36" s="8" t="s">
        <v>980</v>
      </c>
      <c r="F36" s="2" t="s">
        <v>985</v>
      </c>
      <c r="G36" s="2" t="s">
        <v>986</v>
      </c>
      <c r="H36" s="2" t="s">
        <v>987</v>
      </c>
      <c r="I36" s="2" t="s">
        <v>988</v>
      </c>
      <c r="J36" s="8" t="s">
        <v>989</v>
      </c>
      <c r="K36" s="8" t="s">
        <v>991</v>
      </c>
      <c r="L36" s="2" t="b">
        <v>0</v>
      </c>
      <c r="M36" s="2" t="s">
        <v>66</v>
      </c>
      <c r="N36" s="2" t="s">
        <v>64</v>
      </c>
      <c r="O36" s="2" t="s">
        <v>65</v>
      </c>
      <c r="P36" s="2">
        <v>7.0</v>
      </c>
      <c r="Q36" s="2">
        <v>1.0</v>
      </c>
      <c r="R36" s="2">
        <v>22.0</v>
      </c>
      <c r="S36" s="2">
        <v>0.0</v>
      </c>
      <c r="T36" s="2">
        <v>797.0</v>
      </c>
      <c r="U36" s="2" t="s">
        <v>65</v>
      </c>
      <c r="W36" s="2" t="s">
        <v>65</v>
      </c>
      <c r="AC36" s="2" t="s">
        <v>65</v>
      </c>
      <c r="AD36" s="2" t="s">
        <v>65</v>
      </c>
      <c r="AF36" s="2" t="s">
        <v>65</v>
      </c>
      <c r="AH36" s="8" t="s">
        <v>1002</v>
      </c>
      <c r="AI36" s="8" t="s">
        <v>1008</v>
      </c>
    </row>
    <row r="37">
      <c r="A37" s="2" t="s">
        <v>1012</v>
      </c>
      <c r="B37" s="2" t="s">
        <v>1012</v>
      </c>
      <c r="C37" s="6">
        <v>45944.68561342593</v>
      </c>
      <c r="D37" s="2">
        <v>1.760459237E9</v>
      </c>
      <c r="E37" s="8" t="s">
        <v>1013</v>
      </c>
      <c r="F37" s="2" t="s">
        <v>1017</v>
      </c>
      <c r="G37" s="2" t="s">
        <v>219</v>
      </c>
      <c r="H37" s="2" t="s">
        <v>221</v>
      </c>
      <c r="I37" s="2" t="s">
        <v>222</v>
      </c>
      <c r="J37" s="8" t="s">
        <v>223</v>
      </c>
      <c r="K37" s="8" t="s">
        <v>226</v>
      </c>
      <c r="L37" s="2" t="b">
        <v>0</v>
      </c>
      <c r="M37" s="2" t="s">
        <v>67</v>
      </c>
      <c r="N37" s="2" t="s">
        <v>64</v>
      </c>
      <c r="O37" s="2" t="s">
        <v>65</v>
      </c>
      <c r="P37" s="2">
        <v>1.0</v>
      </c>
      <c r="Q37" s="2">
        <v>0.0</v>
      </c>
      <c r="R37" s="2">
        <v>1.0</v>
      </c>
      <c r="S37" s="2">
        <v>0.0</v>
      </c>
      <c r="T37" s="2">
        <v>13.0</v>
      </c>
      <c r="U37" s="2" t="s">
        <v>65</v>
      </c>
      <c r="W37" s="2" t="s">
        <v>65</v>
      </c>
      <c r="AC37" s="2" t="s">
        <v>65</v>
      </c>
      <c r="AD37" s="2" t="s">
        <v>65</v>
      </c>
      <c r="AF37" s="2" t="s">
        <v>65</v>
      </c>
      <c r="AG37" s="2" t="s">
        <v>1024</v>
      </c>
      <c r="AI37" s="8" t="s">
        <v>1025</v>
      </c>
    </row>
    <row r="38">
      <c r="A38" s="2" t="s">
        <v>1027</v>
      </c>
      <c r="B38" s="2" t="s">
        <v>1027</v>
      </c>
      <c r="C38" s="6">
        <v>45906.65277777778</v>
      </c>
      <c r="D38" s="2">
        <v>1.7571732E9</v>
      </c>
      <c r="E38" s="8" t="s">
        <v>1029</v>
      </c>
      <c r="F38" s="2" t="s">
        <v>1031</v>
      </c>
      <c r="G38" s="2" t="s">
        <v>1032</v>
      </c>
      <c r="H38" s="2" t="s">
        <v>1033</v>
      </c>
      <c r="I38" s="2" t="s">
        <v>1034</v>
      </c>
      <c r="J38" s="8" t="s">
        <v>1035</v>
      </c>
      <c r="K38" s="8" t="s">
        <v>1044</v>
      </c>
      <c r="L38" s="2" t="b">
        <v>0</v>
      </c>
      <c r="M38" s="2" t="s">
        <v>66</v>
      </c>
      <c r="N38" s="2" t="s">
        <v>64</v>
      </c>
      <c r="O38" s="2" t="s">
        <v>65</v>
      </c>
      <c r="P38" s="2">
        <v>0.0</v>
      </c>
      <c r="Q38" s="2">
        <v>0.0</v>
      </c>
      <c r="R38" s="2">
        <v>0.0</v>
      </c>
      <c r="S38" s="2">
        <v>0.0</v>
      </c>
      <c r="T38" s="2">
        <v>70.0</v>
      </c>
      <c r="U38" s="2" t="s">
        <v>65</v>
      </c>
      <c r="W38" s="2" t="s">
        <v>65</v>
      </c>
      <c r="AC38" s="2" t="s">
        <v>65</v>
      </c>
      <c r="AD38" s="2" t="s">
        <v>65</v>
      </c>
      <c r="AF38" s="2" t="s">
        <v>65</v>
      </c>
      <c r="AH38" s="8" t="s">
        <v>1052</v>
      </c>
      <c r="AI38" s="8" t="s">
        <v>1055</v>
      </c>
    </row>
    <row r="39">
      <c r="A39" s="2" t="s">
        <v>1060</v>
      </c>
      <c r="B39" s="2" t="s">
        <v>1060</v>
      </c>
      <c r="C39" s="6">
        <v>45914.70712962963</v>
      </c>
      <c r="D39" s="2">
        <v>1.757869096E9</v>
      </c>
      <c r="E39" s="8" t="s">
        <v>1062</v>
      </c>
      <c r="F39" s="2" t="s">
        <v>1067</v>
      </c>
      <c r="G39" s="2" t="s">
        <v>219</v>
      </c>
      <c r="H39" s="2" t="s">
        <v>221</v>
      </c>
      <c r="I39" s="2" t="s">
        <v>222</v>
      </c>
      <c r="J39" s="8" t="s">
        <v>223</v>
      </c>
      <c r="K39" s="8" t="s">
        <v>226</v>
      </c>
      <c r="L39" s="2" t="b">
        <v>0</v>
      </c>
      <c r="M39" s="2" t="s">
        <v>67</v>
      </c>
      <c r="N39" s="2" t="s">
        <v>64</v>
      </c>
      <c r="O39" s="2" t="s">
        <v>65</v>
      </c>
      <c r="P39" s="2">
        <v>1.0</v>
      </c>
      <c r="Q39" s="2">
        <v>0.0</v>
      </c>
      <c r="R39" s="2">
        <v>1.0</v>
      </c>
      <c r="S39" s="2">
        <v>0.0</v>
      </c>
      <c r="T39" s="2">
        <v>20.0</v>
      </c>
      <c r="U39" s="2" t="s">
        <v>65</v>
      </c>
      <c r="W39" s="2" t="s">
        <v>65</v>
      </c>
      <c r="AC39" s="2" t="s">
        <v>65</v>
      </c>
      <c r="AD39" s="2" t="s">
        <v>65</v>
      </c>
      <c r="AF39" s="2" t="s">
        <v>65</v>
      </c>
      <c r="AG39" s="2" t="s">
        <v>1071</v>
      </c>
      <c r="AI39" s="8" t="s">
        <v>1072</v>
      </c>
    </row>
    <row r="40">
      <c r="A40" s="2" t="s">
        <v>1075</v>
      </c>
      <c r="B40" s="2" t="s">
        <v>1075</v>
      </c>
      <c r="C40" s="6">
        <v>45931.76055555556</v>
      </c>
      <c r="D40" s="2">
        <v>1.759342512E9</v>
      </c>
      <c r="E40" s="8" t="s">
        <v>1077</v>
      </c>
      <c r="F40" s="2" t="s">
        <v>1082</v>
      </c>
      <c r="G40" s="2" t="s">
        <v>864</v>
      </c>
      <c r="H40" s="2" t="s">
        <v>865</v>
      </c>
      <c r="I40" s="2">
        <v>2.825615947E9</v>
      </c>
      <c r="J40" s="8" t="s">
        <v>866</v>
      </c>
      <c r="K40" s="8" t="s">
        <v>870</v>
      </c>
      <c r="L40" s="2" t="b">
        <v>1</v>
      </c>
      <c r="M40" s="2" t="s">
        <v>66</v>
      </c>
      <c r="N40" s="2" t="s">
        <v>64</v>
      </c>
      <c r="O40" s="2" t="s">
        <v>65</v>
      </c>
      <c r="P40" s="2">
        <v>1.0</v>
      </c>
      <c r="Q40" s="2">
        <v>0.0</v>
      </c>
      <c r="R40" s="2">
        <v>10.0</v>
      </c>
      <c r="S40" s="2">
        <v>0.0</v>
      </c>
      <c r="T40" s="2">
        <v>774.0</v>
      </c>
      <c r="U40" s="2" t="s">
        <v>65</v>
      </c>
      <c r="W40" s="2" t="s">
        <v>65</v>
      </c>
      <c r="AC40" s="2" t="s">
        <v>65</v>
      </c>
      <c r="AD40" s="2" t="s">
        <v>65</v>
      </c>
      <c r="AF40" s="2" t="s">
        <v>65</v>
      </c>
      <c r="AG40" s="2" t="s">
        <v>1085</v>
      </c>
      <c r="AI40" s="8" t="s">
        <v>1086</v>
      </c>
      <c r="AJ40" s="8" t="s">
        <v>1093</v>
      </c>
    </row>
    <row r="41">
      <c r="A41" s="2" t="s">
        <v>1099</v>
      </c>
      <c r="B41" s="2" t="s">
        <v>1099</v>
      </c>
      <c r="C41" s="6">
        <v>45929.05297453704</v>
      </c>
      <c r="D41" s="2">
        <v>1.759108577E9</v>
      </c>
      <c r="E41" s="8" t="s">
        <v>1101</v>
      </c>
      <c r="F41" s="2" t="s">
        <v>1107</v>
      </c>
      <c r="G41" s="2" t="s">
        <v>864</v>
      </c>
      <c r="H41" s="2" t="s">
        <v>865</v>
      </c>
      <c r="I41" s="2">
        <v>2.825615947E9</v>
      </c>
      <c r="J41" s="8" t="s">
        <v>866</v>
      </c>
      <c r="K41" s="8" t="s">
        <v>870</v>
      </c>
      <c r="L41" s="2" t="b">
        <v>1</v>
      </c>
      <c r="M41" s="2" t="s">
        <v>66</v>
      </c>
      <c r="N41" s="2" t="s">
        <v>64</v>
      </c>
      <c r="O41" s="2" t="s">
        <v>65</v>
      </c>
      <c r="P41" s="2">
        <v>3.0</v>
      </c>
      <c r="Q41" s="2">
        <v>2.0</v>
      </c>
      <c r="R41" s="2">
        <v>19.0</v>
      </c>
      <c r="S41" s="2">
        <v>0.0</v>
      </c>
      <c r="T41" s="2">
        <v>608.0</v>
      </c>
      <c r="U41" s="2" t="s">
        <v>65</v>
      </c>
      <c r="W41" s="2" t="s">
        <v>65</v>
      </c>
      <c r="AC41" s="2" t="s">
        <v>65</v>
      </c>
      <c r="AD41" s="2" t="s">
        <v>65</v>
      </c>
      <c r="AF41" s="2" t="s">
        <v>65</v>
      </c>
      <c r="AG41" s="2" t="s">
        <v>1112</v>
      </c>
      <c r="AI41" s="8" t="s">
        <v>1113</v>
      </c>
      <c r="AJ41" s="8" t="s">
        <v>1115</v>
      </c>
    </row>
    <row r="42">
      <c r="A42" s="2" t="s">
        <v>1123</v>
      </c>
      <c r="B42" s="2" t="s">
        <v>1123</v>
      </c>
      <c r="C42" s="6">
        <v>45925.777233796296</v>
      </c>
      <c r="D42" s="2">
        <v>1.758825553E9</v>
      </c>
      <c r="E42" s="8" t="s">
        <v>1125</v>
      </c>
      <c r="F42" s="2" t="s">
        <v>1127</v>
      </c>
      <c r="G42" s="2" t="s">
        <v>1128</v>
      </c>
      <c r="H42" s="2" t="s">
        <v>1129</v>
      </c>
      <c r="I42" s="2" t="s">
        <v>1131</v>
      </c>
      <c r="J42" s="8" t="s">
        <v>1132</v>
      </c>
      <c r="K42" s="8" t="s">
        <v>1135</v>
      </c>
      <c r="L42" s="2" t="b">
        <v>0</v>
      </c>
      <c r="M42" s="2" t="s">
        <v>66</v>
      </c>
      <c r="N42" s="2" t="s">
        <v>64</v>
      </c>
      <c r="O42" s="2" t="s">
        <v>65</v>
      </c>
      <c r="P42" s="2">
        <v>1.0</v>
      </c>
      <c r="Q42" s="2">
        <v>0.0</v>
      </c>
      <c r="R42" s="2">
        <v>30.0</v>
      </c>
      <c r="S42" s="2">
        <v>1.0</v>
      </c>
      <c r="T42" s="2">
        <v>1130.0</v>
      </c>
      <c r="U42" s="2" t="s">
        <v>65</v>
      </c>
      <c r="W42" s="2" t="s">
        <v>65</v>
      </c>
      <c r="AC42" s="2" t="s">
        <v>65</v>
      </c>
      <c r="AD42" s="2" t="s">
        <v>65</v>
      </c>
      <c r="AF42" s="2" t="s">
        <v>65</v>
      </c>
    </row>
    <row r="43" hidden="1">
      <c r="A43" s="2" t="s">
        <v>1141</v>
      </c>
      <c r="B43" s="2" t="s">
        <v>1141</v>
      </c>
      <c r="C43" s="6">
        <v>45967.67412037037</v>
      </c>
      <c r="D43" s="2">
        <v>1.762445444E9</v>
      </c>
      <c r="E43" s="8" t="s">
        <v>1144</v>
      </c>
      <c r="F43" s="2" t="s">
        <v>1154</v>
      </c>
      <c r="G43" s="2" t="s">
        <v>1155</v>
      </c>
      <c r="H43" s="2" t="s">
        <v>1156</v>
      </c>
      <c r="I43" s="2" t="s">
        <v>1157</v>
      </c>
      <c r="J43" s="8" t="s">
        <v>1158</v>
      </c>
      <c r="K43" s="8" t="s">
        <v>1163</v>
      </c>
      <c r="L43" s="2" t="b">
        <v>0</v>
      </c>
      <c r="M43" s="2" t="s">
        <v>85</v>
      </c>
      <c r="N43" s="2" t="s">
        <v>68</v>
      </c>
      <c r="O43" s="2" t="s">
        <v>65</v>
      </c>
      <c r="P43" s="2">
        <v>0.0</v>
      </c>
      <c r="Q43" s="2">
        <v>0.0</v>
      </c>
      <c r="R43" s="2">
        <v>3.0</v>
      </c>
      <c r="S43" s="2">
        <v>0.0</v>
      </c>
      <c r="T43" s="2">
        <v>760.0</v>
      </c>
      <c r="U43" s="2" t="s">
        <v>65</v>
      </c>
      <c r="W43" s="2" t="s">
        <v>65</v>
      </c>
      <c r="AC43" s="2" t="s">
        <v>65</v>
      </c>
      <c r="AD43" s="2" t="s">
        <v>65</v>
      </c>
      <c r="AF43" s="2" t="s">
        <v>65</v>
      </c>
    </row>
    <row r="44" hidden="1">
      <c r="A44" s="2" t="s">
        <v>1171</v>
      </c>
      <c r="B44" s="2" t="s">
        <v>1171</v>
      </c>
      <c r="C44" s="6">
        <v>45972.14423611111</v>
      </c>
      <c r="D44" s="2">
        <v>1.762831662E9</v>
      </c>
      <c r="E44" s="8" t="s">
        <v>1172</v>
      </c>
      <c r="F44" s="2" t="s">
        <v>1175</v>
      </c>
      <c r="G44" s="2" t="s">
        <v>1176</v>
      </c>
      <c r="H44" s="2" t="s">
        <v>1177</v>
      </c>
      <c r="I44" s="2" t="s">
        <v>1178</v>
      </c>
      <c r="J44" s="8" t="s">
        <v>1179</v>
      </c>
      <c r="K44" s="8" t="s">
        <v>1183</v>
      </c>
      <c r="L44" s="2" t="b">
        <v>0</v>
      </c>
      <c r="M44" s="2" t="s">
        <v>67</v>
      </c>
      <c r="N44" s="2" t="s">
        <v>68</v>
      </c>
      <c r="O44" s="2" t="s">
        <v>65</v>
      </c>
      <c r="P44" s="2">
        <v>0.0</v>
      </c>
      <c r="Q44" s="2">
        <v>0.0</v>
      </c>
      <c r="R44" s="2">
        <v>0.0</v>
      </c>
      <c r="S44" s="2">
        <v>0.0</v>
      </c>
      <c r="T44" s="2">
        <v>74.0</v>
      </c>
      <c r="U44" s="2" t="s">
        <v>65</v>
      </c>
      <c r="W44" s="2" t="s">
        <v>65</v>
      </c>
      <c r="AC44" s="2" t="s">
        <v>65</v>
      </c>
      <c r="AD44" s="2" t="s">
        <v>65</v>
      </c>
      <c r="AF44" s="2" t="s">
        <v>65</v>
      </c>
      <c r="AI44" s="8" t="s">
        <v>1192</v>
      </c>
      <c r="AJ44" s="8" t="s">
        <v>1198</v>
      </c>
    </row>
    <row r="45">
      <c r="A45" s="2" t="s">
        <v>1109</v>
      </c>
      <c r="B45" s="2" t="s">
        <v>1109</v>
      </c>
      <c r="C45" s="6">
        <v>45958.72064814815</v>
      </c>
      <c r="D45" s="2">
        <v>1.761671864E9</v>
      </c>
      <c r="E45" s="8" t="s">
        <v>1110</v>
      </c>
      <c r="F45" s="2" t="s">
        <v>1111</v>
      </c>
      <c r="G45" s="2" t="s">
        <v>864</v>
      </c>
      <c r="H45" s="2" t="s">
        <v>865</v>
      </c>
      <c r="I45" s="2">
        <v>2.825615947E9</v>
      </c>
      <c r="J45" s="8" t="s">
        <v>866</v>
      </c>
      <c r="K45" s="8" t="s">
        <v>870</v>
      </c>
      <c r="L45" s="2" t="b">
        <v>1</v>
      </c>
      <c r="M45" s="2" t="s">
        <v>1116</v>
      </c>
      <c r="N45" s="2" t="s">
        <v>64</v>
      </c>
      <c r="O45" s="2" t="s">
        <v>65</v>
      </c>
      <c r="P45" s="2">
        <v>2.0</v>
      </c>
      <c r="Q45" s="2">
        <v>0.0</v>
      </c>
      <c r="R45" s="2">
        <v>14.0</v>
      </c>
      <c r="S45" s="2">
        <v>1.0</v>
      </c>
      <c r="T45" s="2">
        <v>401.0</v>
      </c>
      <c r="U45" s="2" t="s">
        <v>65</v>
      </c>
      <c r="W45" s="2" t="s">
        <v>65</v>
      </c>
      <c r="AC45" s="2" t="s">
        <v>65</v>
      </c>
      <c r="AD45" s="2" t="s">
        <v>65</v>
      </c>
      <c r="AF45" s="2" t="s">
        <v>65</v>
      </c>
      <c r="AH45" s="8" t="s">
        <v>1117</v>
      </c>
    </row>
    <row r="46" hidden="1">
      <c r="A46" s="2" t="s">
        <v>1216</v>
      </c>
      <c r="B46" s="2" t="s">
        <v>1216</v>
      </c>
      <c r="C46" s="6">
        <v>45969.12043981482</v>
      </c>
      <c r="D46" s="2">
        <v>1.762570406E9</v>
      </c>
      <c r="E46" s="8" t="s">
        <v>1217</v>
      </c>
      <c r="F46" s="2" t="s">
        <v>1222</v>
      </c>
      <c r="G46" s="2" t="s">
        <v>1223</v>
      </c>
      <c r="H46" s="2" t="s">
        <v>1224</v>
      </c>
      <c r="I46" s="2">
        <v>2.940020207E9</v>
      </c>
      <c r="J46" s="8" t="s">
        <v>1226</v>
      </c>
      <c r="K46" s="8" t="s">
        <v>1233</v>
      </c>
      <c r="L46" s="2" t="b">
        <v>0</v>
      </c>
      <c r="M46" s="2" t="s">
        <v>67</v>
      </c>
      <c r="N46" s="2" t="s">
        <v>68</v>
      </c>
      <c r="O46" s="2" t="s">
        <v>65</v>
      </c>
      <c r="P46" s="2">
        <v>0.0</v>
      </c>
      <c r="Q46" s="2">
        <v>0.0</v>
      </c>
      <c r="R46" s="2">
        <v>1.0</v>
      </c>
      <c r="S46" s="2">
        <v>0.0</v>
      </c>
      <c r="T46" s="2">
        <v>95.0</v>
      </c>
      <c r="U46" s="2" t="s">
        <v>65</v>
      </c>
      <c r="W46" s="2" t="s">
        <v>65</v>
      </c>
      <c r="AC46" s="2" t="s">
        <v>65</v>
      </c>
      <c r="AD46" s="2" t="s">
        <v>65</v>
      </c>
      <c r="AF46" s="2" t="s">
        <v>65</v>
      </c>
    </row>
    <row r="47" hidden="1">
      <c r="A47" s="2" t="s">
        <v>1242</v>
      </c>
      <c r="B47" s="2" t="s">
        <v>1242</v>
      </c>
      <c r="C47" s="6">
        <v>45973.9744212963</v>
      </c>
      <c r="D47" s="2">
        <v>1.76298979E9</v>
      </c>
      <c r="E47" s="8" t="s">
        <v>1246</v>
      </c>
      <c r="F47" s="2" t="s">
        <v>1258</v>
      </c>
      <c r="G47" s="2" t="s">
        <v>1259</v>
      </c>
      <c r="H47" s="2" t="s">
        <v>1260</v>
      </c>
      <c r="I47" s="2" t="s">
        <v>1261</v>
      </c>
      <c r="J47" s="8" t="s">
        <v>1262</v>
      </c>
      <c r="K47" s="8" t="s">
        <v>1265</v>
      </c>
      <c r="L47" s="2" t="b">
        <v>0</v>
      </c>
      <c r="M47" s="2" t="s">
        <v>67</v>
      </c>
      <c r="N47" s="2" t="s">
        <v>68</v>
      </c>
      <c r="O47" s="2" t="s">
        <v>65</v>
      </c>
      <c r="P47" s="2">
        <v>0.0</v>
      </c>
      <c r="Q47" s="2">
        <v>0.0</v>
      </c>
      <c r="R47" s="2">
        <v>0.0</v>
      </c>
      <c r="S47" s="2">
        <v>0.0</v>
      </c>
      <c r="T47" s="2">
        <v>19.0</v>
      </c>
      <c r="U47" s="2" t="s">
        <v>65</v>
      </c>
      <c r="W47" s="2" t="s">
        <v>65</v>
      </c>
      <c r="AC47" s="2" t="s">
        <v>65</v>
      </c>
      <c r="AD47" s="2" t="s">
        <v>65</v>
      </c>
      <c r="AF47" s="2" t="s">
        <v>65</v>
      </c>
    </row>
    <row r="48">
      <c r="A48" s="2" t="s">
        <v>428</v>
      </c>
      <c r="B48" s="2" t="s">
        <v>428</v>
      </c>
      <c r="C48" s="6">
        <v>45899.175578703704</v>
      </c>
      <c r="D48" s="2">
        <v>1.75652717E9</v>
      </c>
      <c r="E48" s="8" t="s">
        <v>435</v>
      </c>
      <c r="F48" s="2" t="s">
        <v>437</v>
      </c>
      <c r="G48" s="2" t="s">
        <v>370</v>
      </c>
      <c r="H48" s="2" t="s">
        <v>372</v>
      </c>
      <c r="I48" s="2" t="s">
        <v>374</v>
      </c>
      <c r="J48" s="8" t="s">
        <v>377</v>
      </c>
      <c r="L48" s="2" t="b">
        <v>0</v>
      </c>
      <c r="M48" s="2" t="s">
        <v>63</v>
      </c>
      <c r="N48" s="2" t="s">
        <v>64</v>
      </c>
      <c r="O48" s="2" t="s">
        <v>65</v>
      </c>
      <c r="P48" s="2">
        <v>0.0</v>
      </c>
      <c r="Q48" s="2">
        <v>0.0</v>
      </c>
      <c r="R48" s="2">
        <v>0.0</v>
      </c>
      <c r="S48" s="2">
        <v>0.0</v>
      </c>
      <c r="T48" s="2">
        <v>37.0</v>
      </c>
      <c r="U48" s="2" t="s">
        <v>65</v>
      </c>
      <c r="W48" s="2" t="s">
        <v>65</v>
      </c>
      <c r="AC48" s="2" t="s">
        <v>65</v>
      </c>
      <c r="AD48" s="2" t="s">
        <v>65</v>
      </c>
      <c r="AF48" s="2" t="s">
        <v>65</v>
      </c>
      <c r="AG48" s="2" t="s">
        <v>414</v>
      </c>
      <c r="AI48" s="8" t="s">
        <v>441</v>
      </c>
      <c r="AJ48" s="8" t="s">
        <v>451</v>
      </c>
    </row>
    <row r="49">
      <c r="A49" s="2" t="s">
        <v>1294</v>
      </c>
      <c r="B49" s="2" t="s">
        <v>1294</v>
      </c>
      <c r="C49" s="6">
        <v>45651.41465277778</v>
      </c>
      <c r="D49" s="2">
        <v>1.735120626E9</v>
      </c>
      <c r="E49" s="8" t="s">
        <v>1295</v>
      </c>
      <c r="F49" s="2" t="s">
        <v>1303</v>
      </c>
      <c r="G49" s="2" t="s">
        <v>1304</v>
      </c>
      <c r="H49" s="2" t="s">
        <v>1305</v>
      </c>
      <c r="I49" s="2" t="s">
        <v>1306</v>
      </c>
      <c r="J49" s="8" t="s">
        <v>1307</v>
      </c>
      <c r="K49" s="8" t="s">
        <v>1309</v>
      </c>
      <c r="L49" s="2" t="b">
        <v>0</v>
      </c>
      <c r="M49" s="2" t="s">
        <v>66</v>
      </c>
      <c r="N49" s="2" t="s">
        <v>64</v>
      </c>
      <c r="O49" s="2" t="s">
        <v>65</v>
      </c>
      <c r="P49" s="2">
        <v>0.0</v>
      </c>
      <c r="Q49" s="2">
        <v>0.0</v>
      </c>
      <c r="R49" s="2">
        <v>1.0</v>
      </c>
      <c r="S49" s="2">
        <v>0.0</v>
      </c>
      <c r="T49" s="2">
        <v>48.0</v>
      </c>
      <c r="U49" s="2" t="s">
        <v>65</v>
      </c>
      <c r="W49" s="2" t="s">
        <v>71</v>
      </c>
      <c r="X49" s="2" t="s">
        <v>444</v>
      </c>
      <c r="Y49" s="2" t="s">
        <v>158</v>
      </c>
      <c r="Z49" s="2" t="s">
        <v>452</v>
      </c>
      <c r="AA49" s="8" t="s">
        <v>454</v>
      </c>
      <c r="AC49" s="2" t="s">
        <v>65</v>
      </c>
      <c r="AD49" s="2" t="s">
        <v>65</v>
      </c>
      <c r="AF49" s="2" t="s">
        <v>65</v>
      </c>
      <c r="AH49" s="8" t="s">
        <v>445</v>
      </c>
    </row>
    <row r="50" hidden="1">
      <c r="A50" s="2" t="s">
        <v>1316</v>
      </c>
      <c r="B50" s="2" t="s">
        <v>1317</v>
      </c>
      <c r="C50" s="6">
        <v>45971.387025462966</v>
      </c>
      <c r="D50" s="2">
        <v>1.762766239E9</v>
      </c>
      <c r="E50" s="8" t="s">
        <v>1318</v>
      </c>
      <c r="F50" s="2" t="s">
        <v>1321</v>
      </c>
      <c r="G50" s="2" t="s">
        <v>1322</v>
      </c>
      <c r="H50" s="2" t="s">
        <v>1324</v>
      </c>
      <c r="I50" s="2" t="s">
        <v>1325</v>
      </c>
      <c r="J50" s="8" t="s">
        <v>1326</v>
      </c>
      <c r="K50" s="8" t="s">
        <v>1332</v>
      </c>
      <c r="L50" s="2" t="b">
        <v>0</v>
      </c>
      <c r="M50" s="2" t="s">
        <v>67</v>
      </c>
      <c r="N50" s="2" t="s">
        <v>68</v>
      </c>
      <c r="O50" s="2" t="s">
        <v>65</v>
      </c>
      <c r="P50" s="2">
        <v>0.0</v>
      </c>
      <c r="Q50" s="2">
        <v>0.0</v>
      </c>
      <c r="R50" s="2">
        <v>0.0</v>
      </c>
      <c r="S50" s="2">
        <v>0.0</v>
      </c>
      <c r="T50" s="2">
        <v>47.0</v>
      </c>
      <c r="U50" s="2" t="s">
        <v>65</v>
      </c>
      <c r="W50" s="2" t="s">
        <v>65</v>
      </c>
      <c r="AC50" s="2" t="s">
        <v>65</v>
      </c>
      <c r="AD50" s="2" t="s">
        <v>71</v>
      </c>
      <c r="AE50" s="2" t="s">
        <v>1339</v>
      </c>
      <c r="AF50" s="2" t="s">
        <v>65</v>
      </c>
      <c r="AI50" s="8" t="s">
        <v>1340</v>
      </c>
      <c r="AK50" s="2" t="s">
        <v>1339</v>
      </c>
    </row>
    <row r="51">
      <c r="A51" s="2" t="s">
        <v>1342</v>
      </c>
      <c r="B51" s="2" t="s">
        <v>1342</v>
      </c>
      <c r="C51" s="6">
        <v>45848.70122685185</v>
      </c>
      <c r="D51" s="2">
        <v>1.752166186E9</v>
      </c>
      <c r="E51" s="8" t="s">
        <v>1343</v>
      </c>
      <c r="F51" s="2" t="s">
        <v>1346</v>
      </c>
      <c r="G51" s="2" t="s">
        <v>864</v>
      </c>
      <c r="H51" s="2" t="s">
        <v>865</v>
      </c>
      <c r="I51" s="2">
        <v>2.825615947E9</v>
      </c>
      <c r="J51" s="8" t="s">
        <v>866</v>
      </c>
      <c r="K51" s="8" t="s">
        <v>870</v>
      </c>
      <c r="L51" s="2" t="b">
        <v>1</v>
      </c>
      <c r="M51" s="2" t="s">
        <v>66</v>
      </c>
      <c r="N51" s="2" t="s">
        <v>64</v>
      </c>
      <c r="O51" s="2" t="s">
        <v>65</v>
      </c>
      <c r="P51" s="2">
        <v>0.0</v>
      </c>
      <c r="Q51" s="2">
        <v>1.0</v>
      </c>
      <c r="R51" s="2">
        <v>3.0</v>
      </c>
      <c r="S51" s="2">
        <v>0.0</v>
      </c>
      <c r="T51" s="2">
        <v>153.0</v>
      </c>
      <c r="U51" s="2" t="s">
        <v>65</v>
      </c>
      <c r="W51" s="2" t="s">
        <v>65</v>
      </c>
      <c r="AC51" s="2" t="s">
        <v>65</v>
      </c>
      <c r="AD51" s="2" t="s">
        <v>65</v>
      </c>
      <c r="AF51" s="2" t="s">
        <v>65</v>
      </c>
      <c r="AG51" s="2" t="s">
        <v>880</v>
      </c>
      <c r="AI51" s="8" t="s">
        <v>1347</v>
      </c>
      <c r="AJ51" s="8" t="s">
        <v>1352</v>
      </c>
    </row>
    <row r="52" hidden="1">
      <c r="A52" s="2" t="s">
        <v>1359</v>
      </c>
      <c r="B52" s="2" t="s">
        <v>1359</v>
      </c>
      <c r="C52" s="6">
        <v>45898.710439814815</v>
      </c>
      <c r="D52" s="2">
        <v>1.756486982E9</v>
      </c>
      <c r="E52" s="8" t="s">
        <v>1361</v>
      </c>
      <c r="F52" s="2" t="s">
        <v>1363</v>
      </c>
      <c r="G52" s="2" t="s">
        <v>1364</v>
      </c>
      <c r="H52" s="2" t="s">
        <v>1365</v>
      </c>
      <c r="I52" s="2" t="s">
        <v>1366</v>
      </c>
      <c r="J52" s="8" t="s">
        <v>1367</v>
      </c>
      <c r="K52" s="8" t="s">
        <v>1370</v>
      </c>
      <c r="L52" s="2" t="b">
        <v>0</v>
      </c>
      <c r="M52" s="2" t="s">
        <v>67</v>
      </c>
      <c r="N52" s="2" t="s">
        <v>68</v>
      </c>
      <c r="O52" s="2" t="s">
        <v>65</v>
      </c>
      <c r="P52" s="2">
        <v>12.0</v>
      </c>
      <c r="Q52" s="2">
        <v>0.0</v>
      </c>
      <c r="R52" s="2">
        <v>24.0</v>
      </c>
      <c r="S52" s="2">
        <v>0.0</v>
      </c>
      <c r="T52" s="2">
        <v>465.0</v>
      </c>
      <c r="U52" s="2" t="s">
        <v>65</v>
      </c>
      <c r="W52" s="2" t="s">
        <v>65</v>
      </c>
      <c r="AC52" s="2" t="s">
        <v>65</v>
      </c>
      <c r="AD52" s="2" t="s">
        <v>65</v>
      </c>
      <c r="AF52" s="2" t="s">
        <v>65</v>
      </c>
      <c r="AI52" s="8" t="s">
        <v>591</v>
      </c>
      <c r="AJ52" s="8" t="s">
        <v>605</v>
      </c>
      <c r="AK52" s="2" t="s">
        <v>1375</v>
      </c>
    </row>
    <row r="53" hidden="1">
      <c r="A53" s="2" t="s">
        <v>1219</v>
      </c>
      <c r="B53" s="2" t="s">
        <v>1219</v>
      </c>
      <c r="C53" s="6">
        <v>45955.35</v>
      </c>
      <c r="D53" s="2">
        <v>1.76138064E9</v>
      </c>
      <c r="E53" s="8" t="s">
        <v>1220</v>
      </c>
      <c r="F53" s="2" t="s">
        <v>1225</v>
      </c>
      <c r="G53" s="2" t="s">
        <v>1227</v>
      </c>
      <c r="H53" s="2" t="s">
        <v>1228</v>
      </c>
      <c r="I53" s="2">
        <v>1.8556155E7</v>
      </c>
      <c r="J53" s="8" t="s">
        <v>1229</v>
      </c>
      <c r="K53" s="8" t="s">
        <v>1232</v>
      </c>
      <c r="L53" s="2" t="b">
        <v>0</v>
      </c>
      <c r="M53" s="2" t="s">
        <v>1234</v>
      </c>
      <c r="N53" s="2" t="s">
        <v>1235</v>
      </c>
      <c r="O53" s="2" t="s">
        <v>65</v>
      </c>
      <c r="P53" s="2">
        <v>0.0</v>
      </c>
      <c r="Q53" s="2">
        <v>0.0</v>
      </c>
      <c r="R53" s="2">
        <v>1.0</v>
      </c>
      <c r="S53" s="2">
        <v>0.0</v>
      </c>
      <c r="T53" s="2">
        <v>117.0</v>
      </c>
      <c r="U53" s="2" t="s">
        <v>65</v>
      </c>
      <c r="W53" s="2" t="s">
        <v>65</v>
      </c>
      <c r="AC53" s="2" t="s">
        <v>65</v>
      </c>
      <c r="AD53" s="2" t="s">
        <v>65</v>
      </c>
      <c r="AF53" s="2" t="s">
        <v>65</v>
      </c>
      <c r="AH53" s="8" t="s">
        <v>1201</v>
      </c>
      <c r="AI53" s="8" t="s">
        <v>1237</v>
      </c>
      <c r="AK53" s="2" t="s">
        <v>1241</v>
      </c>
    </row>
    <row r="54">
      <c r="A54" s="2" t="s">
        <v>1392</v>
      </c>
      <c r="B54" s="2" t="s">
        <v>1392</v>
      </c>
      <c r="C54" s="6">
        <v>45821.80519675926</v>
      </c>
      <c r="D54" s="2">
        <v>1.749842369E9</v>
      </c>
      <c r="E54" s="8" t="s">
        <v>1393</v>
      </c>
      <c r="F54" s="2" t="s">
        <v>1395</v>
      </c>
      <c r="G54" s="2" t="s">
        <v>864</v>
      </c>
      <c r="H54" s="2" t="s">
        <v>865</v>
      </c>
      <c r="I54" s="2">
        <v>2.825615947E9</v>
      </c>
      <c r="J54" s="8" t="s">
        <v>866</v>
      </c>
      <c r="K54" s="8" t="s">
        <v>870</v>
      </c>
      <c r="L54" s="2" t="b">
        <v>1</v>
      </c>
      <c r="M54" s="2" t="s">
        <v>1116</v>
      </c>
      <c r="N54" s="2" t="s">
        <v>64</v>
      </c>
      <c r="O54" s="2" t="s">
        <v>65</v>
      </c>
      <c r="P54" s="2">
        <v>0.0</v>
      </c>
      <c r="Q54" s="2">
        <v>0.0</v>
      </c>
      <c r="R54" s="2">
        <v>1.0</v>
      </c>
      <c r="S54" s="2">
        <v>0.0</v>
      </c>
      <c r="T54" s="2">
        <v>122.0</v>
      </c>
      <c r="U54" s="2" t="s">
        <v>65</v>
      </c>
      <c r="W54" s="2" t="s">
        <v>65</v>
      </c>
      <c r="AC54" s="2" t="s">
        <v>65</v>
      </c>
      <c r="AD54" s="2" t="s">
        <v>65</v>
      </c>
      <c r="AF54" s="2" t="s">
        <v>65</v>
      </c>
      <c r="AH54" s="8" t="s">
        <v>1398</v>
      </c>
    </row>
    <row r="55">
      <c r="A55" s="2" t="s">
        <v>1411</v>
      </c>
      <c r="B55" s="2" t="s">
        <v>1411</v>
      </c>
      <c r="C55" s="6">
        <v>45777.01662037037</v>
      </c>
      <c r="D55" s="2">
        <v>1.745972636E9</v>
      </c>
      <c r="E55" s="8" t="s">
        <v>1412</v>
      </c>
      <c r="F55" s="2" t="s">
        <v>1414</v>
      </c>
      <c r="G55" s="2" t="s">
        <v>1415</v>
      </c>
      <c r="H55" s="2" t="s">
        <v>1417</v>
      </c>
      <c r="I55" s="2" t="s">
        <v>1418</v>
      </c>
      <c r="J55" s="8" t="s">
        <v>1419</v>
      </c>
      <c r="K55" s="8" t="s">
        <v>1421</v>
      </c>
      <c r="L55" s="2" t="b">
        <v>0</v>
      </c>
      <c r="M55" s="2" t="s">
        <v>85</v>
      </c>
      <c r="N55" s="2" t="s">
        <v>64</v>
      </c>
      <c r="O55" s="2" t="s">
        <v>65</v>
      </c>
      <c r="P55" s="2">
        <v>0.0</v>
      </c>
      <c r="Q55" s="2">
        <v>0.0</v>
      </c>
      <c r="R55" s="2">
        <v>1.0</v>
      </c>
      <c r="S55" s="2">
        <v>0.0</v>
      </c>
      <c r="T55" s="2">
        <v>194.0</v>
      </c>
      <c r="U55" s="2" t="s">
        <v>65</v>
      </c>
      <c r="W55" s="2" t="s">
        <v>65</v>
      </c>
      <c r="AC55" s="2" t="s">
        <v>65</v>
      </c>
      <c r="AD55" s="2" t="s">
        <v>65</v>
      </c>
      <c r="AF55" s="2" t="s">
        <v>65</v>
      </c>
    </row>
    <row r="56">
      <c r="A56" s="2" t="s">
        <v>1429</v>
      </c>
      <c r="B56" s="2" t="s">
        <v>1429</v>
      </c>
      <c r="C56" s="6">
        <v>45933.745162037034</v>
      </c>
      <c r="D56" s="2">
        <v>1.759513982E9</v>
      </c>
      <c r="E56" s="8" t="s">
        <v>1431</v>
      </c>
      <c r="F56" s="2" t="s">
        <v>1436</v>
      </c>
      <c r="G56" s="2" t="s">
        <v>1438</v>
      </c>
      <c r="H56" s="2" t="s">
        <v>1440</v>
      </c>
      <c r="I56" s="2">
        <v>3.01473763E8</v>
      </c>
      <c r="J56" s="8" t="s">
        <v>1441</v>
      </c>
      <c r="K56" s="8" t="s">
        <v>1445</v>
      </c>
      <c r="L56" s="2" t="b">
        <v>0</v>
      </c>
      <c r="M56" s="2" t="s">
        <v>66</v>
      </c>
      <c r="N56" s="2" t="s">
        <v>64</v>
      </c>
      <c r="O56" s="2" t="s">
        <v>65</v>
      </c>
      <c r="P56" s="2">
        <v>1.0</v>
      </c>
      <c r="Q56" s="2">
        <v>2.0</v>
      </c>
      <c r="R56" s="2">
        <v>14.0</v>
      </c>
      <c r="S56" s="2">
        <v>0.0</v>
      </c>
      <c r="T56" s="2">
        <v>641.0</v>
      </c>
      <c r="U56" s="2" t="s">
        <v>65</v>
      </c>
      <c r="W56" s="2" t="s">
        <v>65</v>
      </c>
      <c r="AC56" s="2" t="s">
        <v>65</v>
      </c>
      <c r="AD56" s="2" t="s">
        <v>65</v>
      </c>
      <c r="AF56" s="2" t="s">
        <v>65</v>
      </c>
      <c r="AG56" s="2" t="s">
        <v>1451</v>
      </c>
      <c r="AI56" s="8" t="s">
        <v>1454</v>
      </c>
    </row>
    <row r="57">
      <c r="A57" s="2" t="s">
        <v>1461</v>
      </c>
      <c r="B57" s="2" t="s">
        <v>1461</v>
      </c>
      <c r="C57" s="6">
        <v>45707.87876157407</v>
      </c>
      <c r="D57" s="2">
        <v>1.739999125E9</v>
      </c>
      <c r="E57" s="8" t="s">
        <v>1462</v>
      </c>
      <c r="F57" s="2" t="s">
        <v>1465</v>
      </c>
      <c r="G57" s="2" t="s">
        <v>956</v>
      </c>
      <c r="H57" s="2" t="s">
        <v>957</v>
      </c>
      <c r="I57" s="2">
        <v>6068.0</v>
      </c>
      <c r="J57" s="8" t="s">
        <v>958</v>
      </c>
      <c r="K57" s="8" t="s">
        <v>963</v>
      </c>
      <c r="L57" s="2" t="b">
        <v>1</v>
      </c>
      <c r="M57" s="2" t="s">
        <v>967</v>
      </c>
      <c r="N57" s="2" t="s">
        <v>64</v>
      </c>
      <c r="O57" s="2" t="s">
        <v>65</v>
      </c>
      <c r="P57" s="2">
        <v>0.0</v>
      </c>
      <c r="Q57" s="2">
        <v>0.0</v>
      </c>
      <c r="R57" s="2">
        <v>26.0</v>
      </c>
      <c r="S57" s="2">
        <v>0.0</v>
      </c>
      <c r="T57" s="2">
        <v>3482.0</v>
      </c>
      <c r="U57" s="2" t="s">
        <v>65</v>
      </c>
      <c r="W57" s="2" t="s">
        <v>65</v>
      </c>
      <c r="AC57" s="2" t="s">
        <v>65</v>
      </c>
      <c r="AD57" s="2" t="s">
        <v>65</v>
      </c>
      <c r="AF57" s="2" t="s">
        <v>65</v>
      </c>
      <c r="AI57" s="8" t="s">
        <v>1468</v>
      </c>
      <c r="AJ57" s="8" t="s">
        <v>1476</v>
      </c>
    </row>
    <row r="58" hidden="1">
      <c r="A58" s="2" t="s">
        <v>842</v>
      </c>
      <c r="B58" s="2" t="s">
        <v>843</v>
      </c>
      <c r="C58" s="6">
        <v>45967.829976851855</v>
      </c>
      <c r="D58" s="2">
        <v>1.76245891E9</v>
      </c>
      <c r="E58" s="8" t="s">
        <v>844</v>
      </c>
      <c r="F58" s="2" t="s">
        <v>847</v>
      </c>
      <c r="G58" s="2" t="s">
        <v>848</v>
      </c>
      <c r="H58" s="2" t="s">
        <v>849</v>
      </c>
      <c r="I58" s="2" t="s">
        <v>850</v>
      </c>
      <c r="J58" s="8" t="s">
        <v>1487</v>
      </c>
      <c r="K58" s="8" t="s">
        <v>1492</v>
      </c>
      <c r="L58" s="2" t="b">
        <v>0</v>
      </c>
      <c r="M58" s="2" t="s">
        <v>67</v>
      </c>
      <c r="N58" s="2" t="s">
        <v>68</v>
      </c>
      <c r="O58" s="2" t="s">
        <v>65</v>
      </c>
      <c r="P58" s="2">
        <v>0.0</v>
      </c>
      <c r="Q58" s="2">
        <v>2.0</v>
      </c>
      <c r="R58" s="2">
        <v>5.0</v>
      </c>
      <c r="S58" s="2">
        <v>0.0</v>
      </c>
      <c r="T58" s="2">
        <v>381.0</v>
      </c>
      <c r="U58" s="2" t="s">
        <v>65</v>
      </c>
      <c r="W58" s="2" t="s">
        <v>65</v>
      </c>
      <c r="AC58" s="2" t="s">
        <v>65</v>
      </c>
      <c r="AD58" s="2" t="s">
        <v>71</v>
      </c>
      <c r="AE58" s="2" t="s">
        <v>861</v>
      </c>
      <c r="AF58" s="2" t="s">
        <v>65</v>
      </c>
      <c r="AI58" s="8" t="s">
        <v>862</v>
      </c>
      <c r="AK58" s="2" t="s">
        <v>867</v>
      </c>
    </row>
    <row r="59">
      <c r="A59" s="2" t="s">
        <v>1507</v>
      </c>
      <c r="B59" s="2" t="s">
        <v>1507</v>
      </c>
      <c r="C59" s="6">
        <v>45255.96834490741</v>
      </c>
      <c r="D59" s="2">
        <v>1.700954065E9</v>
      </c>
      <c r="E59" s="8" t="s">
        <v>1508</v>
      </c>
      <c r="F59" s="2" t="s">
        <v>1515</v>
      </c>
      <c r="G59" s="2" t="s">
        <v>1516</v>
      </c>
      <c r="H59" s="2" t="s">
        <v>1517</v>
      </c>
      <c r="I59" s="2">
        <v>4.50310216E8</v>
      </c>
      <c r="J59" s="8" t="s">
        <v>1518</v>
      </c>
      <c r="K59" s="8" t="s">
        <v>1520</v>
      </c>
      <c r="L59" s="2" t="b">
        <v>0</v>
      </c>
      <c r="M59" s="2" t="s">
        <v>85</v>
      </c>
      <c r="N59" s="2" t="s">
        <v>64</v>
      </c>
      <c r="O59" s="2" t="s">
        <v>65</v>
      </c>
      <c r="P59" s="2">
        <v>98.0</v>
      </c>
      <c r="Q59" s="2">
        <v>135.0</v>
      </c>
      <c r="R59" s="2">
        <v>881.0</v>
      </c>
      <c r="S59" s="2">
        <v>38.0</v>
      </c>
      <c r="T59" s="2">
        <v>154851.0</v>
      </c>
      <c r="U59" s="2" t="s">
        <v>65</v>
      </c>
      <c r="W59" s="2" t="s">
        <v>65</v>
      </c>
      <c r="AC59" s="2" t="s">
        <v>65</v>
      </c>
      <c r="AD59" s="2" t="s">
        <v>65</v>
      </c>
      <c r="AF59" s="2" t="s">
        <v>65</v>
      </c>
    </row>
    <row r="60" hidden="1">
      <c r="A60" s="2" t="s">
        <v>1528</v>
      </c>
      <c r="B60" s="2" t="s">
        <v>1528</v>
      </c>
      <c r="C60" s="6">
        <v>45776.22703703704</v>
      </c>
      <c r="D60" s="2">
        <v>1.745904416E9</v>
      </c>
      <c r="E60" s="8" t="s">
        <v>1529</v>
      </c>
      <c r="F60" s="2" t="s">
        <v>1532</v>
      </c>
      <c r="G60" s="2" t="s">
        <v>1533</v>
      </c>
      <c r="H60" s="2" t="s">
        <v>1534</v>
      </c>
      <c r="I60" s="2" t="s">
        <v>1535</v>
      </c>
      <c r="J60" s="8" t="s">
        <v>1536</v>
      </c>
      <c r="K60" s="8" t="s">
        <v>1538</v>
      </c>
      <c r="L60" s="2" t="b">
        <v>0</v>
      </c>
      <c r="M60" s="2" t="s">
        <v>66</v>
      </c>
      <c r="N60" s="2" t="s">
        <v>68</v>
      </c>
      <c r="O60" s="2" t="s">
        <v>65</v>
      </c>
      <c r="P60" s="2">
        <v>29.0</v>
      </c>
      <c r="Q60" s="2">
        <v>118.0</v>
      </c>
      <c r="R60" s="2">
        <v>383.0</v>
      </c>
      <c r="S60" s="2">
        <v>41.0</v>
      </c>
      <c r="T60" s="2">
        <v>23539.0</v>
      </c>
      <c r="U60" s="2" t="s">
        <v>65</v>
      </c>
      <c r="W60" s="2" t="s">
        <v>71</v>
      </c>
      <c r="X60" s="2" t="s">
        <v>1544</v>
      </c>
      <c r="Y60" s="2" t="s">
        <v>1545</v>
      </c>
      <c r="Z60" s="2" t="s">
        <v>1546</v>
      </c>
      <c r="AA60" s="8" t="s">
        <v>1547</v>
      </c>
      <c r="AC60" s="2" t="s">
        <v>65</v>
      </c>
      <c r="AD60" s="2" t="s">
        <v>65</v>
      </c>
      <c r="AF60" s="2" t="s">
        <v>65</v>
      </c>
    </row>
    <row r="61">
      <c r="A61" s="2" t="s">
        <v>1553</v>
      </c>
      <c r="B61" s="2" t="s">
        <v>1554</v>
      </c>
      <c r="C61" s="6">
        <v>45659.971921296295</v>
      </c>
      <c r="D61" s="2">
        <v>1.735859974E9</v>
      </c>
      <c r="E61" s="8" t="s">
        <v>1555</v>
      </c>
      <c r="F61" s="2" t="s">
        <v>1557</v>
      </c>
      <c r="G61" s="2" t="s">
        <v>1558</v>
      </c>
      <c r="H61" s="2" t="s">
        <v>1559</v>
      </c>
      <c r="I61" s="2" t="s">
        <v>1560</v>
      </c>
      <c r="J61" s="8" t="s">
        <v>1561</v>
      </c>
      <c r="K61" s="8" t="s">
        <v>1566</v>
      </c>
      <c r="L61" s="2" t="b">
        <v>0</v>
      </c>
      <c r="M61" s="2" t="s">
        <v>66</v>
      </c>
      <c r="N61" s="2" t="s">
        <v>64</v>
      </c>
      <c r="O61" s="2" t="s">
        <v>65</v>
      </c>
      <c r="P61" s="2">
        <v>22.0</v>
      </c>
      <c r="Q61" s="2">
        <v>9.0</v>
      </c>
      <c r="R61" s="2">
        <v>191.0</v>
      </c>
      <c r="S61" s="2">
        <v>0.0</v>
      </c>
      <c r="T61" s="2">
        <v>30559.0</v>
      </c>
      <c r="U61" s="2" t="s">
        <v>65</v>
      </c>
      <c r="W61" s="2" t="s">
        <v>65</v>
      </c>
      <c r="AC61" s="2" t="s">
        <v>65</v>
      </c>
      <c r="AD61" s="2" t="s">
        <v>71</v>
      </c>
      <c r="AE61" s="2" t="s">
        <v>1558</v>
      </c>
      <c r="AF61" s="2" t="s">
        <v>65</v>
      </c>
      <c r="AG61" s="2" t="s">
        <v>1574</v>
      </c>
      <c r="AH61" s="8" t="s">
        <v>1575</v>
      </c>
      <c r="AI61" s="8" t="s">
        <v>1579</v>
      </c>
      <c r="AJ61" s="8" t="s">
        <v>1585</v>
      </c>
      <c r="AK61" s="2" t="s">
        <v>158</v>
      </c>
    </row>
    <row r="62">
      <c r="A62" s="2" t="s">
        <v>1590</v>
      </c>
      <c r="B62" s="2" t="s">
        <v>1590</v>
      </c>
      <c r="C62" s="6">
        <v>45764.19969907407</v>
      </c>
      <c r="D62" s="2">
        <v>1.744865254E9</v>
      </c>
      <c r="E62" s="8" t="s">
        <v>1594</v>
      </c>
      <c r="F62" s="2" t="s">
        <v>1597</v>
      </c>
      <c r="G62" s="2" t="s">
        <v>898</v>
      </c>
      <c r="H62" s="2" t="s">
        <v>899</v>
      </c>
      <c r="I62" s="2">
        <v>1.04233369E8</v>
      </c>
      <c r="J62" s="8" t="s">
        <v>901</v>
      </c>
      <c r="K62" s="8" t="s">
        <v>908</v>
      </c>
      <c r="L62" s="2" t="b">
        <v>1</v>
      </c>
      <c r="M62" s="2" t="s">
        <v>912</v>
      </c>
      <c r="N62" s="2" t="s">
        <v>64</v>
      </c>
      <c r="O62" s="2" t="s">
        <v>65</v>
      </c>
      <c r="P62" s="2">
        <v>0.0</v>
      </c>
      <c r="Q62" s="2">
        <v>0.0</v>
      </c>
      <c r="R62" s="2">
        <v>0.0</v>
      </c>
      <c r="S62" s="2">
        <v>0.0</v>
      </c>
      <c r="T62" s="2">
        <v>13.0</v>
      </c>
      <c r="U62" s="2" t="s">
        <v>65</v>
      </c>
      <c r="W62" s="2" t="s">
        <v>65</v>
      </c>
      <c r="AC62" s="2" t="s">
        <v>65</v>
      </c>
      <c r="AD62" s="2" t="s">
        <v>65</v>
      </c>
      <c r="AF62" s="2" t="s">
        <v>65</v>
      </c>
      <c r="AH62" s="8" t="s">
        <v>913</v>
      </c>
      <c r="AI62" s="8" t="s">
        <v>1603</v>
      </c>
      <c r="AJ62" s="8" t="s">
        <v>1608</v>
      </c>
    </row>
    <row r="63">
      <c r="A63" s="2" t="s">
        <v>1616</v>
      </c>
      <c r="B63" s="2" t="s">
        <v>1616</v>
      </c>
      <c r="C63" s="6">
        <v>45592.58752314815</v>
      </c>
      <c r="D63" s="2">
        <v>1.730037962E9</v>
      </c>
      <c r="E63" s="8" t="s">
        <v>1617</v>
      </c>
      <c r="F63" s="2" t="s">
        <v>1623</v>
      </c>
      <c r="G63" s="2" t="s">
        <v>1624</v>
      </c>
      <c r="H63" s="2" t="s">
        <v>1625</v>
      </c>
      <c r="I63" s="2">
        <v>2.961937221E9</v>
      </c>
      <c r="J63" s="8" t="s">
        <v>1626</v>
      </c>
      <c r="K63" s="8" t="s">
        <v>1628</v>
      </c>
      <c r="L63" s="2" t="b">
        <v>0</v>
      </c>
      <c r="M63" s="2" t="s">
        <v>66</v>
      </c>
      <c r="N63" s="2" t="s">
        <v>64</v>
      </c>
      <c r="O63" s="2" t="s">
        <v>65</v>
      </c>
      <c r="P63" s="2">
        <v>3.0</v>
      </c>
      <c r="Q63" s="2">
        <v>0.0</v>
      </c>
      <c r="R63" s="2">
        <v>5.0</v>
      </c>
      <c r="S63" s="2">
        <v>0.0</v>
      </c>
      <c r="T63" s="2">
        <v>147.0</v>
      </c>
      <c r="U63" s="2" t="s">
        <v>65</v>
      </c>
      <c r="W63" s="2" t="s">
        <v>65</v>
      </c>
      <c r="AC63" s="2" t="s">
        <v>65</v>
      </c>
      <c r="AD63" s="2" t="s">
        <v>65</v>
      </c>
      <c r="AF63" s="2" t="s">
        <v>65</v>
      </c>
      <c r="AG63" s="2" t="s">
        <v>1582</v>
      </c>
      <c r="AH63" s="8" t="s">
        <v>1631</v>
      </c>
    </row>
    <row r="64">
      <c r="A64" s="2" t="s">
        <v>1633</v>
      </c>
      <c r="B64" s="2" t="s">
        <v>1633</v>
      </c>
      <c r="C64" s="6">
        <v>45812.23013888889</v>
      </c>
      <c r="D64" s="2">
        <v>1.749015084E9</v>
      </c>
      <c r="E64" s="8" t="s">
        <v>1635</v>
      </c>
      <c r="F64" s="2" t="s">
        <v>1637</v>
      </c>
      <c r="G64" s="2" t="s">
        <v>864</v>
      </c>
      <c r="H64" s="2" t="s">
        <v>865</v>
      </c>
      <c r="I64" s="2">
        <v>2.825615947E9</v>
      </c>
      <c r="J64" s="8" t="s">
        <v>866</v>
      </c>
      <c r="K64" s="8" t="s">
        <v>870</v>
      </c>
      <c r="L64" s="2" t="b">
        <v>1</v>
      </c>
      <c r="M64" s="2" t="s">
        <v>66</v>
      </c>
      <c r="N64" s="2" t="s">
        <v>64</v>
      </c>
      <c r="O64" s="2" t="s">
        <v>65</v>
      </c>
      <c r="P64" s="2">
        <v>2.0</v>
      </c>
      <c r="Q64" s="2">
        <v>0.0</v>
      </c>
      <c r="R64" s="2">
        <v>5.0</v>
      </c>
      <c r="S64" s="2">
        <v>0.0</v>
      </c>
      <c r="T64" s="2">
        <v>225.0</v>
      </c>
      <c r="U64" s="2" t="s">
        <v>65</v>
      </c>
      <c r="W64" s="2" t="s">
        <v>65</v>
      </c>
      <c r="AC64" s="2" t="s">
        <v>65</v>
      </c>
      <c r="AD64" s="2" t="s">
        <v>65</v>
      </c>
      <c r="AF64" s="2" t="s">
        <v>65</v>
      </c>
      <c r="AG64" s="2" t="s">
        <v>880</v>
      </c>
      <c r="AI64" s="8" t="s">
        <v>1644</v>
      </c>
      <c r="AJ64" s="8" t="s">
        <v>1650</v>
      </c>
    </row>
    <row r="65">
      <c r="A65" s="2" t="s">
        <v>1652</v>
      </c>
      <c r="B65" s="2" t="s">
        <v>1652</v>
      </c>
      <c r="C65" s="6">
        <v>45816.78623842593</v>
      </c>
      <c r="D65" s="2">
        <v>1.749408731E9</v>
      </c>
      <c r="E65" s="8" t="s">
        <v>1653</v>
      </c>
      <c r="F65" s="2" t="s">
        <v>1654</v>
      </c>
      <c r="G65" s="2" t="s">
        <v>864</v>
      </c>
      <c r="H65" s="2" t="s">
        <v>865</v>
      </c>
      <c r="I65" s="2">
        <v>2.825615947E9</v>
      </c>
      <c r="J65" s="8" t="s">
        <v>866</v>
      </c>
      <c r="K65" s="8" t="s">
        <v>870</v>
      </c>
      <c r="L65" s="2" t="b">
        <v>1</v>
      </c>
      <c r="M65" s="2" t="s">
        <v>66</v>
      </c>
      <c r="N65" s="2" t="s">
        <v>64</v>
      </c>
      <c r="O65" s="2" t="s">
        <v>65</v>
      </c>
      <c r="P65" s="2">
        <v>1.0</v>
      </c>
      <c r="Q65" s="2">
        <v>0.0</v>
      </c>
      <c r="R65" s="2">
        <v>7.0</v>
      </c>
      <c r="S65" s="2">
        <v>0.0</v>
      </c>
      <c r="T65" s="2">
        <v>378.0</v>
      </c>
      <c r="U65" s="2" t="s">
        <v>65</v>
      </c>
      <c r="W65" s="2" t="s">
        <v>65</v>
      </c>
      <c r="AC65" s="2" t="s">
        <v>65</v>
      </c>
      <c r="AD65" s="2" t="s">
        <v>65</v>
      </c>
      <c r="AF65" s="2" t="s">
        <v>65</v>
      </c>
      <c r="AH65" s="8" t="s">
        <v>1658</v>
      </c>
      <c r="AK65" s="2" t="s">
        <v>1054</v>
      </c>
    </row>
    <row r="66">
      <c r="A66" s="2" t="s">
        <v>1666</v>
      </c>
      <c r="B66" s="2" t="s">
        <v>1666</v>
      </c>
      <c r="C66" s="6">
        <v>44887.69142361111</v>
      </c>
      <c r="D66" s="2">
        <v>1.669134939E9</v>
      </c>
      <c r="E66" s="8" t="s">
        <v>1667</v>
      </c>
      <c r="F66" s="2" t="s">
        <v>1669</v>
      </c>
      <c r="G66" s="2" t="s">
        <v>1670</v>
      </c>
      <c r="H66" s="2" t="s">
        <v>1671</v>
      </c>
      <c r="I66" s="2" t="s">
        <v>1672</v>
      </c>
      <c r="J66" s="8" t="s">
        <v>1673</v>
      </c>
      <c r="K66" s="8" t="s">
        <v>1675</v>
      </c>
      <c r="L66" s="2" t="b">
        <v>1</v>
      </c>
      <c r="M66" s="2" t="s">
        <v>85</v>
      </c>
      <c r="N66" s="2" t="s">
        <v>64</v>
      </c>
      <c r="O66" s="2" t="s">
        <v>65</v>
      </c>
      <c r="P66" s="2">
        <v>574.0</v>
      </c>
      <c r="Q66" s="2">
        <v>20.0</v>
      </c>
      <c r="R66" s="2">
        <v>2992.0</v>
      </c>
      <c r="S66" s="2">
        <v>60.0</v>
      </c>
      <c r="U66" s="2" t="s">
        <v>65</v>
      </c>
      <c r="W66" s="2" t="s">
        <v>65</v>
      </c>
      <c r="AC66" s="2" t="s">
        <v>65</v>
      </c>
      <c r="AD66" s="2" t="s">
        <v>65</v>
      </c>
      <c r="AF66" s="2" t="s">
        <v>65</v>
      </c>
    </row>
    <row r="67">
      <c r="A67" s="2" t="s">
        <v>1690</v>
      </c>
      <c r="B67" s="2" t="s">
        <v>1690</v>
      </c>
      <c r="C67" s="6">
        <v>45812.19394675926</v>
      </c>
      <c r="D67" s="2">
        <v>1.749011957E9</v>
      </c>
      <c r="E67" s="8" t="s">
        <v>1693</v>
      </c>
      <c r="F67" s="2" t="s">
        <v>1694</v>
      </c>
      <c r="G67" s="2" t="s">
        <v>864</v>
      </c>
      <c r="H67" s="2" t="s">
        <v>865</v>
      </c>
      <c r="I67" s="2">
        <v>2.825615947E9</v>
      </c>
      <c r="J67" s="8" t="s">
        <v>866</v>
      </c>
      <c r="K67" s="8" t="s">
        <v>870</v>
      </c>
      <c r="L67" s="2" t="b">
        <v>1</v>
      </c>
      <c r="M67" s="2" t="s">
        <v>66</v>
      </c>
      <c r="N67" s="2" t="s">
        <v>64</v>
      </c>
      <c r="O67" s="2" t="s">
        <v>65</v>
      </c>
      <c r="P67" s="2">
        <v>0.0</v>
      </c>
      <c r="Q67" s="2">
        <v>0.0</v>
      </c>
      <c r="R67" s="2">
        <v>3.0</v>
      </c>
      <c r="S67" s="2">
        <v>0.0</v>
      </c>
      <c r="T67" s="2">
        <v>358.0</v>
      </c>
      <c r="U67" s="2" t="s">
        <v>65</v>
      </c>
      <c r="W67" s="2" t="s">
        <v>65</v>
      </c>
      <c r="AC67" s="2" t="s">
        <v>65</v>
      </c>
      <c r="AD67" s="2" t="s">
        <v>65</v>
      </c>
      <c r="AF67" s="2" t="s">
        <v>65</v>
      </c>
      <c r="AG67" s="2" t="s">
        <v>880</v>
      </c>
      <c r="AI67" s="8" t="s">
        <v>1696</v>
      </c>
      <c r="AJ67" s="8" t="s">
        <v>1699</v>
      </c>
    </row>
    <row r="68">
      <c r="A68" s="2" t="s">
        <v>1708</v>
      </c>
      <c r="B68" s="2" t="s">
        <v>1708</v>
      </c>
      <c r="C68" s="6">
        <v>45756.71910879629</v>
      </c>
      <c r="D68" s="2">
        <v>1.744218931E9</v>
      </c>
      <c r="E68" s="8" t="s">
        <v>1710</v>
      </c>
      <c r="F68" s="2" t="s">
        <v>1714</v>
      </c>
      <c r="G68" s="2" t="s">
        <v>1715</v>
      </c>
      <c r="H68" s="2" t="s">
        <v>1716</v>
      </c>
      <c r="I68" s="2" t="s">
        <v>1717</v>
      </c>
      <c r="J68" s="8" t="s">
        <v>1718</v>
      </c>
      <c r="K68" s="8" t="s">
        <v>1727</v>
      </c>
      <c r="L68" s="2" t="b">
        <v>0</v>
      </c>
      <c r="M68" s="2" t="s">
        <v>85</v>
      </c>
      <c r="N68" s="2" t="s">
        <v>64</v>
      </c>
      <c r="O68" s="2" t="s">
        <v>65</v>
      </c>
      <c r="P68" s="2">
        <v>1.0</v>
      </c>
      <c r="Q68" s="2">
        <v>1.0</v>
      </c>
      <c r="R68" s="2">
        <v>15.0</v>
      </c>
      <c r="S68" s="2">
        <v>0.0</v>
      </c>
      <c r="T68" s="2">
        <v>732.0</v>
      </c>
      <c r="U68" s="2" t="s">
        <v>65</v>
      </c>
      <c r="W68" s="2" t="s">
        <v>71</v>
      </c>
      <c r="X68" s="2" t="s">
        <v>1734</v>
      </c>
      <c r="Y68" s="2" t="s">
        <v>1735</v>
      </c>
      <c r="Z68" s="2" t="s">
        <v>1736</v>
      </c>
      <c r="AC68" s="2" t="s">
        <v>65</v>
      </c>
      <c r="AD68" s="2" t="s">
        <v>65</v>
      </c>
      <c r="AF68" s="2" t="s">
        <v>65</v>
      </c>
    </row>
    <row r="69">
      <c r="A69" s="2" t="s">
        <v>1737</v>
      </c>
      <c r="B69" s="2" t="s">
        <v>1737</v>
      </c>
      <c r="C69" s="6">
        <v>45706.668854166666</v>
      </c>
      <c r="D69" s="2">
        <v>1.739894589E9</v>
      </c>
      <c r="E69" s="8" t="s">
        <v>1738</v>
      </c>
      <c r="F69" s="2" t="s">
        <v>1744</v>
      </c>
      <c r="G69" s="2" t="s">
        <v>1746</v>
      </c>
      <c r="H69" s="2" t="s">
        <v>1747</v>
      </c>
      <c r="I69" s="2" t="s">
        <v>1748</v>
      </c>
      <c r="J69" s="8" t="s">
        <v>1749</v>
      </c>
      <c r="K69" s="8" t="s">
        <v>1756</v>
      </c>
      <c r="L69" s="2" t="b">
        <v>0</v>
      </c>
      <c r="M69" s="2" t="s">
        <v>67</v>
      </c>
      <c r="N69" s="2" t="s">
        <v>64</v>
      </c>
      <c r="O69" s="2" t="s">
        <v>65</v>
      </c>
      <c r="P69" s="2">
        <v>0.0</v>
      </c>
      <c r="Q69" s="2">
        <v>2.0</v>
      </c>
      <c r="R69" s="2">
        <v>11.0</v>
      </c>
      <c r="S69" s="2">
        <v>0.0</v>
      </c>
      <c r="T69" s="2">
        <v>621.0</v>
      </c>
      <c r="U69" s="2" t="s">
        <v>65</v>
      </c>
      <c r="W69" s="2" t="s">
        <v>71</v>
      </c>
      <c r="X69" s="2" t="s">
        <v>1760</v>
      </c>
      <c r="Y69" s="2" t="s">
        <v>1761</v>
      </c>
      <c r="Z69" s="2" t="s">
        <v>1762</v>
      </c>
      <c r="AC69" s="2" t="s">
        <v>65</v>
      </c>
      <c r="AD69" s="2" t="s">
        <v>65</v>
      </c>
      <c r="AF69" s="2" t="s">
        <v>65</v>
      </c>
      <c r="AG69" s="2" t="s">
        <v>1763</v>
      </c>
      <c r="AI69" s="8" t="s">
        <v>1764</v>
      </c>
    </row>
    <row r="70">
      <c r="A70" s="2" t="s">
        <v>1768</v>
      </c>
      <c r="B70" s="2" t="s">
        <v>1768</v>
      </c>
      <c r="C70" s="6">
        <v>45879.51354166667</v>
      </c>
      <c r="D70" s="2">
        <v>1.75482837E9</v>
      </c>
      <c r="E70" s="8" t="s">
        <v>1770</v>
      </c>
      <c r="F70" s="2" t="s">
        <v>1776</v>
      </c>
      <c r="G70" s="2" t="s">
        <v>864</v>
      </c>
      <c r="H70" s="2" t="s">
        <v>865</v>
      </c>
      <c r="I70" s="2">
        <v>2.825615947E9</v>
      </c>
      <c r="J70" s="8" t="s">
        <v>866</v>
      </c>
      <c r="K70" s="8" t="s">
        <v>870</v>
      </c>
      <c r="L70" s="2" t="b">
        <v>1</v>
      </c>
      <c r="M70" s="2" t="s">
        <v>66</v>
      </c>
      <c r="N70" s="2" t="s">
        <v>64</v>
      </c>
      <c r="O70" s="2" t="s">
        <v>65</v>
      </c>
      <c r="P70" s="2">
        <v>1.0</v>
      </c>
      <c r="Q70" s="2">
        <v>1.0</v>
      </c>
      <c r="R70" s="2">
        <v>9.0</v>
      </c>
      <c r="S70" s="2">
        <v>0.0</v>
      </c>
      <c r="T70" s="2">
        <v>481.0</v>
      </c>
      <c r="U70" s="2" t="s">
        <v>65</v>
      </c>
      <c r="W70" s="2" t="s">
        <v>65</v>
      </c>
      <c r="AC70" s="2" t="s">
        <v>65</v>
      </c>
      <c r="AD70" s="2" t="s">
        <v>65</v>
      </c>
      <c r="AF70" s="2" t="s">
        <v>65</v>
      </c>
      <c r="AG70" s="2" t="s">
        <v>880</v>
      </c>
      <c r="AI70" s="8" t="s">
        <v>1779</v>
      </c>
      <c r="AJ70" s="8" t="s">
        <v>1784</v>
      </c>
    </row>
    <row r="71" hidden="1">
      <c r="A71" s="2" t="s">
        <v>1790</v>
      </c>
      <c r="B71" s="2" t="s">
        <v>1790</v>
      </c>
      <c r="C71" s="6">
        <v>45795.94238425926</v>
      </c>
      <c r="D71" s="2">
        <v>1.747607822E9</v>
      </c>
      <c r="E71" s="8" t="s">
        <v>1792</v>
      </c>
      <c r="F71" s="2" t="s">
        <v>1794</v>
      </c>
      <c r="G71" s="2" t="s">
        <v>1795</v>
      </c>
      <c r="H71" s="2" t="s">
        <v>1796</v>
      </c>
      <c r="I71" s="2">
        <v>2.358855016E9</v>
      </c>
      <c r="J71" s="8" t="s">
        <v>1797</v>
      </c>
      <c r="K71" s="8" t="s">
        <v>1801</v>
      </c>
      <c r="L71" s="2" t="b">
        <v>0</v>
      </c>
      <c r="M71" s="2" t="s">
        <v>66</v>
      </c>
      <c r="N71" s="2" t="s">
        <v>68</v>
      </c>
      <c r="O71" s="2" t="s">
        <v>65</v>
      </c>
      <c r="P71" s="2">
        <v>0.0</v>
      </c>
      <c r="Q71" s="2">
        <v>0.0</v>
      </c>
      <c r="R71" s="2">
        <v>4.0</v>
      </c>
      <c r="S71" s="2">
        <v>0.0</v>
      </c>
      <c r="T71" s="2">
        <v>393.0</v>
      </c>
      <c r="U71" s="2" t="s">
        <v>65</v>
      </c>
      <c r="W71" s="2" t="s">
        <v>65</v>
      </c>
      <c r="AC71" s="2" t="s">
        <v>65</v>
      </c>
      <c r="AD71" s="2" t="s">
        <v>65</v>
      </c>
      <c r="AF71" s="2" t="s">
        <v>65</v>
      </c>
    </row>
    <row r="72">
      <c r="A72" s="2" t="s">
        <v>1809</v>
      </c>
      <c r="B72" s="2" t="s">
        <v>1809</v>
      </c>
      <c r="C72" s="6">
        <v>45972.98101851852</v>
      </c>
      <c r="D72" s="2">
        <v>1.76290396E9</v>
      </c>
      <c r="E72" s="8" t="s">
        <v>1810</v>
      </c>
      <c r="F72" s="2" t="s">
        <v>1813</v>
      </c>
      <c r="G72" s="2" t="s">
        <v>1814</v>
      </c>
      <c r="H72" s="2" t="s">
        <v>1815</v>
      </c>
      <c r="I72" s="2">
        <v>8.31174756E8</v>
      </c>
      <c r="J72" s="8" t="s">
        <v>1816</v>
      </c>
      <c r="K72" s="8" t="s">
        <v>1819</v>
      </c>
      <c r="L72" s="2" t="b">
        <v>0</v>
      </c>
      <c r="M72" s="2" t="s">
        <v>85</v>
      </c>
      <c r="N72" s="2" t="s">
        <v>64</v>
      </c>
      <c r="O72" s="2" t="s">
        <v>65</v>
      </c>
      <c r="P72" s="2">
        <v>0.0</v>
      </c>
      <c r="Q72" s="2">
        <v>0.0</v>
      </c>
      <c r="R72" s="2">
        <v>0.0</v>
      </c>
      <c r="S72" s="2">
        <v>0.0</v>
      </c>
      <c r="T72" s="2">
        <v>40.0</v>
      </c>
      <c r="U72" s="2" t="s">
        <v>65</v>
      </c>
      <c r="W72" s="2" t="s">
        <v>65</v>
      </c>
      <c r="AC72" s="2" t="s">
        <v>65</v>
      </c>
      <c r="AD72" s="2" t="s">
        <v>65</v>
      </c>
      <c r="AF72" s="2" t="s">
        <v>65</v>
      </c>
    </row>
    <row r="73">
      <c r="A73" s="2" t="s">
        <v>1826</v>
      </c>
      <c r="B73" s="2" t="s">
        <v>1826</v>
      </c>
      <c r="C73" s="6">
        <v>45902.080034722225</v>
      </c>
      <c r="D73" s="2">
        <v>1.756778115E9</v>
      </c>
      <c r="E73" s="8" t="s">
        <v>1830</v>
      </c>
      <c r="F73" s="2" t="s">
        <v>1832</v>
      </c>
      <c r="G73" s="2" t="s">
        <v>370</v>
      </c>
      <c r="H73" s="2" t="s">
        <v>372</v>
      </c>
      <c r="I73" s="2" t="s">
        <v>374</v>
      </c>
      <c r="J73" s="8" t="s">
        <v>377</v>
      </c>
      <c r="L73" s="2" t="b">
        <v>0</v>
      </c>
      <c r="M73" s="2" t="s">
        <v>63</v>
      </c>
      <c r="N73" s="2" t="s">
        <v>64</v>
      </c>
      <c r="O73" s="2" t="s">
        <v>65</v>
      </c>
      <c r="P73" s="2">
        <v>0.0</v>
      </c>
      <c r="Q73" s="2">
        <v>0.0</v>
      </c>
      <c r="R73" s="2">
        <v>0.0</v>
      </c>
      <c r="S73" s="2">
        <v>0.0</v>
      </c>
      <c r="T73" s="2">
        <v>8.0</v>
      </c>
      <c r="U73" s="2" t="s">
        <v>65</v>
      </c>
      <c r="W73" s="2" t="s">
        <v>65</v>
      </c>
      <c r="AC73" s="2" t="s">
        <v>65</v>
      </c>
      <c r="AD73" s="2" t="s">
        <v>65</v>
      </c>
      <c r="AF73" s="2" t="s">
        <v>65</v>
      </c>
      <c r="AI73" s="8" t="s">
        <v>1834</v>
      </c>
      <c r="AJ73" s="8" t="s">
        <v>1836</v>
      </c>
    </row>
    <row r="74">
      <c r="A74" s="2" t="s">
        <v>1839</v>
      </c>
      <c r="B74" s="2" t="s">
        <v>1839</v>
      </c>
      <c r="C74" s="6">
        <v>45925.876493055555</v>
      </c>
      <c r="D74" s="2">
        <v>1.758834129E9</v>
      </c>
      <c r="E74" s="8" t="s">
        <v>1840</v>
      </c>
      <c r="F74" s="2" t="s">
        <v>1842</v>
      </c>
      <c r="G74" s="2" t="s">
        <v>1843</v>
      </c>
      <c r="H74" s="2" t="s">
        <v>1844</v>
      </c>
      <c r="I74" s="2" t="s">
        <v>1845</v>
      </c>
      <c r="J74" s="8" t="s">
        <v>1846</v>
      </c>
      <c r="K74" s="8" t="s">
        <v>1848</v>
      </c>
      <c r="L74" s="2" t="b">
        <v>0</v>
      </c>
      <c r="M74" s="2" t="s">
        <v>67</v>
      </c>
      <c r="N74" s="2" t="s">
        <v>64</v>
      </c>
      <c r="O74" s="2" t="s">
        <v>65</v>
      </c>
      <c r="P74" s="2">
        <v>0.0</v>
      </c>
      <c r="Q74" s="2">
        <v>7.0</v>
      </c>
      <c r="R74" s="2">
        <v>18.0</v>
      </c>
      <c r="S74" s="2">
        <v>0.0</v>
      </c>
      <c r="T74" s="2">
        <v>556.0</v>
      </c>
      <c r="U74" s="2" t="s">
        <v>65</v>
      </c>
      <c r="W74" s="2" t="s">
        <v>65</v>
      </c>
      <c r="AC74" s="2" t="s">
        <v>65</v>
      </c>
      <c r="AD74" s="2" t="s">
        <v>65</v>
      </c>
      <c r="AF74" s="2" t="s">
        <v>65</v>
      </c>
    </row>
    <row r="75" hidden="1">
      <c r="A75" s="2" t="s">
        <v>1203</v>
      </c>
      <c r="B75" s="2" t="s">
        <v>1203</v>
      </c>
      <c r="C75" s="6">
        <v>45955.537083333336</v>
      </c>
      <c r="D75" s="2">
        <v>1.761396804E9</v>
      </c>
      <c r="E75" s="8" t="s">
        <v>1204</v>
      </c>
      <c r="F75" s="2" t="s">
        <v>1205</v>
      </c>
      <c r="G75" s="2" t="s">
        <v>1206</v>
      </c>
      <c r="H75" s="2" t="s">
        <v>1207</v>
      </c>
      <c r="I75" s="2" t="s">
        <v>1208</v>
      </c>
      <c r="J75" s="8" t="s">
        <v>1209</v>
      </c>
      <c r="K75" s="8" t="s">
        <v>1213</v>
      </c>
      <c r="L75" s="2" t="b">
        <v>0</v>
      </c>
      <c r="M75" s="2" t="s">
        <v>66</v>
      </c>
      <c r="N75" s="2" t="s">
        <v>68</v>
      </c>
      <c r="O75" s="2" t="s">
        <v>65</v>
      </c>
      <c r="P75" s="2">
        <v>0.0</v>
      </c>
      <c r="Q75" s="2">
        <v>0.0</v>
      </c>
      <c r="R75" s="2">
        <v>0.0</v>
      </c>
      <c r="S75" s="2">
        <v>0.0</v>
      </c>
      <c r="T75" s="2">
        <v>34.0</v>
      </c>
      <c r="U75" s="2" t="s">
        <v>65</v>
      </c>
      <c r="W75" s="2" t="s">
        <v>65</v>
      </c>
      <c r="AC75" s="2" t="s">
        <v>65</v>
      </c>
      <c r="AD75" s="2" t="s">
        <v>65</v>
      </c>
      <c r="AF75" s="2" t="s">
        <v>65</v>
      </c>
    </row>
    <row r="76" hidden="1">
      <c r="A76" s="2" t="s">
        <v>1868</v>
      </c>
      <c r="B76" s="2" t="s">
        <v>1868</v>
      </c>
      <c r="C76" s="6">
        <v>45898.74783564815</v>
      </c>
      <c r="D76" s="2">
        <v>1.756490213E9</v>
      </c>
      <c r="E76" s="8" t="s">
        <v>1869</v>
      </c>
      <c r="F76" s="2" t="s">
        <v>1872</v>
      </c>
      <c r="G76" s="2" t="s">
        <v>1873</v>
      </c>
      <c r="H76" s="2" t="s">
        <v>1874</v>
      </c>
      <c r="I76" s="2" t="s">
        <v>1875</v>
      </c>
      <c r="J76" s="8" t="s">
        <v>1876</v>
      </c>
      <c r="K76" s="8" t="s">
        <v>1880</v>
      </c>
      <c r="L76" s="2" t="b">
        <v>0</v>
      </c>
      <c r="M76" s="2" t="s">
        <v>67</v>
      </c>
      <c r="N76" s="2" t="s">
        <v>68</v>
      </c>
      <c r="O76" s="2" t="s">
        <v>65</v>
      </c>
      <c r="P76" s="2">
        <v>1.0</v>
      </c>
      <c r="Q76" s="2">
        <v>2.0</v>
      </c>
      <c r="R76" s="2">
        <v>17.0</v>
      </c>
      <c r="S76" s="2">
        <v>1.0</v>
      </c>
      <c r="T76" s="2">
        <v>428.0</v>
      </c>
      <c r="U76" s="2" t="s">
        <v>65</v>
      </c>
      <c r="W76" s="2" t="s">
        <v>65</v>
      </c>
      <c r="AC76" s="2" t="s">
        <v>65</v>
      </c>
      <c r="AD76" s="2" t="s">
        <v>65</v>
      </c>
      <c r="AF76" s="2" t="s">
        <v>65</v>
      </c>
      <c r="AI76" s="8" t="s">
        <v>591</v>
      </c>
      <c r="AJ76" s="8" t="s">
        <v>605</v>
      </c>
    </row>
    <row r="77">
      <c r="A77" s="2" t="s">
        <v>1890</v>
      </c>
      <c r="B77" s="2" t="s">
        <v>1890</v>
      </c>
      <c r="C77" s="6">
        <v>45346.155069444445</v>
      </c>
      <c r="D77" s="2">
        <v>1.708746198E9</v>
      </c>
      <c r="E77" s="8" t="s">
        <v>1891</v>
      </c>
      <c r="F77" s="2" t="s">
        <v>1894</v>
      </c>
      <c r="G77" s="2" t="s">
        <v>1895</v>
      </c>
      <c r="H77" s="2" t="s">
        <v>1897</v>
      </c>
      <c r="I77" s="2">
        <v>7.9719455E8</v>
      </c>
      <c r="J77" s="8" t="s">
        <v>1898</v>
      </c>
      <c r="K77" s="8" t="s">
        <v>1904</v>
      </c>
      <c r="L77" s="2" t="b">
        <v>1</v>
      </c>
      <c r="M77" s="2" t="s">
        <v>85</v>
      </c>
      <c r="N77" s="2" t="s">
        <v>64</v>
      </c>
      <c r="O77" s="2" t="s">
        <v>65</v>
      </c>
      <c r="P77" s="2">
        <v>661.0</v>
      </c>
      <c r="Q77" s="2">
        <v>14.0</v>
      </c>
      <c r="R77" s="2">
        <v>1838.0</v>
      </c>
      <c r="S77" s="2">
        <v>24.0</v>
      </c>
      <c r="T77" s="2">
        <v>68322.0</v>
      </c>
      <c r="U77" s="2" t="s">
        <v>65</v>
      </c>
      <c r="W77" s="2" t="s">
        <v>65</v>
      </c>
      <c r="AC77" s="2" t="s">
        <v>65</v>
      </c>
      <c r="AD77" s="2" t="s">
        <v>65</v>
      </c>
      <c r="AF77" s="2" t="s">
        <v>65</v>
      </c>
    </row>
    <row r="78">
      <c r="A78" s="2" t="s">
        <v>1914</v>
      </c>
      <c r="B78" s="2" t="s">
        <v>1914</v>
      </c>
      <c r="C78" s="6">
        <v>45879.03125</v>
      </c>
      <c r="D78" s="2">
        <v>1.7547867E9</v>
      </c>
      <c r="E78" s="8" t="s">
        <v>1915</v>
      </c>
      <c r="F78" s="2" t="s">
        <v>1917</v>
      </c>
      <c r="G78" s="2" t="s">
        <v>864</v>
      </c>
      <c r="H78" s="2" t="s">
        <v>865</v>
      </c>
      <c r="I78" s="2">
        <v>2.825615947E9</v>
      </c>
      <c r="J78" s="8" t="s">
        <v>866</v>
      </c>
      <c r="K78" s="8" t="s">
        <v>870</v>
      </c>
      <c r="L78" s="2" t="b">
        <v>1</v>
      </c>
      <c r="M78" s="2" t="s">
        <v>66</v>
      </c>
      <c r="N78" s="2" t="s">
        <v>64</v>
      </c>
      <c r="O78" s="2" t="s">
        <v>65</v>
      </c>
      <c r="P78" s="2">
        <v>2.0</v>
      </c>
      <c r="Q78" s="2">
        <v>1.0</v>
      </c>
      <c r="R78" s="2">
        <v>10.0</v>
      </c>
      <c r="S78" s="2">
        <v>0.0</v>
      </c>
      <c r="T78" s="2">
        <v>333.0</v>
      </c>
      <c r="U78" s="2" t="s">
        <v>65</v>
      </c>
      <c r="W78" s="2" t="s">
        <v>65</v>
      </c>
      <c r="AC78" s="2" t="s">
        <v>65</v>
      </c>
      <c r="AD78" s="2" t="s">
        <v>65</v>
      </c>
      <c r="AF78" s="2" t="s">
        <v>65</v>
      </c>
      <c r="AG78" s="2" t="s">
        <v>1085</v>
      </c>
      <c r="AI78" s="8" t="s">
        <v>1919</v>
      </c>
      <c r="AJ78" s="8" t="s">
        <v>1922</v>
      </c>
    </row>
    <row r="79">
      <c r="A79" s="2" t="s">
        <v>1924</v>
      </c>
      <c r="B79" s="2" t="s">
        <v>1924</v>
      </c>
      <c r="C79" s="6">
        <v>45824.18736111111</v>
      </c>
      <c r="D79" s="2">
        <v>1.750048188E9</v>
      </c>
      <c r="E79" s="8" t="s">
        <v>1925</v>
      </c>
      <c r="F79" s="2" t="s">
        <v>1928</v>
      </c>
      <c r="G79" s="2" t="s">
        <v>864</v>
      </c>
      <c r="H79" s="2" t="s">
        <v>865</v>
      </c>
      <c r="I79" s="2">
        <v>2.825615947E9</v>
      </c>
      <c r="J79" s="8" t="s">
        <v>866</v>
      </c>
      <c r="K79" s="8" t="s">
        <v>870</v>
      </c>
      <c r="L79" s="2" t="b">
        <v>1</v>
      </c>
      <c r="M79" s="2" t="s">
        <v>66</v>
      </c>
      <c r="N79" s="2" t="s">
        <v>64</v>
      </c>
      <c r="O79" s="2" t="s">
        <v>65</v>
      </c>
      <c r="P79" s="2">
        <v>0.0</v>
      </c>
      <c r="Q79" s="2">
        <v>0.0</v>
      </c>
      <c r="R79" s="2">
        <v>18.0</v>
      </c>
      <c r="S79" s="2">
        <v>0.0</v>
      </c>
      <c r="T79" s="2">
        <v>335.0</v>
      </c>
      <c r="U79" s="2" t="s">
        <v>65</v>
      </c>
      <c r="W79" s="2" t="s">
        <v>65</v>
      </c>
      <c r="AC79" s="2" t="s">
        <v>65</v>
      </c>
      <c r="AD79" s="2" t="s">
        <v>65</v>
      </c>
      <c r="AF79" s="2" t="s">
        <v>65</v>
      </c>
      <c r="AG79" s="2" t="s">
        <v>1930</v>
      </c>
      <c r="AI79" s="8" t="s">
        <v>1931</v>
      </c>
      <c r="AJ79" s="8" t="s">
        <v>1936</v>
      </c>
    </row>
    <row r="80">
      <c r="A80" s="2" t="s">
        <v>1943</v>
      </c>
      <c r="B80" s="2" t="s">
        <v>1943</v>
      </c>
      <c r="C80" s="6">
        <v>45821.72583333333</v>
      </c>
      <c r="D80" s="2">
        <v>1.749835512E9</v>
      </c>
      <c r="E80" s="8" t="s">
        <v>1944</v>
      </c>
      <c r="F80" s="2" t="s">
        <v>1948</v>
      </c>
      <c r="G80" s="2" t="s">
        <v>864</v>
      </c>
      <c r="H80" s="2" t="s">
        <v>865</v>
      </c>
      <c r="I80" s="2">
        <v>2.825615947E9</v>
      </c>
      <c r="J80" s="8" t="s">
        <v>866</v>
      </c>
      <c r="K80" s="8" t="s">
        <v>870</v>
      </c>
      <c r="L80" s="2" t="b">
        <v>1</v>
      </c>
      <c r="M80" s="2" t="s">
        <v>67</v>
      </c>
      <c r="N80" s="2" t="s">
        <v>64</v>
      </c>
      <c r="O80" s="2" t="s">
        <v>65</v>
      </c>
      <c r="P80" s="2">
        <v>2.0</v>
      </c>
      <c r="Q80" s="2">
        <v>0.0</v>
      </c>
      <c r="R80" s="2">
        <v>19.0</v>
      </c>
      <c r="S80" s="2">
        <v>0.0</v>
      </c>
      <c r="T80" s="2">
        <v>339.0</v>
      </c>
      <c r="U80" s="2" t="s">
        <v>65</v>
      </c>
      <c r="W80" s="2" t="s">
        <v>65</v>
      </c>
      <c r="AC80" s="2" t="s">
        <v>65</v>
      </c>
      <c r="AD80" s="2" t="s">
        <v>65</v>
      </c>
      <c r="AF80" s="2" t="s">
        <v>65</v>
      </c>
      <c r="AG80" s="2" t="s">
        <v>1950</v>
      </c>
      <c r="AI80" s="8" t="s">
        <v>1951</v>
      </c>
      <c r="AL80" s="2" t="s">
        <v>1958</v>
      </c>
      <c r="AM80" s="2" t="s">
        <v>1959</v>
      </c>
    </row>
    <row r="81">
      <c r="A81" s="2" t="s">
        <v>1781</v>
      </c>
      <c r="B81" s="2" t="s">
        <v>1781</v>
      </c>
      <c r="C81" s="6">
        <v>45936.0337037037</v>
      </c>
      <c r="D81" s="2">
        <v>1.759711712E9</v>
      </c>
      <c r="E81" s="8" t="s">
        <v>1783</v>
      </c>
      <c r="F81" s="2" t="s">
        <v>1785</v>
      </c>
      <c r="G81" s="2" t="s">
        <v>1786</v>
      </c>
      <c r="H81" s="2" t="s">
        <v>1787</v>
      </c>
      <c r="I81" s="2">
        <v>1.54403438E8</v>
      </c>
      <c r="J81" s="8" t="s">
        <v>1789</v>
      </c>
      <c r="K81" s="8" t="s">
        <v>1793</v>
      </c>
      <c r="L81" s="2" t="b">
        <v>1</v>
      </c>
      <c r="M81" s="8" t="s">
        <v>1800</v>
      </c>
      <c r="N81" s="2" t="s">
        <v>64</v>
      </c>
      <c r="O81" s="2" t="s">
        <v>65</v>
      </c>
      <c r="P81" s="2">
        <v>0.0</v>
      </c>
      <c r="Q81" s="2">
        <v>0.0</v>
      </c>
      <c r="R81" s="2">
        <v>0.0</v>
      </c>
      <c r="S81" s="2">
        <v>0.0</v>
      </c>
      <c r="T81" s="2">
        <v>265.0</v>
      </c>
      <c r="U81" s="2" t="s">
        <v>65</v>
      </c>
      <c r="W81" s="2" t="s">
        <v>65</v>
      </c>
      <c r="AC81" s="2" t="s">
        <v>65</v>
      </c>
      <c r="AD81" s="2" t="s">
        <v>65</v>
      </c>
      <c r="AF81" s="2" t="s">
        <v>65</v>
      </c>
      <c r="AG81" s="2" t="s">
        <v>1807</v>
      </c>
      <c r="AI81" s="8" t="s">
        <v>1808</v>
      </c>
      <c r="AJ81" s="8" t="s">
        <v>1812</v>
      </c>
    </row>
    <row r="82">
      <c r="A82" s="2" t="s">
        <v>1970</v>
      </c>
      <c r="B82" s="2" t="s">
        <v>1970</v>
      </c>
      <c r="C82" s="6">
        <v>45743.86273148148</v>
      </c>
      <c r="D82" s="2">
        <v>1.74310814E9</v>
      </c>
      <c r="E82" s="8" t="s">
        <v>1971</v>
      </c>
      <c r="F82" s="2" t="s">
        <v>1974</v>
      </c>
      <c r="G82" s="2" t="s">
        <v>864</v>
      </c>
      <c r="H82" s="2" t="s">
        <v>865</v>
      </c>
      <c r="I82" s="2">
        <v>2.825615947E9</v>
      </c>
      <c r="J82" s="8" t="s">
        <v>866</v>
      </c>
      <c r="K82" s="8" t="s">
        <v>870</v>
      </c>
      <c r="L82" s="2" t="b">
        <v>1</v>
      </c>
      <c r="M82" s="2" t="s">
        <v>66</v>
      </c>
      <c r="N82" s="2" t="s">
        <v>64</v>
      </c>
      <c r="O82" s="2" t="s">
        <v>65</v>
      </c>
      <c r="P82" s="2">
        <v>5.0</v>
      </c>
      <c r="Q82" s="2">
        <v>0.0</v>
      </c>
      <c r="R82" s="2">
        <v>22.0</v>
      </c>
      <c r="S82" s="2">
        <v>0.0</v>
      </c>
      <c r="T82" s="2">
        <v>2990.0</v>
      </c>
      <c r="U82" s="2" t="s">
        <v>65</v>
      </c>
      <c r="W82" s="2" t="s">
        <v>65</v>
      </c>
      <c r="AC82" s="2" t="s">
        <v>65</v>
      </c>
      <c r="AD82" s="2" t="s">
        <v>65</v>
      </c>
      <c r="AF82" s="2" t="s">
        <v>65</v>
      </c>
      <c r="AG82" s="2" t="s">
        <v>1980</v>
      </c>
      <c r="AI82" s="8" t="s">
        <v>1981</v>
      </c>
      <c r="AJ82" s="8" t="s">
        <v>1983</v>
      </c>
    </row>
    <row r="83" hidden="1">
      <c r="A83" s="2" t="s">
        <v>1989</v>
      </c>
      <c r="B83" s="2" t="s">
        <v>1989</v>
      </c>
      <c r="C83" s="6">
        <v>45630.079039351855</v>
      </c>
      <c r="D83" s="2">
        <v>1.733277229E9</v>
      </c>
      <c r="E83" s="8" t="s">
        <v>1990</v>
      </c>
      <c r="F83" s="2" t="s">
        <v>1996</v>
      </c>
      <c r="G83" s="2" t="s">
        <v>1997</v>
      </c>
      <c r="H83" s="2" t="s">
        <v>1998</v>
      </c>
      <c r="I83" s="2">
        <v>4.2303963E7</v>
      </c>
      <c r="J83" s="8" t="s">
        <v>2001</v>
      </c>
      <c r="K83" s="8" t="s">
        <v>2006</v>
      </c>
      <c r="L83" s="2" t="b">
        <v>0</v>
      </c>
      <c r="M83" s="2" t="s">
        <v>67</v>
      </c>
      <c r="N83" s="2" t="s">
        <v>2012</v>
      </c>
      <c r="O83" s="2" t="s">
        <v>65</v>
      </c>
      <c r="P83" s="2">
        <v>0.0</v>
      </c>
      <c r="Q83" s="2">
        <v>0.0</v>
      </c>
      <c r="R83" s="2">
        <v>1.0</v>
      </c>
      <c r="S83" s="2">
        <v>0.0</v>
      </c>
      <c r="T83" s="2">
        <v>283.0</v>
      </c>
      <c r="U83" s="2" t="s">
        <v>65</v>
      </c>
      <c r="W83" s="2" t="s">
        <v>65</v>
      </c>
      <c r="AC83" s="2" t="s">
        <v>65</v>
      </c>
      <c r="AD83" s="2" t="s">
        <v>65</v>
      </c>
      <c r="AF83" s="2" t="s">
        <v>65</v>
      </c>
      <c r="AI83" s="8" t="s">
        <v>2014</v>
      </c>
    </row>
    <row r="84">
      <c r="A84" s="2" t="s">
        <v>2017</v>
      </c>
      <c r="B84" s="2" t="s">
        <v>2017</v>
      </c>
      <c r="C84" s="6">
        <v>45779.812627314815</v>
      </c>
      <c r="D84" s="2">
        <v>1.746214211E9</v>
      </c>
      <c r="E84" s="8" t="s">
        <v>2019</v>
      </c>
      <c r="F84" s="2" t="s">
        <v>2022</v>
      </c>
      <c r="G84" s="2" t="s">
        <v>864</v>
      </c>
      <c r="H84" s="2" t="s">
        <v>865</v>
      </c>
      <c r="I84" s="2">
        <v>2.825615947E9</v>
      </c>
      <c r="J84" s="8" t="s">
        <v>866</v>
      </c>
      <c r="K84" s="8" t="s">
        <v>870</v>
      </c>
      <c r="L84" s="2" t="b">
        <v>1</v>
      </c>
      <c r="M84" s="2" t="s">
        <v>1116</v>
      </c>
      <c r="N84" s="2" t="s">
        <v>64</v>
      </c>
      <c r="O84" s="2" t="s">
        <v>65</v>
      </c>
      <c r="P84" s="2">
        <v>1.0</v>
      </c>
      <c r="Q84" s="2">
        <v>1.0</v>
      </c>
      <c r="R84" s="2">
        <v>4.0</v>
      </c>
      <c r="S84" s="2">
        <v>0.0</v>
      </c>
      <c r="T84" s="2">
        <v>175.0</v>
      </c>
      <c r="U84" s="2" t="s">
        <v>65</v>
      </c>
      <c r="W84" s="2" t="s">
        <v>65</v>
      </c>
      <c r="AC84" s="2" t="s">
        <v>65</v>
      </c>
      <c r="AD84" s="2" t="s">
        <v>65</v>
      </c>
      <c r="AF84" s="2" t="s">
        <v>65</v>
      </c>
      <c r="AH84" s="8" t="s">
        <v>2023</v>
      </c>
    </row>
    <row r="85" hidden="1">
      <c r="A85" s="2" t="s">
        <v>1142</v>
      </c>
      <c r="B85" s="2" t="s">
        <v>1142</v>
      </c>
      <c r="C85" s="6">
        <v>45957.5434375</v>
      </c>
      <c r="D85" s="2">
        <v>1.761570153E9</v>
      </c>
      <c r="E85" s="8" t="s">
        <v>1143</v>
      </c>
      <c r="F85" s="2" t="s">
        <v>1149</v>
      </c>
      <c r="G85" s="2" t="s">
        <v>1150</v>
      </c>
      <c r="H85" s="2" t="s">
        <v>1151</v>
      </c>
      <c r="I85" s="2" t="s">
        <v>1152</v>
      </c>
      <c r="J85" s="8" t="s">
        <v>1153</v>
      </c>
      <c r="L85" s="2" t="b">
        <v>0</v>
      </c>
      <c r="M85" s="2" t="s">
        <v>85</v>
      </c>
      <c r="N85" s="2" t="s">
        <v>68</v>
      </c>
      <c r="O85" s="2" t="s">
        <v>65</v>
      </c>
      <c r="P85" s="2">
        <v>0.0</v>
      </c>
      <c r="Q85" s="2">
        <v>0.0</v>
      </c>
      <c r="R85" s="2">
        <v>0.0</v>
      </c>
      <c r="S85" s="2">
        <v>0.0</v>
      </c>
      <c r="T85" s="2">
        <v>14.0</v>
      </c>
      <c r="U85" s="2" t="s">
        <v>65</v>
      </c>
      <c r="W85" s="2" t="s">
        <v>65</v>
      </c>
      <c r="AC85" s="2" t="s">
        <v>65</v>
      </c>
      <c r="AD85" s="2" t="s">
        <v>65</v>
      </c>
      <c r="AF85" s="2" t="s">
        <v>65</v>
      </c>
    </row>
    <row r="86">
      <c r="A86" s="2" t="s">
        <v>2030</v>
      </c>
      <c r="B86" s="2" t="s">
        <v>2030</v>
      </c>
      <c r="C86" s="6">
        <v>45567.33662037037</v>
      </c>
      <c r="D86" s="2">
        <v>1.727856284E9</v>
      </c>
      <c r="E86" s="8" t="s">
        <v>2031</v>
      </c>
      <c r="F86" s="2" t="s">
        <v>2034</v>
      </c>
      <c r="G86" s="2" t="s">
        <v>1624</v>
      </c>
      <c r="H86" s="2" t="s">
        <v>1625</v>
      </c>
      <c r="I86" s="2">
        <v>2.961937221E9</v>
      </c>
      <c r="J86" s="8" t="s">
        <v>1626</v>
      </c>
      <c r="K86" s="8" t="s">
        <v>1628</v>
      </c>
      <c r="L86" s="2" t="b">
        <v>0</v>
      </c>
      <c r="M86" s="2" t="s">
        <v>66</v>
      </c>
      <c r="N86" s="2" t="s">
        <v>64</v>
      </c>
      <c r="O86" s="2" t="s">
        <v>65</v>
      </c>
      <c r="P86" s="2">
        <v>5.0</v>
      </c>
      <c r="Q86" s="2">
        <v>2.0</v>
      </c>
      <c r="R86" s="2">
        <v>7.0</v>
      </c>
      <c r="S86" s="2">
        <v>0.0</v>
      </c>
      <c r="T86" s="2">
        <v>340.0</v>
      </c>
      <c r="U86" s="2" t="s">
        <v>65</v>
      </c>
      <c r="W86" s="2" t="s">
        <v>65</v>
      </c>
      <c r="AC86" s="2" t="s">
        <v>65</v>
      </c>
      <c r="AD86" s="2" t="s">
        <v>65</v>
      </c>
      <c r="AF86" s="2" t="s">
        <v>65</v>
      </c>
      <c r="AG86" s="2" t="s">
        <v>1582</v>
      </c>
      <c r="AH86" s="8" t="s">
        <v>2042</v>
      </c>
      <c r="AI86" s="8" t="s">
        <v>2046</v>
      </c>
    </row>
    <row r="87">
      <c r="A87" s="2" t="s">
        <v>2049</v>
      </c>
      <c r="B87" s="2" t="s">
        <v>2049</v>
      </c>
      <c r="C87" s="6">
        <v>45835.82472222222</v>
      </c>
      <c r="D87" s="2">
        <v>1.751053656E9</v>
      </c>
      <c r="E87" s="8" t="s">
        <v>2053</v>
      </c>
      <c r="F87" s="2" t="s">
        <v>2075</v>
      </c>
      <c r="G87" s="2" t="s">
        <v>864</v>
      </c>
      <c r="H87" s="2" t="s">
        <v>865</v>
      </c>
      <c r="I87" s="2">
        <v>2.825615947E9</v>
      </c>
      <c r="J87" s="8" t="s">
        <v>866</v>
      </c>
      <c r="K87" s="8" t="s">
        <v>870</v>
      </c>
      <c r="L87" s="2" t="b">
        <v>1</v>
      </c>
      <c r="M87" s="2" t="s">
        <v>1116</v>
      </c>
      <c r="N87" s="2" t="s">
        <v>64</v>
      </c>
      <c r="O87" s="2" t="s">
        <v>65</v>
      </c>
      <c r="P87" s="2">
        <v>1.0</v>
      </c>
      <c r="Q87" s="2">
        <v>0.0</v>
      </c>
      <c r="R87" s="2">
        <v>0.0</v>
      </c>
      <c r="S87" s="2">
        <v>0.0</v>
      </c>
      <c r="T87" s="2">
        <v>138.0</v>
      </c>
      <c r="U87" s="2" t="s">
        <v>65</v>
      </c>
      <c r="W87" s="2" t="s">
        <v>65</v>
      </c>
      <c r="AC87" s="2" t="s">
        <v>65</v>
      </c>
      <c r="AD87" s="2" t="s">
        <v>65</v>
      </c>
      <c r="AF87" s="2" t="s">
        <v>65</v>
      </c>
      <c r="AH87" s="8" t="s">
        <v>2083</v>
      </c>
    </row>
    <row r="88">
      <c r="A88" s="2" t="s">
        <v>2087</v>
      </c>
      <c r="B88" s="2" t="s">
        <v>2087</v>
      </c>
      <c r="C88" s="6">
        <v>45855.23587962963</v>
      </c>
      <c r="D88" s="2">
        <v>1.75273078E9</v>
      </c>
      <c r="E88" s="8" t="s">
        <v>2092</v>
      </c>
      <c r="F88" s="2" t="s">
        <v>2094</v>
      </c>
      <c r="G88" s="2" t="s">
        <v>864</v>
      </c>
      <c r="H88" s="2" t="s">
        <v>865</v>
      </c>
      <c r="I88" s="2">
        <v>2.825615947E9</v>
      </c>
      <c r="J88" s="8" t="s">
        <v>866</v>
      </c>
      <c r="K88" s="8" t="s">
        <v>870</v>
      </c>
      <c r="L88" s="2" t="b">
        <v>1</v>
      </c>
      <c r="M88" s="2" t="s">
        <v>66</v>
      </c>
      <c r="N88" s="2" t="s">
        <v>64</v>
      </c>
      <c r="O88" s="2" t="s">
        <v>65</v>
      </c>
      <c r="P88" s="2">
        <v>0.0</v>
      </c>
      <c r="Q88" s="2">
        <v>0.0</v>
      </c>
      <c r="R88" s="2">
        <v>5.0</v>
      </c>
      <c r="S88" s="2">
        <v>0.0</v>
      </c>
      <c r="T88" s="2">
        <v>143.0</v>
      </c>
      <c r="U88" s="2" t="s">
        <v>65</v>
      </c>
      <c r="W88" s="2" t="s">
        <v>65</v>
      </c>
      <c r="AC88" s="2" t="s">
        <v>65</v>
      </c>
      <c r="AD88" s="2" t="s">
        <v>65</v>
      </c>
      <c r="AF88" s="2" t="s">
        <v>65</v>
      </c>
      <c r="AG88" s="2" t="s">
        <v>1930</v>
      </c>
      <c r="AI88" s="8" t="s">
        <v>2097</v>
      </c>
      <c r="AJ88" s="8" t="s">
        <v>2107</v>
      </c>
    </row>
    <row r="89">
      <c r="A89" s="2" t="s">
        <v>2113</v>
      </c>
      <c r="B89" s="2" t="s">
        <v>2113</v>
      </c>
      <c r="C89" s="6">
        <v>45879.064097222225</v>
      </c>
      <c r="D89" s="2">
        <v>1.754789538E9</v>
      </c>
      <c r="E89" s="8" t="s">
        <v>2117</v>
      </c>
      <c r="F89" s="2" t="s">
        <v>2129</v>
      </c>
      <c r="G89" s="2" t="s">
        <v>864</v>
      </c>
      <c r="H89" s="2" t="s">
        <v>865</v>
      </c>
      <c r="I89" s="2">
        <v>2.825615947E9</v>
      </c>
      <c r="J89" s="8" t="s">
        <v>866</v>
      </c>
      <c r="K89" s="8" t="s">
        <v>870</v>
      </c>
      <c r="L89" s="2" t="b">
        <v>1</v>
      </c>
      <c r="M89" s="2" t="s">
        <v>66</v>
      </c>
      <c r="N89" s="2" t="s">
        <v>64</v>
      </c>
      <c r="O89" s="2" t="s">
        <v>65</v>
      </c>
      <c r="P89" s="2">
        <v>1.0</v>
      </c>
      <c r="Q89" s="2">
        <v>1.0</v>
      </c>
      <c r="R89" s="2">
        <v>14.0</v>
      </c>
      <c r="S89" s="2">
        <v>0.0</v>
      </c>
      <c r="T89" s="2">
        <v>480.0</v>
      </c>
      <c r="U89" s="2" t="s">
        <v>65</v>
      </c>
      <c r="W89" s="2" t="s">
        <v>65</v>
      </c>
      <c r="AC89" s="2" t="s">
        <v>65</v>
      </c>
      <c r="AD89" s="2" t="s">
        <v>65</v>
      </c>
      <c r="AF89" s="2" t="s">
        <v>65</v>
      </c>
      <c r="AG89" s="2" t="s">
        <v>2136</v>
      </c>
      <c r="AI89" s="8" t="s">
        <v>2137</v>
      </c>
      <c r="AJ89" s="8" t="s">
        <v>2142</v>
      </c>
    </row>
    <row r="90">
      <c r="A90" s="2" t="s">
        <v>2152</v>
      </c>
      <c r="B90" s="2" t="s">
        <v>2153</v>
      </c>
      <c r="C90" s="6">
        <v>45969.912881944445</v>
      </c>
      <c r="D90" s="2">
        <v>1.762638873E9</v>
      </c>
      <c r="E90" s="8" t="s">
        <v>2154</v>
      </c>
      <c r="F90" s="2" t="s">
        <v>2161</v>
      </c>
      <c r="G90" s="2" t="s">
        <v>2162</v>
      </c>
      <c r="H90" s="2" t="s">
        <v>2163</v>
      </c>
      <c r="I90" s="2" t="s">
        <v>2164</v>
      </c>
      <c r="J90" s="8" t="s">
        <v>2165</v>
      </c>
      <c r="K90" s="8" t="s">
        <v>2169</v>
      </c>
      <c r="L90" s="2" t="b">
        <v>0</v>
      </c>
      <c r="M90" s="2" t="s">
        <v>67</v>
      </c>
      <c r="N90" s="2" t="s">
        <v>64</v>
      </c>
      <c r="O90" s="2" t="s">
        <v>65</v>
      </c>
      <c r="P90" s="2">
        <v>0.0</v>
      </c>
      <c r="Q90" s="2">
        <v>1.0</v>
      </c>
      <c r="R90" s="2">
        <v>3.0</v>
      </c>
      <c r="S90" s="2">
        <v>0.0</v>
      </c>
      <c r="T90" s="2">
        <v>173.0</v>
      </c>
      <c r="U90" s="2" t="s">
        <v>65</v>
      </c>
      <c r="W90" s="2" t="s">
        <v>65</v>
      </c>
      <c r="AC90" s="2" t="s">
        <v>65</v>
      </c>
      <c r="AD90" s="2" t="s">
        <v>71</v>
      </c>
      <c r="AE90" s="2" t="s">
        <v>2173</v>
      </c>
      <c r="AF90" s="2" t="s">
        <v>65</v>
      </c>
      <c r="AI90" s="8" t="s">
        <v>2174</v>
      </c>
      <c r="AK90" s="2" t="s">
        <v>2180</v>
      </c>
    </row>
    <row r="91">
      <c r="A91" s="2" t="s">
        <v>2181</v>
      </c>
      <c r="B91" s="2" t="s">
        <v>2181</v>
      </c>
      <c r="C91" s="6">
        <v>45898.62090277778</v>
      </c>
      <c r="D91" s="2">
        <v>1.756479246E9</v>
      </c>
      <c r="E91" s="8" t="s">
        <v>2183</v>
      </c>
      <c r="F91" s="2" t="s">
        <v>2184</v>
      </c>
      <c r="G91" s="2" t="s">
        <v>2185</v>
      </c>
      <c r="H91" s="2" t="s">
        <v>2187</v>
      </c>
      <c r="I91" s="2">
        <v>3.528171918E9</v>
      </c>
      <c r="J91" s="8" t="s">
        <v>2188</v>
      </c>
      <c r="K91" s="8" t="s">
        <v>2191</v>
      </c>
      <c r="L91" s="2" t="b">
        <v>0</v>
      </c>
      <c r="M91" s="2" t="s">
        <v>67</v>
      </c>
      <c r="N91" s="2" t="s">
        <v>64</v>
      </c>
      <c r="O91" s="2" t="s">
        <v>65</v>
      </c>
      <c r="P91" s="2">
        <v>50.0</v>
      </c>
      <c r="Q91" s="2">
        <v>7.0</v>
      </c>
      <c r="R91" s="2">
        <v>428.0</v>
      </c>
      <c r="S91" s="2">
        <v>6.0</v>
      </c>
      <c r="T91" s="2">
        <v>8505.0</v>
      </c>
      <c r="U91" s="2" t="s">
        <v>65</v>
      </c>
      <c r="W91" s="2" t="s">
        <v>65</v>
      </c>
      <c r="AC91" s="2" t="s">
        <v>65</v>
      </c>
      <c r="AD91" s="2" t="s">
        <v>65</v>
      </c>
      <c r="AF91" s="2" t="s">
        <v>65</v>
      </c>
      <c r="AI91" s="8" t="s">
        <v>591</v>
      </c>
      <c r="AJ91" s="8" t="s">
        <v>605</v>
      </c>
    </row>
    <row r="92">
      <c r="A92" s="2" t="s">
        <v>2200</v>
      </c>
      <c r="B92" s="2" t="s">
        <v>2200</v>
      </c>
      <c r="C92" s="6">
        <v>45763.14334490741</v>
      </c>
      <c r="D92" s="2">
        <v>1.744773985E9</v>
      </c>
      <c r="E92" s="8" t="s">
        <v>2202</v>
      </c>
      <c r="F92" s="2" t="s">
        <v>2206</v>
      </c>
      <c r="G92" s="2" t="s">
        <v>2207</v>
      </c>
      <c r="H92" s="2" t="s">
        <v>2208</v>
      </c>
      <c r="I92" s="2">
        <v>5.30927395E8</v>
      </c>
      <c r="J92" s="8" t="s">
        <v>2209</v>
      </c>
      <c r="L92" s="2" t="b">
        <v>0</v>
      </c>
      <c r="M92" s="2" t="s">
        <v>67</v>
      </c>
      <c r="N92" s="2" t="s">
        <v>64</v>
      </c>
      <c r="O92" s="2" t="s">
        <v>65</v>
      </c>
      <c r="P92" s="2">
        <v>0.0</v>
      </c>
      <c r="Q92" s="2">
        <v>0.0</v>
      </c>
      <c r="R92" s="2">
        <v>0.0</v>
      </c>
      <c r="S92" s="2">
        <v>0.0</v>
      </c>
      <c r="T92" s="2">
        <v>23.0</v>
      </c>
      <c r="U92" s="2" t="s">
        <v>65</v>
      </c>
      <c r="W92" s="2" t="s">
        <v>65</v>
      </c>
      <c r="AC92" s="2" t="s">
        <v>65</v>
      </c>
      <c r="AD92" s="2" t="s">
        <v>65</v>
      </c>
      <c r="AF92" s="2" t="s">
        <v>65</v>
      </c>
    </row>
    <row r="93">
      <c r="A93" s="2" t="s">
        <v>2212</v>
      </c>
      <c r="B93" s="2" t="s">
        <v>2212</v>
      </c>
      <c r="C93" s="6">
        <v>45690.760150462964</v>
      </c>
      <c r="D93" s="2">
        <v>1.738520077E9</v>
      </c>
      <c r="E93" s="8" t="s">
        <v>2213</v>
      </c>
      <c r="F93" s="2" t="s">
        <v>2216</v>
      </c>
      <c r="G93" s="2" t="s">
        <v>2217</v>
      </c>
      <c r="H93" s="2" t="s">
        <v>2218</v>
      </c>
      <c r="I93" s="2" t="s">
        <v>2219</v>
      </c>
      <c r="J93" s="8" t="s">
        <v>2220</v>
      </c>
      <c r="K93" s="8" t="s">
        <v>2222</v>
      </c>
      <c r="L93" s="2" t="b">
        <v>0</v>
      </c>
      <c r="M93" s="2" t="s">
        <v>66</v>
      </c>
      <c r="N93" s="2" t="s">
        <v>64</v>
      </c>
      <c r="O93" s="2" t="s">
        <v>65</v>
      </c>
      <c r="P93" s="2">
        <v>0.0</v>
      </c>
      <c r="Q93" s="2">
        <v>0.0</v>
      </c>
      <c r="R93" s="2">
        <v>0.0</v>
      </c>
      <c r="S93" s="2">
        <v>0.0</v>
      </c>
      <c r="T93" s="2">
        <v>27.0</v>
      </c>
      <c r="U93" s="2" t="s">
        <v>65</v>
      </c>
      <c r="W93" s="2" t="s">
        <v>65</v>
      </c>
      <c r="AC93" s="2" t="s">
        <v>65</v>
      </c>
      <c r="AD93" s="2" t="s">
        <v>65</v>
      </c>
      <c r="AF93" s="2" t="s">
        <v>65</v>
      </c>
    </row>
    <row r="94" hidden="1">
      <c r="A94" s="2" t="s">
        <v>2226</v>
      </c>
      <c r="B94" s="2" t="s">
        <v>2226</v>
      </c>
      <c r="C94" s="6">
        <v>45972.97201388889</v>
      </c>
      <c r="D94" s="2">
        <v>1.762903182E9</v>
      </c>
      <c r="E94" s="8" t="s">
        <v>2227</v>
      </c>
      <c r="F94" s="2" t="s">
        <v>2235</v>
      </c>
      <c r="G94" s="2" t="s">
        <v>2236</v>
      </c>
      <c r="H94" s="2" t="s">
        <v>2237</v>
      </c>
      <c r="I94" s="2" t="s">
        <v>2238</v>
      </c>
      <c r="J94" s="8" t="s">
        <v>2239</v>
      </c>
      <c r="K94" s="8" t="s">
        <v>2242</v>
      </c>
      <c r="L94" s="2" t="b">
        <v>0</v>
      </c>
      <c r="M94" s="2" t="s">
        <v>85</v>
      </c>
      <c r="N94" s="2" t="s">
        <v>68</v>
      </c>
      <c r="O94" s="2" t="s">
        <v>65</v>
      </c>
      <c r="P94" s="2">
        <v>0.0</v>
      </c>
      <c r="Q94" s="2">
        <v>1.0</v>
      </c>
      <c r="R94" s="2">
        <v>3.0</v>
      </c>
      <c r="S94" s="2">
        <v>0.0</v>
      </c>
      <c r="T94" s="2">
        <v>92.0</v>
      </c>
      <c r="U94" s="2" t="s">
        <v>65</v>
      </c>
      <c r="W94" s="2" t="s">
        <v>65</v>
      </c>
      <c r="AC94" s="2" t="s">
        <v>65</v>
      </c>
      <c r="AD94" s="2" t="s">
        <v>65</v>
      </c>
      <c r="AF94" s="2" t="s">
        <v>65</v>
      </c>
    </row>
    <row r="95" hidden="1">
      <c r="A95" s="2" t="s">
        <v>2252</v>
      </c>
      <c r="B95" s="2" t="s">
        <v>2252</v>
      </c>
      <c r="C95" s="6">
        <v>45871.765173611115</v>
      </c>
      <c r="D95" s="2">
        <v>1.754158911E9</v>
      </c>
      <c r="E95" s="8" t="s">
        <v>2257</v>
      </c>
      <c r="F95" s="2" t="s">
        <v>2260</v>
      </c>
      <c r="G95" s="2" t="s">
        <v>2261</v>
      </c>
      <c r="H95" s="2" t="s">
        <v>2263</v>
      </c>
      <c r="I95" s="2" t="s">
        <v>2265</v>
      </c>
      <c r="J95" s="8" t="s">
        <v>2267</v>
      </c>
      <c r="K95" s="8" t="s">
        <v>2271</v>
      </c>
      <c r="L95" s="2" t="b">
        <v>0</v>
      </c>
      <c r="M95" s="2" t="s">
        <v>85</v>
      </c>
      <c r="N95" s="2" t="s">
        <v>68</v>
      </c>
      <c r="O95" s="2" t="s">
        <v>65</v>
      </c>
      <c r="P95" s="2">
        <v>0.0</v>
      </c>
      <c r="Q95" s="2">
        <v>0.0</v>
      </c>
      <c r="R95" s="2">
        <v>0.0</v>
      </c>
      <c r="S95" s="2">
        <v>0.0</v>
      </c>
      <c r="T95" s="2">
        <v>22.0</v>
      </c>
      <c r="U95" s="2" t="s">
        <v>65</v>
      </c>
      <c r="W95" s="2" t="s">
        <v>65</v>
      </c>
      <c r="AC95" s="2" t="s">
        <v>65</v>
      </c>
      <c r="AD95" s="2" t="s">
        <v>65</v>
      </c>
      <c r="AF95" s="2" t="s">
        <v>65</v>
      </c>
    </row>
    <row r="96">
      <c r="A96" s="2" t="s">
        <v>2275</v>
      </c>
      <c r="B96" s="2" t="s">
        <v>2275</v>
      </c>
      <c r="C96" s="6">
        <v>45814.071180555555</v>
      </c>
      <c r="D96" s="2">
        <v>1.74917415E9</v>
      </c>
      <c r="E96" s="8" t="s">
        <v>2277</v>
      </c>
      <c r="F96" s="2" t="s">
        <v>2285</v>
      </c>
      <c r="G96" s="2" t="s">
        <v>2286</v>
      </c>
      <c r="H96" s="2" t="s">
        <v>2287</v>
      </c>
      <c r="I96" s="2">
        <v>2.492501816E9</v>
      </c>
      <c r="J96" s="8" t="s">
        <v>2288</v>
      </c>
      <c r="K96" s="8" t="s">
        <v>2299</v>
      </c>
      <c r="L96" s="2" t="b">
        <v>1</v>
      </c>
      <c r="M96" s="2" t="s">
        <v>66</v>
      </c>
      <c r="N96" s="2" t="s">
        <v>64</v>
      </c>
      <c r="O96" s="2" t="s">
        <v>65</v>
      </c>
      <c r="P96" s="2">
        <v>184.0</v>
      </c>
      <c r="Q96" s="2">
        <v>7.0</v>
      </c>
      <c r="R96" s="2">
        <v>340.0</v>
      </c>
      <c r="S96" s="2">
        <v>6.0</v>
      </c>
      <c r="T96" s="2">
        <v>16068.0</v>
      </c>
      <c r="U96" s="2" t="s">
        <v>65</v>
      </c>
      <c r="W96" s="2" t="s">
        <v>65</v>
      </c>
      <c r="AC96" s="2" t="s">
        <v>65</v>
      </c>
      <c r="AD96" s="2" t="s">
        <v>65</v>
      </c>
      <c r="AF96" s="2" t="s">
        <v>65</v>
      </c>
      <c r="AI96" s="8" t="s">
        <v>2306</v>
      </c>
    </row>
    <row r="97">
      <c r="A97" s="2" t="s">
        <v>2309</v>
      </c>
      <c r="B97" s="2" t="s">
        <v>2309</v>
      </c>
      <c r="C97" s="6">
        <v>45848.823912037034</v>
      </c>
      <c r="D97" s="2">
        <v>1.752176786E9</v>
      </c>
      <c r="E97" s="8" t="s">
        <v>2311</v>
      </c>
      <c r="F97" s="2" t="s">
        <v>2317</v>
      </c>
      <c r="G97" s="2" t="s">
        <v>864</v>
      </c>
      <c r="H97" s="2" t="s">
        <v>865</v>
      </c>
      <c r="I97" s="2">
        <v>2.825615947E9</v>
      </c>
      <c r="J97" s="8" t="s">
        <v>866</v>
      </c>
      <c r="K97" s="8" t="s">
        <v>870</v>
      </c>
      <c r="L97" s="2" t="b">
        <v>1</v>
      </c>
      <c r="M97" s="2" t="s">
        <v>66</v>
      </c>
      <c r="N97" s="2" t="s">
        <v>64</v>
      </c>
      <c r="O97" s="2" t="s">
        <v>65</v>
      </c>
      <c r="P97" s="2">
        <v>0.0</v>
      </c>
      <c r="Q97" s="2">
        <v>0.0</v>
      </c>
      <c r="R97" s="2">
        <v>0.0</v>
      </c>
      <c r="S97" s="2">
        <v>0.0</v>
      </c>
      <c r="T97" s="2">
        <v>103.0</v>
      </c>
      <c r="U97" s="2" t="s">
        <v>65</v>
      </c>
      <c r="W97" s="2" t="s">
        <v>65</v>
      </c>
      <c r="AC97" s="2" t="s">
        <v>65</v>
      </c>
      <c r="AD97" s="2" t="s">
        <v>65</v>
      </c>
      <c r="AF97" s="2" t="s">
        <v>65</v>
      </c>
      <c r="AG97" s="2" t="s">
        <v>880</v>
      </c>
      <c r="AI97" s="8" t="s">
        <v>2319</v>
      </c>
      <c r="AJ97" s="8" t="s">
        <v>2322</v>
      </c>
    </row>
    <row r="98">
      <c r="A98" s="2" t="s">
        <v>2333</v>
      </c>
      <c r="B98" s="2" t="s">
        <v>2333</v>
      </c>
      <c r="C98" s="6">
        <v>45848.807118055556</v>
      </c>
      <c r="D98" s="2">
        <v>1.752175335E9</v>
      </c>
      <c r="E98" s="8" t="s">
        <v>2335</v>
      </c>
      <c r="F98" s="2" t="s">
        <v>2336</v>
      </c>
      <c r="G98" s="2" t="s">
        <v>864</v>
      </c>
      <c r="H98" s="2" t="s">
        <v>865</v>
      </c>
      <c r="I98" s="2">
        <v>2.825615947E9</v>
      </c>
      <c r="J98" s="8" t="s">
        <v>866</v>
      </c>
      <c r="K98" s="8" t="s">
        <v>870</v>
      </c>
      <c r="L98" s="2" t="b">
        <v>1</v>
      </c>
      <c r="M98" s="2" t="s">
        <v>66</v>
      </c>
      <c r="N98" s="2" t="s">
        <v>64</v>
      </c>
      <c r="O98" s="2" t="s">
        <v>65</v>
      </c>
      <c r="P98" s="2">
        <v>0.0</v>
      </c>
      <c r="Q98" s="2">
        <v>0.0</v>
      </c>
      <c r="R98" s="2">
        <v>1.0</v>
      </c>
      <c r="S98" s="2">
        <v>0.0</v>
      </c>
      <c r="T98" s="2">
        <v>110.0</v>
      </c>
      <c r="U98" s="2" t="s">
        <v>65</v>
      </c>
      <c r="W98" s="2" t="s">
        <v>65</v>
      </c>
      <c r="AC98" s="2" t="s">
        <v>65</v>
      </c>
      <c r="AD98" s="2" t="s">
        <v>65</v>
      </c>
      <c r="AF98" s="2" t="s">
        <v>65</v>
      </c>
      <c r="AG98" s="2" t="s">
        <v>880</v>
      </c>
      <c r="AI98" s="8" t="s">
        <v>2339</v>
      </c>
      <c r="AJ98" s="8" t="s">
        <v>2343</v>
      </c>
    </row>
    <row r="99">
      <c r="A99" s="2" t="s">
        <v>2352</v>
      </c>
      <c r="B99" s="2" t="s">
        <v>2352</v>
      </c>
      <c r="C99" s="6">
        <v>45752.13605324074</v>
      </c>
      <c r="D99" s="2">
        <v>1.743822955E9</v>
      </c>
      <c r="E99" s="8" t="s">
        <v>2353</v>
      </c>
      <c r="F99" s="2" t="s">
        <v>2356</v>
      </c>
      <c r="G99" s="2" t="s">
        <v>1003</v>
      </c>
      <c r="H99" s="2" t="s">
        <v>1005</v>
      </c>
      <c r="I99" s="2">
        <v>9.6588996E7</v>
      </c>
      <c r="J99" s="8" t="s">
        <v>1006</v>
      </c>
      <c r="K99" s="8" t="s">
        <v>1009</v>
      </c>
      <c r="L99" s="2" t="b">
        <v>0</v>
      </c>
      <c r="M99" s="2" t="s">
        <v>85</v>
      </c>
      <c r="N99" s="2" t="s">
        <v>64</v>
      </c>
      <c r="O99" s="2" t="s">
        <v>65</v>
      </c>
      <c r="P99" s="2">
        <v>7.0</v>
      </c>
      <c r="Q99" s="2">
        <v>8.0</v>
      </c>
      <c r="R99" s="2">
        <v>91.0</v>
      </c>
      <c r="S99" s="2">
        <v>0.0</v>
      </c>
      <c r="T99" s="2">
        <v>4806.0</v>
      </c>
      <c r="U99" s="2" t="s">
        <v>65</v>
      </c>
      <c r="W99" s="2" t="s">
        <v>65</v>
      </c>
      <c r="AC99" s="2" t="s">
        <v>65</v>
      </c>
      <c r="AD99" s="2" t="s">
        <v>65</v>
      </c>
      <c r="AF99" s="2" t="s">
        <v>65</v>
      </c>
    </row>
    <row r="100" hidden="1">
      <c r="A100" s="2" t="s">
        <v>2362</v>
      </c>
      <c r="B100" s="2" t="s">
        <v>2362</v>
      </c>
      <c r="C100" s="6">
        <v>45973.51074074074</v>
      </c>
      <c r="D100" s="2">
        <v>1.762949728E9</v>
      </c>
      <c r="E100" s="8" t="s">
        <v>2363</v>
      </c>
      <c r="F100" s="2" t="s">
        <v>2366</v>
      </c>
      <c r="G100" s="2" t="s">
        <v>2367</v>
      </c>
      <c r="H100" s="2" t="s">
        <v>2368</v>
      </c>
      <c r="I100" s="2" t="s">
        <v>2369</v>
      </c>
      <c r="J100" s="8" t="s">
        <v>2370</v>
      </c>
      <c r="K100" s="8" t="s">
        <v>2372</v>
      </c>
      <c r="L100" s="2" t="b">
        <v>0</v>
      </c>
      <c r="M100" s="2" t="s">
        <v>85</v>
      </c>
      <c r="N100" s="2" t="s">
        <v>68</v>
      </c>
      <c r="O100" s="2" t="s">
        <v>65</v>
      </c>
      <c r="P100" s="2">
        <v>0.0</v>
      </c>
      <c r="Q100" s="2">
        <v>2.0</v>
      </c>
      <c r="R100" s="2">
        <v>2.0</v>
      </c>
      <c r="S100" s="2">
        <v>0.0</v>
      </c>
      <c r="T100" s="2">
        <v>82.0</v>
      </c>
      <c r="U100" s="2" t="s">
        <v>65</v>
      </c>
      <c r="W100" s="2" t="s">
        <v>65</v>
      </c>
      <c r="AC100" s="2" t="s">
        <v>65</v>
      </c>
      <c r="AD100" s="2" t="s">
        <v>65</v>
      </c>
      <c r="AF100" s="2" t="s">
        <v>65</v>
      </c>
    </row>
    <row r="101">
      <c r="A101" s="2" t="s">
        <v>2381</v>
      </c>
      <c r="B101" s="2" t="s">
        <v>2381</v>
      </c>
      <c r="C101" s="6">
        <v>44748.05633101852</v>
      </c>
      <c r="D101" s="2">
        <v>1.657070467E9</v>
      </c>
      <c r="E101" s="8" t="s">
        <v>2382</v>
      </c>
      <c r="F101" s="2" t="s">
        <v>2384</v>
      </c>
      <c r="G101" s="2" t="s">
        <v>2385</v>
      </c>
      <c r="H101" s="2" t="s">
        <v>2386</v>
      </c>
      <c r="I101" s="2">
        <v>1.628588443E9</v>
      </c>
      <c r="J101" s="8" t="s">
        <v>2387</v>
      </c>
      <c r="K101" s="8" t="s">
        <v>2390</v>
      </c>
      <c r="L101" s="2" t="b">
        <v>0</v>
      </c>
      <c r="M101" s="2" t="s">
        <v>67</v>
      </c>
      <c r="N101" s="2" t="s">
        <v>64</v>
      </c>
      <c r="O101" s="2" t="s">
        <v>65</v>
      </c>
      <c r="P101" s="2">
        <v>5013.0</v>
      </c>
      <c r="Q101" s="2">
        <v>6.0</v>
      </c>
      <c r="R101" s="2">
        <v>16293.0</v>
      </c>
      <c r="S101" s="2">
        <v>218.0</v>
      </c>
      <c r="U101" s="2" t="s">
        <v>65</v>
      </c>
      <c r="W101" s="2" t="s">
        <v>65</v>
      </c>
      <c r="AC101" s="2" t="s">
        <v>65</v>
      </c>
      <c r="AD101" s="2" t="s">
        <v>65</v>
      </c>
      <c r="AF101" s="2" t="s">
        <v>65</v>
      </c>
    </row>
    <row r="102" hidden="1">
      <c r="A102" s="2" t="s">
        <v>2394</v>
      </c>
      <c r="B102" s="2" t="s">
        <v>2394</v>
      </c>
      <c r="C102" s="6">
        <v>43742.67896990741</v>
      </c>
      <c r="D102" s="2">
        <v>1.570205863E9</v>
      </c>
      <c r="E102" s="8" t="s">
        <v>2395</v>
      </c>
      <c r="F102" s="2" t="s">
        <v>2403</v>
      </c>
      <c r="G102" s="2" t="s">
        <v>2404</v>
      </c>
      <c r="H102" s="2" t="s">
        <v>2405</v>
      </c>
      <c r="I102" s="2" t="s">
        <v>2406</v>
      </c>
      <c r="J102" s="8" t="s">
        <v>2407</v>
      </c>
      <c r="K102" s="8" t="s">
        <v>2413</v>
      </c>
      <c r="L102" s="2" t="b">
        <v>0</v>
      </c>
      <c r="M102" s="2" t="s">
        <v>66</v>
      </c>
      <c r="N102" s="2" t="s">
        <v>68</v>
      </c>
      <c r="O102" s="2" t="s">
        <v>65</v>
      </c>
      <c r="P102" s="2">
        <v>8410.0</v>
      </c>
      <c r="Q102" s="2">
        <v>292.0</v>
      </c>
      <c r="R102" s="2">
        <v>31771.0</v>
      </c>
      <c r="S102" s="2">
        <v>1990.0</v>
      </c>
      <c r="U102" s="2" t="s">
        <v>65</v>
      </c>
      <c r="W102" s="2" t="s">
        <v>65</v>
      </c>
      <c r="AC102" s="2" t="s">
        <v>65</v>
      </c>
      <c r="AD102" s="2" t="s">
        <v>65</v>
      </c>
      <c r="AF102" s="2" t="s">
        <v>65</v>
      </c>
    </row>
    <row r="103">
      <c r="A103" s="2" t="s">
        <v>2416</v>
      </c>
      <c r="B103" s="2" t="s">
        <v>2416</v>
      </c>
      <c r="C103" s="6">
        <v>45972.4796412037</v>
      </c>
      <c r="D103" s="2">
        <v>1.762860641E9</v>
      </c>
      <c r="E103" s="8" t="s">
        <v>2418</v>
      </c>
      <c r="F103" s="2" t="s">
        <v>2421</v>
      </c>
      <c r="G103" s="2" t="s">
        <v>2422</v>
      </c>
      <c r="H103" s="2" t="s">
        <v>2423</v>
      </c>
      <c r="I103" s="2" t="s">
        <v>2425</v>
      </c>
      <c r="J103" s="8" t="s">
        <v>2427</v>
      </c>
      <c r="L103" s="2" t="b">
        <v>0</v>
      </c>
      <c r="M103" s="2" t="s">
        <v>85</v>
      </c>
      <c r="N103" s="2" t="s">
        <v>64</v>
      </c>
      <c r="O103" s="2" t="s">
        <v>65</v>
      </c>
      <c r="P103" s="2">
        <v>0.0</v>
      </c>
      <c r="Q103" s="2">
        <v>0.0</v>
      </c>
      <c r="R103" s="2">
        <v>0.0</v>
      </c>
      <c r="S103" s="2">
        <v>0.0</v>
      </c>
      <c r="T103" s="2">
        <v>27.0</v>
      </c>
      <c r="U103" s="2" t="s">
        <v>65</v>
      </c>
      <c r="W103" s="2" t="s">
        <v>65</v>
      </c>
      <c r="AC103" s="2" t="s">
        <v>65</v>
      </c>
      <c r="AD103" s="2" t="s">
        <v>65</v>
      </c>
      <c r="AF103" s="2" t="s">
        <v>65</v>
      </c>
    </row>
    <row r="104" hidden="1">
      <c r="A104" s="2" t="s">
        <v>2432</v>
      </c>
      <c r="B104" s="2" t="s">
        <v>2432</v>
      </c>
      <c r="C104" s="6">
        <v>44466.03291666666</v>
      </c>
      <c r="D104" s="2">
        <v>1.632703644E9</v>
      </c>
      <c r="E104" s="8" t="s">
        <v>2434</v>
      </c>
      <c r="F104" s="2" t="s">
        <v>2437</v>
      </c>
      <c r="G104" s="2" t="s">
        <v>2321</v>
      </c>
      <c r="H104" s="2" t="s">
        <v>2438</v>
      </c>
      <c r="I104" s="2" t="s">
        <v>2440</v>
      </c>
      <c r="J104" s="8" t="s">
        <v>2441</v>
      </c>
      <c r="K104" s="8" t="s">
        <v>2444</v>
      </c>
      <c r="L104" s="2" t="b">
        <v>0</v>
      </c>
      <c r="M104" s="2" t="s">
        <v>85</v>
      </c>
      <c r="N104" s="2" t="s">
        <v>68</v>
      </c>
      <c r="O104" s="2" t="s">
        <v>65</v>
      </c>
      <c r="P104" s="2">
        <v>325.0</v>
      </c>
      <c r="Q104" s="2">
        <v>15.0</v>
      </c>
      <c r="R104" s="2">
        <v>1675.0</v>
      </c>
      <c r="S104" s="2">
        <v>12.0</v>
      </c>
      <c r="U104" s="2" t="s">
        <v>65</v>
      </c>
      <c r="W104" s="2" t="s">
        <v>65</v>
      </c>
      <c r="AC104" s="2" t="s">
        <v>65</v>
      </c>
      <c r="AD104" s="2" t="s">
        <v>65</v>
      </c>
      <c r="AF104" s="2" t="s">
        <v>65</v>
      </c>
    </row>
    <row r="105">
      <c r="A105" s="2" t="s">
        <v>2452</v>
      </c>
      <c r="B105" s="2" t="s">
        <v>2452</v>
      </c>
      <c r="C105" s="6">
        <v>45678.80200231481</v>
      </c>
      <c r="D105" s="2">
        <v>1.737486893E9</v>
      </c>
      <c r="E105" s="8" t="s">
        <v>2453</v>
      </c>
      <c r="F105" s="2" t="s">
        <v>2458</v>
      </c>
      <c r="G105" s="2" t="s">
        <v>2459</v>
      </c>
      <c r="H105" s="2" t="s">
        <v>2460</v>
      </c>
      <c r="I105" s="2">
        <v>1.3457263E8</v>
      </c>
      <c r="J105" s="8" t="s">
        <v>2461</v>
      </c>
      <c r="K105" s="8" t="s">
        <v>2470</v>
      </c>
      <c r="L105" s="2" t="b">
        <v>0</v>
      </c>
      <c r="M105" s="2" t="s">
        <v>85</v>
      </c>
      <c r="N105" s="2" t="s">
        <v>64</v>
      </c>
      <c r="O105" s="2" t="s">
        <v>65</v>
      </c>
      <c r="P105" s="2">
        <v>0.0</v>
      </c>
      <c r="Q105" s="2">
        <v>5.0</v>
      </c>
      <c r="R105" s="2">
        <v>0.0</v>
      </c>
      <c r="S105" s="2">
        <v>0.0</v>
      </c>
      <c r="T105" s="2">
        <v>309.0</v>
      </c>
      <c r="U105" s="2" t="s">
        <v>65</v>
      </c>
      <c r="W105" s="2" t="s">
        <v>65</v>
      </c>
      <c r="AC105" s="2" t="s">
        <v>65</v>
      </c>
      <c r="AD105" s="2" t="s">
        <v>65</v>
      </c>
      <c r="AF105" s="2" t="s">
        <v>65</v>
      </c>
    </row>
    <row r="106">
      <c r="A106" s="2" t="s">
        <v>2477</v>
      </c>
      <c r="B106" s="2" t="s">
        <v>2477</v>
      </c>
      <c r="C106" s="6">
        <v>45863.88793981481</v>
      </c>
      <c r="D106" s="2">
        <v>1.753478318E9</v>
      </c>
      <c r="E106" s="8" t="s">
        <v>2478</v>
      </c>
      <c r="F106" s="2" t="s">
        <v>2514</v>
      </c>
      <c r="G106" s="2" t="s">
        <v>864</v>
      </c>
      <c r="H106" s="2" t="s">
        <v>865</v>
      </c>
      <c r="I106" s="2">
        <v>2.825615947E9</v>
      </c>
      <c r="J106" s="8" t="s">
        <v>866</v>
      </c>
      <c r="K106" s="8" t="s">
        <v>870</v>
      </c>
      <c r="L106" s="2" t="b">
        <v>1</v>
      </c>
      <c r="M106" s="2" t="s">
        <v>66</v>
      </c>
      <c r="N106" s="2" t="s">
        <v>64</v>
      </c>
      <c r="O106" s="2" t="s">
        <v>65</v>
      </c>
      <c r="P106" s="2">
        <v>2.0</v>
      </c>
      <c r="Q106" s="2">
        <v>0.0</v>
      </c>
      <c r="R106" s="2">
        <v>16.0</v>
      </c>
      <c r="S106" s="2">
        <v>1.0</v>
      </c>
      <c r="T106" s="2">
        <v>615.0</v>
      </c>
      <c r="U106" s="2" t="s">
        <v>65</v>
      </c>
      <c r="W106" s="2" t="s">
        <v>65</v>
      </c>
      <c r="AC106" s="2" t="s">
        <v>65</v>
      </c>
      <c r="AD106" s="2" t="s">
        <v>65</v>
      </c>
      <c r="AF106" s="2" t="s">
        <v>65</v>
      </c>
    </row>
    <row r="107" hidden="1">
      <c r="A107" s="2" t="s">
        <v>2520</v>
      </c>
      <c r="B107" s="2" t="s">
        <v>2520</v>
      </c>
      <c r="C107" s="6">
        <v>45777.78282407407</v>
      </c>
      <c r="D107" s="2">
        <v>1.746038836E9</v>
      </c>
      <c r="E107" s="8" t="s">
        <v>2522</v>
      </c>
      <c r="F107" s="2" t="s">
        <v>2527</v>
      </c>
      <c r="G107" s="2" t="s">
        <v>2528</v>
      </c>
      <c r="H107" s="2" t="s">
        <v>2529</v>
      </c>
      <c r="I107" s="2" t="s">
        <v>2530</v>
      </c>
      <c r="J107" s="8" t="s">
        <v>2531</v>
      </c>
      <c r="K107" s="8" t="s">
        <v>2536</v>
      </c>
      <c r="L107" s="2" t="b">
        <v>0</v>
      </c>
      <c r="M107" s="2" t="s">
        <v>67</v>
      </c>
      <c r="N107" s="2" t="s">
        <v>68</v>
      </c>
      <c r="O107" s="2" t="s">
        <v>65</v>
      </c>
      <c r="P107" s="2">
        <v>0.0</v>
      </c>
      <c r="Q107" s="2">
        <v>0.0</v>
      </c>
      <c r="R107" s="2">
        <v>0.0</v>
      </c>
      <c r="S107" s="2">
        <v>0.0</v>
      </c>
      <c r="T107" s="2">
        <v>33.0</v>
      </c>
      <c r="U107" s="2" t="s">
        <v>65</v>
      </c>
      <c r="W107" s="2" t="s">
        <v>65</v>
      </c>
      <c r="AC107" s="2" t="s">
        <v>65</v>
      </c>
      <c r="AD107" s="2" t="s">
        <v>65</v>
      </c>
      <c r="AF107" s="2" t="s">
        <v>65</v>
      </c>
    </row>
    <row r="108" hidden="1">
      <c r="A108" s="2" t="s">
        <v>2545</v>
      </c>
      <c r="B108" s="2" t="s">
        <v>2545</v>
      </c>
      <c r="C108" s="6">
        <v>45745.85806712963</v>
      </c>
      <c r="D108" s="2">
        <v>1.743280537E9</v>
      </c>
      <c r="E108" s="8" t="s">
        <v>2547</v>
      </c>
      <c r="F108" s="2" t="s">
        <v>2551</v>
      </c>
      <c r="G108" s="2" t="s">
        <v>2552</v>
      </c>
      <c r="H108" s="2" t="s">
        <v>2553</v>
      </c>
      <c r="I108" s="2">
        <v>2.554762959E9</v>
      </c>
      <c r="J108" s="8" t="s">
        <v>2555</v>
      </c>
      <c r="K108" s="8" t="s">
        <v>2563</v>
      </c>
      <c r="L108" s="2" t="b">
        <v>1</v>
      </c>
      <c r="M108" s="2" t="s">
        <v>85</v>
      </c>
      <c r="N108" s="2" t="s">
        <v>68</v>
      </c>
      <c r="O108" s="2" t="s">
        <v>65</v>
      </c>
      <c r="P108" s="2">
        <v>5.0</v>
      </c>
      <c r="Q108" s="2">
        <v>7.0</v>
      </c>
      <c r="R108" s="2">
        <v>89.0</v>
      </c>
      <c r="S108" s="2">
        <v>0.0</v>
      </c>
      <c r="T108" s="2">
        <v>4176.0</v>
      </c>
      <c r="U108" s="2" t="s">
        <v>65</v>
      </c>
      <c r="W108" s="2" t="s">
        <v>65</v>
      </c>
      <c r="AC108" s="2" t="s">
        <v>65</v>
      </c>
      <c r="AD108" s="2" t="s">
        <v>65</v>
      </c>
      <c r="AF108" s="2" t="s">
        <v>65</v>
      </c>
    </row>
    <row r="109">
      <c r="A109" s="2" t="s">
        <v>2572</v>
      </c>
      <c r="B109" s="2" t="s">
        <v>2573</v>
      </c>
      <c r="C109" s="6">
        <v>45892.88490740741</v>
      </c>
      <c r="D109" s="2">
        <v>1.755983656E9</v>
      </c>
      <c r="E109" s="8" t="s">
        <v>2574</v>
      </c>
      <c r="F109" s="2" t="s">
        <v>2579</v>
      </c>
      <c r="G109" s="2" t="s">
        <v>2580</v>
      </c>
      <c r="H109" s="2" t="s">
        <v>2581</v>
      </c>
      <c r="I109" s="2" t="s">
        <v>2582</v>
      </c>
      <c r="J109" s="8" t="s">
        <v>2583</v>
      </c>
      <c r="K109" s="8" t="s">
        <v>2590</v>
      </c>
      <c r="L109" s="2" t="b">
        <v>0</v>
      </c>
      <c r="M109" s="2" t="s">
        <v>67</v>
      </c>
      <c r="N109" s="2" t="s">
        <v>64</v>
      </c>
      <c r="O109" s="2" t="s">
        <v>65</v>
      </c>
      <c r="P109" s="2">
        <v>23.0</v>
      </c>
      <c r="Q109" s="2">
        <v>21.0</v>
      </c>
      <c r="R109" s="2">
        <v>801.0</v>
      </c>
      <c r="S109" s="2">
        <v>0.0</v>
      </c>
      <c r="T109" s="2">
        <v>49112.0</v>
      </c>
      <c r="U109" s="2" t="s">
        <v>65</v>
      </c>
      <c r="W109" s="2" t="s">
        <v>65</v>
      </c>
      <c r="AC109" s="2" t="s">
        <v>65</v>
      </c>
      <c r="AD109" s="2" t="s">
        <v>71</v>
      </c>
      <c r="AE109" s="2" t="s">
        <v>2580</v>
      </c>
      <c r="AF109" s="2" t="s">
        <v>65</v>
      </c>
    </row>
    <row r="110" hidden="1">
      <c r="A110" s="2" t="s">
        <v>2599</v>
      </c>
      <c r="B110" s="2" t="s">
        <v>2599</v>
      </c>
      <c r="C110" s="6">
        <v>44824.14572916667</v>
      </c>
      <c r="D110" s="2">
        <v>1.663644591E9</v>
      </c>
      <c r="E110" s="8" t="s">
        <v>2600</v>
      </c>
      <c r="F110" s="2" t="s">
        <v>2603</v>
      </c>
      <c r="G110" s="2" t="s">
        <v>2604</v>
      </c>
      <c r="H110" s="2" t="s">
        <v>2605</v>
      </c>
      <c r="I110" s="2">
        <v>2.786565149E9</v>
      </c>
      <c r="J110" s="8" t="s">
        <v>2607</v>
      </c>
      <c r="K110" s="8" t="s">
        <v>2613</v>
      </c>
      <c r="L110" s="2" t="b">
        <v>0</v>
      </c>
      <c r="M110" s="2" t="s">
        <v>85</v>
      </c>
      <c r="N110" s="2" t="s">
        <v>68</v>
      </c>
      <c r="O110" s="2" t="s">
        <v>65</v>
      </c>
      <c r="P110" s="2">
        <v>16.0</v>
      </c>
      <c r="Q110" s="2">
        <v>12.0</v>
      </c>
      <c r="R110" s="2">
        <v>252.0</v>
      </c>
      <c r="S110" s="2">
        <v>7.0</v>
      </c>
      <c r="U110" s="2" t="s">
        <v>65</v>
      </c>
      <c r="W110" s="2" t="s">
        <v>65</v>
      </c>
      <c r="AC110" s="2" t="s">
        <v>65</v>
      </c>
      <c r="AD110" s="2" t="s">
        <v>65</v>
      </c>
      <c r="AF110" s="2" t="s">
        <v>65</v>
      </c>
    </row>
    <row r="111" hidden="1">
      <c r="A111" s="2" t="s">
        <v>2617</v>
      </c>
      <c r="B111" s="2" t="s">
        <v>2617</v>
      </c>
      <c r="C111" s="6">
        <v>45974.094305555554</v>
      </c>
      <c r="D111" s="2">
        <v>1.763000148E9</v>
      </c>
      <c r="E111" s="8" t="s">
        <v>2619</v>
      </c>
      <c r="F111" s="2" t="s">
        <v>2622</v>
      </c>
      <c r="G111" s="2" t="s">
        <v>2624</v>
      </c>
      <c r="H111" s="2" t="s">
        <v>2625</v>
      </c>
      <c r="I111" s="2">
        <v>2.549713804E9</v>
      </c>
      <c r="J111" s="8" t="s">
        <v>2627</v>
      </c>
      <c r="K111" s="8" t="s">
        <v>2632</v>
      </c>
      <c r="L111" s="2" t="b">
        <v>0</v>
      </c>
      <c r="M111" s="2" t="s">
        <v>67</v>
      </c>
      <c r="N111" s="2" t="s">
        <v>68</v>
      </c>
      <c r="O111" s="2" t="s">
        <v>65</v>
      </c>
      <c r="P111" s="2">
        <v>0.0</v>
      </c>
      <c r="Q111" s="2">
        <v>0.0</v>
      </c>
      <c r="R111" s="2">
        <v>0.0</v>
      </c>
      <c r="S111" s="2">
        <v>0.0</v>
      </c>
      <c r="T111" s="2">
        <v>1.0</v>
      </c>
      <c r="U111" s="2" t="s">
        <v>65</v>
      </c>
      <c r="W111" s="2" t="s">
        <v>65</v>
      </c>
      <c r="AC111" s="2" t="s">
        <v>65</v>
      </c>
      <c r="AD111" s="2" t="s">
        <v>65</v>
      </c>
      <c r="AF111" s="2" t="s">
        <v>65</v>
      </c>
    </row>
    <row r="112">
      <c r="A112" s="2" t="s">
        <v>1319</v>
      </c>
      <c r="B112" s="2" t="s">
        <v>1319</v>
      </c>
      <c r="C112" s="6">
        <v>45952.010358796295</v>
      </c>
      <c r="D112" s="2">
        <v>1.761092095E9</v>
      </c>
      <c r="E112" s="8" t="s">
        <v>1320</v>
      </c>
      <c r="F112" s="2" t="s">
        <v>1328</v>
      </c>
      <c r="G112" s="2" t="s">
        <v>1329</v>
      </c>
      <c r="H112" s="2" t="s">
        <v>1330</v>
      </c>
      <c r="I112" s="2">
        <v>1.21287943E8</v>
      </c>
      <c r="J112" s="8" t="s">
        <v>1331</v>
      </c>
      <c r="K112" s="8" t="s">
        <v>1338</v>
      </c>
      <c r="L112" s="2" t="b">
        <v>1</v>
      </c>
      <c r="M112" s="2" t="s">
        <v>85</v>
      </c>
      <c r="N112" s="2" t="s">
        <v>64</v>
      </c>
      <c r="O112" s="2" t="s">
        <v>65</v>
      </c>
      <c r="P112" s="2">
        <v>0.0</v>
      </c>
      <c r="Q112" s="2">
        <v>0.0</v>
      </c>
      <c r="R112" s="2">
        <v>1.0</v>
      </c>
      <c r="S112" s="2">
        <v>0.0</v>
      </c>
      <c r="T112" s="2">
        <v>323.0</v>
      </c>
      <c r="U112" s="2" t="s">
        <v>65</v>
      </c>
      <c r="W112" s="2" t="s">
        <v>65</v>
      </c>
      <c r="AC112" s="2" t="s">
        <v>65</v>
      </c>
      <c r="AD112" s="2" t="s">
        <v>65</v>
      </c>
      <c r="AF112" s="2" t="s">
        <v>65</v>
      </c>
      <c r="AI112" s="8" t="s">
        <v>1341</v>
      </c>
      <c r="AJ112" s="8" t="s">
        <v>1345</v>
      </c>
    </row>
    <row r="113">
      <c r="A113" s="2" t="s">
        <v>2667</v>
      </c>
      <c r="B113" s="2" t="s">
        <v>2667</v>
      </c>
      <c r="C113" s="6">
        <v>45818.44516203704</v>
      </c>
      <c r="D113" s="2">
        <v>1.749552062E9</v>
      </c>
      <c r="E113" s="8" t="s">
        <v>2668</v>
      </c>
      <c r="F113" s="2" t="s">
        <v>2670</v>
      </c>
      <c r="G113" s="2" t="s">
        <v>1613</v>
      </c>
      <c r="H113" s="2" t="s">
        <v>1614</v>
      </c>
      <c r="I113" s="2">
        <v>3.37569038E8</v>
      </c>
      <c r="J113" s="8" t="s">
        <v>1615</v>
      </c>
      <c r="K113" s="8" t="s">
        <v>1622</v>
      </c>
      <c r="L113" s="2" t="b">
        <v>0</v>
      </c>
      <c r="M113" s="2" t="s">
        <v>66</v>
      </c>
      <c r="N113" s="2" t="s">
        <v>64</v>
      </c>
      <c r="O113" s="2" t="s">
        <v>65</v>
      </c>
      <c r="P113" s="2">
        <v>0.0</v>
      </c>
      <c r="Q113" s="2">
        <v>0.0</v>
      </c>
      <c r="R113" s="2">
        <v>0.0</v>
      </c>
      <c r="S113" s="2">
        <v>0.0</v>
      </c>
      <c r="T113" s="2">
        <v>68.0</v>
      </c>
      <c r="U113" s="2" t="s">
        <v>65</v>
      </c>
      <c r="W113" s="2" t="s">
        <v>65</v>
      </c>
      <c r="AC113" s="2" t="s">
        <v>65</v>
      </c>
      <c r="AD113" s="2" t="s">
        <v>65</v>
      </c>
      <c r="AF113" s="2" t="s">
        <v>65</v>
      </c>
      <c r="AH113" s="8" t="s">
        <v>2689</v>
      </c>
    </row>
    <row r="114">
      <c r="A114" s="2" t="s">
        <v>2692</v>
      </c>
      <c r="B114" s="2" t="s">
        <v>2693</v>
      </c>
      <c r="C114" s="6">
        <v>45972.660150462965</v>
      </c>
      <c r="D114" s="2">
        <v>1.762876237E9</v>
      </c>
      <c r="E114" s="8" t="s">
        <v>2694</v>
      </c>
      <c r="F114" s="2" t="s">
        <v>2700</v>
      </c>
      <c r="G114" s="2" t="s">
        <v>2162</v>
      </c>
      <c r="H114" s="2" t="s">
        <v>2163</v>
      </c>
      <c r="I114" s="2" t="s">
        <v>2164</v>
      </c>
      <c r="J114" s="8" t="s">
        <v>2165</v>
      </c>
      <c r="K114" s="8" t="s">
        <v>2169</v>
      </c>
      <c r="L114" s="2" t="b">
        <v>0</v>
      </c>
      <c r="M114" s="2" t="s">
        <v>67</v>
      </c>
      <c r="N114" s="2" t="s">
        <v>64</v>
      </c>
      <c r="O114" s="2" t="s">
        <v>65</v>
      </c>
      <c r="P114" s="2">
        <v>2.0</v>
      </c>
      <c r="Q114" s="2">
        <v>1.0</v>
      </c>
      <c r="R114" s="2">
        <v>7.0</v>
      </c>
      <c r="S114" s="2">
        <v>0.0</v>
      </c>
      <c r="T114" s="2">
        <v>282.0</v>
      </c>
      <c r="U114" s="2" t="s">
        <v>65</v>
      </c>
      <c r="W114" s="2" t="s">
        <v>65</v>
      </c>
      <c r="AC114" s="2" t="s">
        <v>65</v>
      </c>
      <c r="AD114" s="2" t="s">
        <v>71</v>
      </c>
      <c r="AE114" s="2" t="s">
        <v>2707</v>
      </c>
      <c r="AF114" s="2" t="s">
        <v>65</v>
      </c>
      <c r="AI114" s="8" t="s">
        <v>2708</v>
      </c>
      <c r="AJ114" s="8" t="s">
        <v>2710</v>
      </c>
      <c r="AK114" s="2" t="s">
        <v>2715</v>
      </c>
    </row>
    <row r="115" hidden="1">
      <c r="A115" s="2" t="s">
        <v>2717</v>
      </c>
      <c r="B115" s="2" t="s">
        <v>2717</v>
      </c>
      <c r="C115" s="6">
        <v>45970.83021990741</v>
      </c>
      <c r="D115" s="2">
        <v>1.762718131E9</v>
      </c>
      <c r="E115" s="8" t="s">
        <v>2718</v>
      </c>
      <c r="F115" s="2" t="s">
        <v>2723</v>
      </c>
      <c r="G115" s="2" t="s">
        <v>2724</v>
      </c>
      <c r="H115" s="2" t="s">
        <v>2725</v>
      </c>
      <c r="I115" s="2" t="s">
        <v>2726</v>
      </c>
      <c r="J115" s="8" t="s">
        <v>2727</v>
      </c>
      <c r="K115" s="8" t="s">
        <v>2739</v>
      </c>
      <c r="L115" s="2" t="b">
        <v>0</v>
      </c>
      <c r="M115" s="2" t="s">
        <v>67</v>
      </c>
      <c r="N115" s="2" t="s">
        <v>68</v>
      </c>
      <c r="O115" s="2" t="s">
        <v>65</v>
      </c>
      <c r="P115" s="2">
        <v>0.0</v>
      </c>
      <c r="Q115" s="2">
        <v>0.0</v>
      </c>
      <c r="R115" s="2">
        <v>0.0</v>
      </c>
      <c r="S115" s="2">
        <v>0.0</v>
      </c>
      <c r="T115" s="2">
        <v>21.0</v>
      </c>
      <c r="U115" s="2" t="s">
        <v>65</v>
      </c>
      <c r="W115" s="2" t="s">
        <v>65</v>
      </c>
      <c r="AC115" s="2" t="s">
        <v>65</v>
      </c>
      <c r="AD115" s="2" t="s">
        <v>65</v>
      </c>
      <c r="AF115" s="2" t="s">
        <v>65</v>
      </c>
    </row>
    <row r="116">
      <c r="A116" s="2" t="s">
        <v>2749</v>
      </c>
      <c r="B116" s="2" t="s">
        <v>2749</v>
      </c>
      <c r="C116" s="6">
        <v>45793.39050925926</v>
      </c>
      <c r="D116" s="2">
        <v>1.74738734E9</v>
      </c>
      <c r="E116" s="8" t="s">
        <v>2754</v>
      </c>
      <c r="F116" s="2" t="s">
        <v>2758</v>
      </c>
      <c r="G116" s="2" t="s">
        <v>2759</v>
      </c>
      <c r="H116" s="2" t="s">
        <v>2760</v>
      </c>
      <c r="I116" s="2">
        <v>2.467626889E9</v>
      </c>
      <c r="J116" s="8" t="s">
        <v>2761</v>
      </c>
      <c r="K116" s="8" t="s">
        <v>2765</v>
      </c>
      <c r="L116" s="2" t="b">
        <v>1</v>
      </c>
      <c r="M116" s="2" t="s">
        <v>66</v>
      </c>
      <c r="N116" s="2" t="s">
        <v>64</v>
      </c>
      <c r="O116" s="2" t="s">
        <v>65</v>
      </c>
      <c r="P116" s="2">
        <v>0.0</v>
      </c>
      <c r="Q116" s="2">
        <v>1.0</v>
      </c>
      <c r="R116" s="2">
        <v>0.0</v>
      </c>
      <c r="S116" s="2">
        <v>0.0</v>
      </c>
      <c r="T116" s="2">
        <v>68.0</v>
      </c>
      <c r="U116" s="2" t="s">
        <v>65</v>
      </c>
      <c r="W116" s="2" t="s">
        <v>65</v>
      </c>
      <c r="AC116" s="2" t="s">
        <v>65</v>
      </c>
      <c r="AD116" s="2" t="s">
        <v>65</v>
      </c>
      <c r="AF116" s="2" t="s">
        <v>65</v>
      </c>
      <c r="AI116" s="8" t="s">
        <v>2774</v>
      </c>
    </row>
    <row r="117">
      <c r="A117" s="2" t="s">
        <v>2780</v>
      </c>
      <c r="B117" s="2" t="s">
        <v>2780</v>
      </c>
      <c r="C117" s="6">
        <v>45973.00103009259</v>
      </c>
      <c r="D117" s="2">
        <v>1.762905689E9</v>
      </c>
      <c r="E117" s="8" t="s">
        <v>2782</v>
      </c>
      <c r="F117" s="2" t="s">
        <v>2786</v>
      </c>
      <c r="G117" s="2" t="s">
        <v>2787</v>
      </c>
      <c r="H117" s="2" t="s">
        <v>2788</v>
      </c>
      <c r="I117" s="2">
        <v>1.144048572E9</v>
      </c>
      <c r="J117" s="8" t="s">
        <v>2789</v>
      </c>
      <c r="K117" s="8" t="s">
        <v>2803</v>
      </c>
      <c r="L117" s="2" t="b">
        <v>0</v>
      </c>
      <c r="M117" s="2" t="s">
        <v>67</v>
      </c>
      <c r="N117" s="2" t="s">
        <v>64</v>
      </c>
      <c r="O117" s="2" t="s">
        <v>65</v>
      </c>
      <c r="P117" s="2">
        <v>0.0</v>
      </c>
      <c r="Q117" s="2">
        <v>0.0</v>
      </c>
      <c r="R117" s="2">
        <v>0.0</v>
      </c>
      <c r="S117" s="2">
        <v>0.0</v>
      </c>
      <c r="T117" s="2">
        <v>7.0</v>
      </c>
      <c r="U117" s="2" t="s">
        <v>65</v>
      </c>
      <c r="W117" s="2" t="s">
        <v>65</v>
      </c>
      <c r="AC117" s="2" t="s">
        <v>65</v>
      </c>
      <c r="AD117" s="2" t="s">
        <v>65</v>
      </c>
      <c r="AF117" s="2" t="s">
        <v>65</v>
      </c>
    </row>
    <row r="118">
      <c r="A118" s="2" t="s">
        <v>1350</v>
      </c>
      <c r="B118" s="2" t="s">
        <v>1350</v>
      </c>
      <c r="C118" s="6">
        <v>45951.69847222222</v>
      </c>
      <c r="D118" s="2">
        <v>1.761065148E9</v>
      </c>
      <c r="E118" s="8" t="s">
        <v>1351</v>
      </c>
      <c r="F118" s="2" t="s">
        <v>1354</v>
      </c>
      <c r="G118" s="2" t="s">
        <v>1355</v>
      </c>
      <c r="H118" s="2" t="s">
        <v>1356</v>
      </c>
      <c r="I118" s="2" t="s">
        <v>1357</v>
      </c>
      <c r="J118" s="8" t="s">
        <v>1358</v>
      </c>
      <c r="K118" s="8" t="s">
        <v>1362</v>
      </c>
      <c r="L118" s="2" t="b">
        <v>0</v>
      </c>
      <c r="M118" s="2" t="s">
        <v>66</v>
      </c>
      <c r="N118" s="2" t="s">
        <v>64</v>
      </c>
      <c r="O118" s="2" t="s">
        <v>65</v>
      </c>
      <c r="P118" s="2">
        <v>0.0</v>
      </c>
      <c r="Q118" s="2">
        <v>0.0</v>
      </c>
      <c r="R118" s="2">
        <v>1.0</v>
      </c>
      <c r="S118" s="2">
        <v>0.0</v>
      </c>
      <c r="T118" s="2">
        <v>14.0</v>
      </c>
      <c r="U118" s="2" t="s">
        <v>65</v>
      </c>
      <c r="W118" s="2" t="s">
        <v>65</v>
      </c>
      <c r="AC118" s="2" t="s">
        <v>65</v>
      </c>
      <c r="AD118" s="2" t="s">
        <v>65</v>
      </c>
      <c r="AF118" s="2" t="s">
        <v>65</v>
      </c>
    </row>
    <row r="119">
      <c r="A119" s="2" t="s">
        <v>2829</v>
      </c>
      <c r="B119" s="2" t="s">
        <v>2829</v>
      </c>
      <c r="C119" s="6">
        <v>45762.425578703704</v>
      </c>
      <c r="D119" s="2">
        <v>1.74471197E9</v>
      </c>
      <c r="E119" s="8" t="s">
        <v>2830</v>
      </c>
      <c r="F119" s="2" t="s">
        <v>2836</v>
      </c>
      <c r="G119" s="2" t="s">
        <v>2837</v>
      </c>
      <c r="H119" s="2" t="s">
        <v>2838</v>
      </c>
      <c r="I119" s="2" t="s">
        <v>2839</v>
      </c>
      <c r="J119" s="8" t="s">
        <v>2840</v>
      </c>
      <c r="K119" s="8" t="s">
        <v>2852</v>
      </c>
      <c r="L119" s="2" t="b">
        <v>0</v>
      </c>
      <c r="M119" s="2" t="s">
        <v>66</v>
      </c>
      <c r="N119" s="2" t="s">
        <v>64</v>
      </c>
      <c r="O119" s="2" t="s">
        <v>65</v>
      </c>
      <c r="P119" s="2">
        <v>5.0</v>
      </c>
      <c r="Q119" s="2">
        <v>2.0</v>
      </c>
      <c r="R119" s="2">
        <v>4.0</v>
      </c>
      <c r="S119" s="2">
        <v>0.0</v>
      </c>
      <c r="T119" s="2">
        <v>394.0</v>
      </c>
      <c r="U119" s="2" t="s">
        <v>65</v>
      </c>
      <c r="W119" s="2" t="s">
        <v>65</v>
      </c>
      <c r="AC119" s="2" t="s">
        <v>65</v>
      </c>
      <c r="AD119" s="2" t="s">
        <v>65</v>
      </c>
      <c r="AF119" s="2" t="s">
        <v>65</v>
      </c>
    </row>
    <row r="120" hidden="1">
      <c r="A120" s="2" t="s">
        <v>2856</v>
      </c>
      <c r="B120" s="2" t="s">
        <v>2856</v>
      </c>
      <c r="C120" s="6">
        <v>45632.60267361111</v>
      </c>
      <c r="D120" s="2">
        <v>1.733495271E9</v>
      </c>
      <c r="E120" s="8" t="s">
        <v>2858</v>
      </c>
      <c r="F120" s="2" t="s">
        <v>2861</v>
      </c>
      <c r="G120" s="2" t="s">
        <v>2862</v>
      </c>
      <c r="H120" s="2" t="s">
        <v>2863</v>
      </c>
      <c r="I120" s="2" t="s">
        <v>2864</v>
      </c>
      <c r="J120" s="8" t="s">
        <v>2865</v>
      </c>
      <c r="K120" s="8" t="s">
        <v>2867</v>
      </c>
      <c r="L120" s="2" t="b">
        <v>0</v>
      </c>
      <c r="M120" s="2" t="s">
        <v>66</v>
      </c>
      <c r="N120" s="2" t="s">
        <v>68</v>
      </c>
      <c r="O120" s="2" t="s">
        <v>65</v>
      </c>
      <c r="P120" s="2">
        <v>0.0</v>
      </c>
      <c r="Q120" s="2">
        <v>1.0</v>
      </c>
      <c r="R120" s="2">
        <v>0.0</v>
      </c>
      <c r="S120" s="2">
        <v>0.0</v>
      </c>
      <c r="T120" s="2">
        <v>52.0</v>
      </c>
      <c r="U120" s="2" t="s">
        <v>65</v>
      </c>
      <c r="W120" s="2" t="s">
        <v>65</v>
      </c>
      <c r="AC120" s="2" t="s">
        <v>65</v>
      </c>
      <c r="AD120" s="2" t="s">
        <v>65</v>
      </c>
      <c r="AF120" s="2" t="s">
        <v>65</v>
      </c>
    </row>
    <row r="121">
      <c r="A121" s="2" t="s">
        <v>2875</v>
      </c>
      <c r="B121" s="2" t="s">
        <v>2875</v>
      </c>
      <c r="C121" s="6">
        <v>45492.18565972222</v>
      </c>
      <c r="D121" s="2">
        <v>1.721363241E9</v>
      </c>
      <c r="E121" s="8" t="s">
        <v>2876</v>
      </c>
      <c r="F121" s="2" t="s">
        <v>2879</v>
      </c>
      <c r="G121" s="2" t="s">
        <v>158</v>
      </c>
      <c r="H121" s="2" t="s">
        <v>159</v>
      </c>
      <c r="I121" s="2">
        <v>2.36621586E8</v>
      </c>
      <c r="J121" s="8" t="s">
        <v>160</v>
      </c>
      <c r="K121" s="8" t="s">
        <v>162</v>
      </c>
      <c r="L121" s="2" t="b">
        <v>0</v>
      </c>
      <c r="M121" s="2" t="s">
        <v>67</v>
      </c>
      <c r="N121" s="2" t="s">
        <v>64</v>
      </c>
      <c r="O121" s="2" t="s">
        <v>65</v>
      </c>
      <c r="P121" s="2">
        <v>4.0</v>
      </c>
      <c r="Q121" s="2">
        <v>6.0</v>
      </c>
      <c r="R121" s="2">
        <v>264.0</v>
      </c>
      <c r="S121" s="2">
        <v>1.0</v>
      </c>
      <c r="T121" s="2">
        <v>7850.0</v>
      </c>
      <c r="U121" s="2" t="s">
        <v>65</v>
      </c>
      <c r="W121" s="2" t="s">
        <v>65</v>
      </c>
      <c r="AC121" s="2" t="s">
        <v>65</v>
      </c>
      <c r="AD121" s="2" t="s">
        <v>65</v>
      </c>
      <c r="AF121" s="2" t="s">
        <v>65</v>
      </c>
      <c r="AG121" s="2" t="s">
        <v>2887</v>
      </c>
      <c r="AI121" s="8" t="s">
        <v>2889</v>
      </c>
      <c r="AL121" s="2" t="s">
        <v>2900</v>
      </c>
      <c r="AM121" s="2" t="s">
        <v>2901</v>
      </c>
    </row>
    <row r="122">
      <c r="A122" s="2" t="s">
        <v>2902</v>
      </c>
      <c r="B122" s="2" t="s">
        <v>2902</v>
      </c>
      <c r="C122" s="6">
        <v>45968.094293981485</v>
      </c>
      <c r="D122" s="2">
        <v>1.762481747E9</v>
      </c>
      <c r="E122" s="8" t="s">
        <v>2903</v>
      </c>
      <c r="F122" s="2" t="s">
        <v>2916</v>
      </c>
      <c r="G122" s="2" t="s">
        <v>2918</v>
      </c>
      <c r="H122" s="2" t="s">
        <v>2919</v>
      </c>
      <c r="I122" s="2">
        <v>5.2761392E7</v>
      </c>
      <c r="J122" s="8" t="s">
        <v>2920</v>
      </c>
      <c r="K122" s="8" t="s">
        <v>2926</v>
      </c>
      <c r="L122" s="2" t="b">
        <v>0</v>
      </c>
      <c r="M122" s="2" t="s">
        <v>67</v>
      </c>
      <c r="N122" s="2" t="s">
        <v>64</v>
      </c>
      <c r="O122" s="2" t="s">
        <v>65</v>
      </c>
      <c r="P122" s="2">
        <v>0.0</v>
      </c>
      <c r="Q122" s="2">
        <v>1.0</v>
      </c>
      <c r="R122" s="2">
        <v>11.0</v>
      </c>
      <c r="S122" s="2">
        <v>0.0</v>
      </c>
      <c r="T122" s="2">
        <v>386.0</v>
      </c>
      <c r="U122" s="2" t="s">
        <v>65</v>
      </c>
      <c r="W122" s="2" t="s">
        <v>65</v>
      </c>
      <c r="AC122" s="2" t="s">
        <v>65</v>
      </c>
      <c r="AD122" s="2" t="s">
        <v>65</v>
      </c>
      <c r="AF122" s="2" t="s">
        <v>65</v>
      </c>
      <c r="AI122" s="8" t="s">
        <v>2937</v>
      </c>
    </row>
    <row r="123">
      <c r="A123" s="2" t="s">
        <v>2943</v>
      </c>
      <c r="B123" s="2" t="s">
        <v>2943</v>
      </c>
      <c r="C123" s="6">
        <v>45973.78013888889</v>
      </c>
      <c r="D123" s="2">
        <v>1.762973004E9</v>
      </c>
      <c r="E123" s="8" t="s">
        <v>2944</v>
      </c>
      <c r="F123" s="2" t="s">
        <v>2949</v>
      </c>
      <c r="G123" s="2" t="s">
        <v>2951</v>
      </c>
      <c r="H123" s="2" t="s">
        <v>2953</v>
      </c>
      <c r="I123" s="2">
        <v>2.962147467E9</v>
      </c>
      <c r="J123" s="8" t="s">
        <v>2955</v>
      </c>
      <c r="K123" s="8" t="s">
        <v>2960</v>
      </c>
      <c r="L123" s="2" t="b">
        <v>0</v>
      </c>
      <c r="M123" s="2" t="s">
        <v>67</v>
      </c>
      <c r="N123" s="2" t="s">
        <v>64</v>
      </c>
      <c r="O123" s="2" t="s">
        <v>65</v>
      </c>
      <c r="P123" s="2">
        <v>0.0</v>
      </c>
      <c r="Q123" s="2">
        <v>0.0</v>
      </c>
      <c r="R123" s="2">
        <v>0.0</v>
      </c>
      <c r="S123" s="2">
        <v>0.0</v>
      </c>
      <c r="T123" s="2">
        <v>10.0</v>
      </c>
      <c r="U123" s="2" t="s">
        <v>65</v>
      </c>
      <c r="W123" s="2" t="s">
        <v>65</v>
      </c>
      <c r="AC123" s="2" t="s">
        <v>65</v>
      </c>
      <c r="AD123" s="2" t="s">
        <v>65</v>
      </c>
      <c r="AF123" s="2" t="s">
        <v>65</v>
      </c>
    </row>
    <row r="124">
      <c r="A124" s="2" t="s">
        <v>2972</v>
      </c>
      <c r="B124" s="2" t="s">
        <v>2972</v>
      </c>
      <c r="C124" s="6">
        <v>45723.376122685186</v>
      </c>
      <c r="D124" s="2">
        <v>1.741338097E9</v>
      </c>
      <c r="E124" s="8" t="s">
        <v>2973</v>
      </c>
      <c r="F124" s="2" t="s">
        <v>2980</v>
      </c>
      <c r="G124" s="2" t="s">
        <v>2981</v>
      </c>
      <c r="H124" s="2" t="s">
        <v>2982</v>
      </c>
      <c r="I124" s="2" t="s">
        <v>2983</v>
      </c>
      <c r="J124" s="8" t="s">
        <v>2985</v>
      </c>
      <c r="K124" s="8" t="s">
        <v>2991</v>
      </c>
      <c r="L124" s="2" t="b">
        <v>0</v>
      </c>
      <c r="M124" s="2" t="s">
        <v>967</v>
      </c>
      <c r="N124" s="2" t="s">
        <v>64</v>
      </c>
      <c r="O124" s="2" t="s">
        <v>65</v>
      </c>
      <c r="P124" s="2">
        <v>0.0</v>
      </c>
      <c r="Q124" s="2">
        <v>0.0</v>
      </c>
      <c r="R124" s="2">
        <v>1.0</v>
      </c>
      <c r="S124" s="2">
        <v>0.0</v>
      </c>
      <c r="T124" s="2">
        <v>42.0</v>
      </c>
      <c r="U124" s="2" t="s">
        <v>65</v>
      </c>
      <c r="W124" s="2" t="s">
        <v>65</v>
      </c>
      <c r="AC124" s="2" t="s">
        <v>65</v>
      </c>
      <c r="AD124" s="2" t="s">
        <v>65</v>
      </c>
      <c r="AF124" s="2" t="s">
        <v>65</v>
      </c>
      <c r="AG124" s="2" t="s">
        <v>1582</v>
      </c>
      <c r="AH124" s="8" t="s">
        <v>3001</v>
      </c>
    </row>
    <row r="125" hidden="1">
      <c r="A125" s="2" t="s">
        <v>3013</v>
      </c>
      <c r="B125" s="2" t="s">
        <v>3013</v>
      </c>
      <c r="C125" s="6">
        <v>45848.65414351852</v>
      </c>
      <c r="D125" s="2">
        <v>1.752162118E9</v>
      </c>
      <c r="E125" s="8" t="s">
        <v>3014</v>
      </c>
      <c r="F125" s="2" t="s">
        <v>3017</v>
      </c>
      <c r="G125" s="2" t="s">
        <v>3018</v>
      </c>
      <c r="H125" s="2" t="s">
        <v>3020</v>
      </c>
      <c r="I125" s="2">
        <v>4.32322234E8</v>
      </c>
      <c r="J125" s="8" t="s">
        <v>3022</v>
      </c>
      <c r="K125" s="8" t="s">
        <v>3036</v>
      </c>
      <c r="L125" s="2" t="b">
        <v>0</v>
      </c>
      <c r="M125" s="2" t="s">
        <v>66</v>
      </c>
      <c r="N125" s="2" t="s">
        <v>2012</v>
      </c>
      <c r="O125" s="2" t="s">
        <v>65</v>
      </c>
      <c r="P125" s="2">
        <v>0.0</v>
      </c>
      <c r="Q125" s="2">
        <v>0.0</v>
      </c>
      <c r="R125" s="2">
        <v>0.0</v>
      </c>
      <c r="S125" s="2">
        <v>0.0</v>
      </c>
      <c r="T125" s="2">
        <v>70.0</v>
      </c>
      <c r="U125" s="2" t="s">
        <v>65</v>
      </c>
      <c r="W125" s="2" t="s">
        <v>65</v>
      </c>
      <c r="AC125" s="2" t="s">
        <v>65</v>
      </c>
      <c r="AD125" s="2" t="s">
        <v>65</v>
      </c>
      <c r="AF125" s="2" t="s">
        <v>65</v>
      </c>
      <c r="AH125" s="8" t="s">
        <v>3042</v>
      </c>
    </row>
    <row r="126">
      <c r="A126" s="2" t="s">
        <v>3056</v>
      </c>
      <c r="B126" s="2" t="s">
        <v>3056</v>
      </c>
      <c r="C126" s="6">
        <v>45803.8275</v>
      </c>
      <c r="D126" s="2">
        <v>1.748289096E9</v>
      </c>
      <c r="E126" s="8" t="s">
        <v>3059</v>
      </c>
      <c r="F126" s="2" t="s">
        <v>3062</v>
      </c>
      <c r="G126" s="2" t="s">
        <v>3063</v>
      </c>
      <c r="H126" s="2" t="s">
        <v>3064</v>
      </c>
      <c r="I126" s="2" t="s">
        <v>3065</v>
      </c>
      <c r="J126" s="8" t="s">
        <v>3066</v>
      </c>
      <c r="K126" s="8" t="s">
        <v>3069</v>
      </c>
      <c r="L126" s="2" t="b">
        <v>0</v>
      </c>
      <c r="M126" s="2" t="s">
        <v>66</v>
      </c>
      <c r="N126" s="2" t="s">
        <v>64</v>
      </c>
      <c r="O126" s="2" t="s">
        <v>65</v>
      </c>
      <c r="P126" s="2">
        <v>0.0</v>
      </c>
      <c r="Q126" s="2">
        <v>1.0</v>
      </c>
      <c r="R126" s="2">
        <v>13.0</v>
      </c>
      <c r="S126" s="2">
        <v>0.0</v>
      </c>
      <c r="T126" s="2">
        <v>693.0</v>
      </c>
      <c r="U126" s="2" t="s">
        <v>65</v>
      </c>
      <c r="W126" s="2" t="s">
        <v>65</v>
      </c>
      <c r="AC126" s="2" t="s">
        <v>65</v>
      </c>
      <c r="AD126" s="2" t="s">
        <v>65</v>
      </c>
      <c r="AF126" s="2" t="s">
        <v>65</v>
      </c>
    </row>
    <row r="127">
      <c r="A127" s="2" t="s">
        <v>3078</v>
      </c>
      <c r="B127" s="2" t="s">
        <v>3079</v>
      </c>
      <c r="C127" s="6">
        <v>45973.23224537037</v>
      </c>
      <c r="D127" s="2">
        <v>1.762925666E9</v>
      </c>
      <c r="E127" s="8" t="s">
        <v>3080</v>
      </c>
      <c r="F127" s="2" t="s">
        <v>3086</v>
      </c>
      <c r="G127" s="2" t="s">
        <v>3088</v>
      </c>
      <c r="H127" s="2" t="s">
        <v>3089</v>
      </c>
      <c r="I127" s="2">
        <v>6.8838168E7</v>
      </c>
      <c r="J127" s="8" t="s">
        <v>3090</v>
      </c>
      <c r="K127" s="8" t="s">
        <v>3098</v>
      </c>
      <c r="L127" s="2" t="b">
        <v>0</v>
      </c>
      <c r="M127" s="2" t="s">
        <v>67</v>
      </c>
      <c r="N127" s="2" t="s">
        <v>64</v>
      </c>
      <c r="O127" s="2" t="s">
        <v>65</v>
      </c>
      <c r="P127" s="2">
        <v>0.0</v>
      </c>
      <c r="Q127" s="2">
        <v>1.0</v>
      </c>
      <c r="R127" s="2">
        <v>23.0</v>
      </c>
      <c r="S127" s="2">
        <v>0.0</v>
      </c>
      <c r="T127" s="2">
        <v>1721.0</v>
      </c>
      <c r="U127" s="2" t="s">
        <v>65</v>
      </c>
      <c r="W127" s="2" t="s">
        <v>65</v>
      </c>
      <c r="AC127" s="2" t="s">
        <v>65</v>
      </c>
      <c r="AD127" s="2" t="s">
        <v>71</v>
      </c>
      <c r="AE127" s="2" t="s">
        <v>3100</v>
      </c>
      <c r="AF127" s="2" t="s">
        <v>65</v>
      </c>
      <c r="AK127" s="2" t="s">
        <v>3100</v>
      </c>
    </row>
    <row r="128" hidden="1">
      <c r="A128" s="2" t="s">
        <v>3101</v>
      </c>
      <c r="B128" s="2" t="s">
        <v>3101</v>
      </c>
      <c r="C128" s="6">
        <v>45775.786145833335</v>
      </c>
      <c r="D128" s="2">
        <v>1.745866323E9</v>
      </c>
      <c r="E128" s="8" t="s">
        <v>3102</v>
      </c>
      <c r="F128" s="2" t="s">
        <v>3107</v>
      </c>
      <c r="G128" s="2" t="s">
        <v>701</v>
      </c>
      <c r="H128" s="2" t="s">
        <v>703</v>
      </c>
      <c r="I128" s="2" t="s">
        <v>705</v>
      </c>
      <c r="J128" s="8" t="s">
        <v>706</v>
      </c>
      <c r="K128" s="8" t="s">
        <v>718</v>
      </c>
      <c r="L128" s="2" t="b">
        <v>0</v>
      </c>
      <c r="M128" s="2" t="s">
        <v>67</v>
      </c>
      <c r="N128" s="2" t="s">
        <v>68</v>
      </c>
      <c r="O128" s="2" t="s">
        <v>65</v>
      </c>
      <c r="P128" s="2">
        <v>0.0</v>
      </c>
      <c r="Q128" s="2">
        <v>2.0</v>
      </c>
      <c r="R128" s="2">
        <v>0.0</v>
      </c>
      <c r="S128" s="2">
        <v>0.0</v>
      </c>
      <c r="T128" s="2">
        <v>37.0</v>
      </c>
      <c r="U128" s="2" t="s">
        <v>65</v>
      </c>
      <c r="W128" s="2" t="s">
        <v>65</v>
      </c>
      <c r="AC128" s="2" t="s">
        <v>65</v>
      </c>
      <c r="AD128" s="2" t="s">
        <v>65</v>
      </c>
      <c r="AF128" s="2" t="s">
        <v>65</v>
      </c>
    </row>
    <row r="129" hidden="1">
      <c r="A129" s="2" t="s">
        <v>3111</v>
      </c>
      <c r="B129" s="2" t="s">
        <v>3113</v>
      </c>
      <c r="C129" s="6">
        <v>44788.85054398148</v>
      </c>
      <c r="D129" s="2">
        <v>1.660595087E9</v>
      </c>
      <c r="E129" s="8" t="s">
        <v>3115</v>
      </c>
      <c r="F129" s="2" t="s">
        <v>3126</v>
      </c>
      <c r="G129" s="2" t="s">
        <v>3128</v>
      </c>
      <c r="H129" s="2" t="s">
        <v>3130</v>
      </c>
      <c r="I129" s="2">
        <v>4.3727536E7</v>
      </c>
      <c r="J129" s="8" t="s">
        <v>3132</v>
      </c>
      <c r="K129" s="8" t="s">
        <v>3135</v>
      </c>
      <c r="L129" s="2" t="b">
        <v>0</v>
      </c>
      <c r="M129" s="2" t="s">
        <v>67</v>
      </c>
      <c r="N129" s="2" t="s">
        <v>68</v>
      </c>
      <c r="O129" s="2" t="s">
        <v>65</v>
      </c>
      <c r="P129" s="2">
        <v>4.0</v>
      </c>
      <c r="Q129" s="2">
        <v>4.0</v>
      </c>
      <c r="R129" s="2">
        <v>243.0</v>
      </c>
      <c r="S129" s="2">
        <v>2.0</v>
      </c>
      <c r="U129" s="2" t="s">
        <v>65</v>
      </c>
      <c r="W129" s="2" t="s">
        <v>65</v>
      </c>
      <c r="AC129" s="2" t="s">
        <v>65</v>
      </c>
      <c r="AD129" s="2" t="s">
        <v>71</v>
      </c>
      <c r="AE129" s="2" t="s">
        <v>3137</v>
      </c>
      <c r="AF129" s="2" t="s">
        <v>65</v>
      </c>
    </row>
    <row r="130">
      <c r="A130" s="2" t="s">
        <v>652</v>
      </c>
      <c r="B130" s="2" t="s">
        <v>652</v>
      </c>
      <c r="C130" s="6">
        <v>45972.94873842593</v>
      </c>
      <c r="D130" s="2">
        <v>1.762901171E9</v>
      </c>
      <c r="E130" s="8" t="s">
        <v>653</v>
      </c>
      <c r="F130" s="2" t="s">
        <v>661</v>
      </c>
      <c r="G130" s="2" t="s">
        <v>662</v>
      </c>
      <c r="H130" s="2" t="s">
        <v>663</v>
      </c>
      <c r="I130" s="2" t="s">
        <v>664</v>
      </c>
      <c r="J130" s="8" t="s">
        <v>665</v>
      </c>
      <c r="K130" s="8" t="s">
        <v>671</v>
      </c>
      <c r="L130" s="2" t="b">
        <v>0</v>
      </c>
      <c r="M130" s="2" t="s">
        <v>66</v>
      </c>
      <c r="N130" s="2" t="s">
        <v>64</v>
      </c>
      <c r="O130" s="2" t="s">
        <v>65</v>
      </c>
      <c r="P130" s="2">
        <v>0.0</v>
      </c>
      <c r="Q130" s="2">
        <v>0.0</v>
      </c>
      <c r="R130" s="2">
        <v>0.0</v>
      </c>
      <c r="S130" s="2">
        <v>0.0</v>
      </c>
      <c r="T130" s="2">
        <v>10.0</v>
      </c>
      <c r="U130" s="2" t="s">
        <v>65</v>
      </c>
      <c r="W130" s="2" t="s">
        <v>65</v>
      </c>
      <c r="AC130" s="2" t="s">
        <v>65</v>
      </c>
      <c r="AD130" s="2" t="s">
        <v>65</v>
      </c>
      <c r="AF130" s="2" t="s">
        <v>65</v>
      </c>
      <c r="AH130" s="8" t="s">
        <v>674</v>
      </c>
    </row>
    <row r="131">
      <c r="A131" s="2" t="s">
        <v>3163</v>
      </c>
      <c r="B131" s="2" t="s">
        <v>3163</v>
      </c>
      <c r="C131" s="6">
        <v>45651.737858796296</v>
      </c>
      <c r="D131" s="2">
        <v>1.735148551E9</v>
      </c>
      <c r="E131" s="8" t="s">
        <v>3165</v>
      </c>
      <c r="F131" s="2" t="s">
        <v>3166</v>
      </c>
      <c r="G131" s="2" t="s">
        <v>3167</v>
      </c>
      <c r="H131" s="2" t="s">
        <v>3168</v>
      </c>
      <c r="I131" s="2" t="s">
        <v>3169</v>
      </c>
      <c r="J131" s="8" t="s">
        <v>3172</v>
      </c>
      <c r="K131" s="8" t="s">
        <v>3174</v>
      </c>
      <c r="L131" s="2" t="b">
        <v>0</v>
      </c>
      <c r="M131" s="2" t="s">
        <v>67</v>
      </c>
      <c r="N131" s="2" t="s">
        <v>64</v>
      </c>
      <c r="O131" s="2" t="s">
        <v>65</v>
      </c>
      <c r="P131" s="2">
        <v>2.0</v>
      </c>
      <c r="Q131" s="2">
        <v>2.0</v>
      </c>
      <c r="R131" s="2">
        <v>5.0</v>
      </c>
      <c r="S131" s="2">
        <v>0.0</v>
      </c>
      <c r="T131" s="2">
        <v>432.0</v>
      </c>
      <c r="U131" s="2" t="s">
        <v>65</v>
      </c>
      <c r="W131" s="2" t="s">
        <v>71</v>
      </c>
      <c r="X131" s="2" t="s">
        <v>3177</v>
      </c>
      <c r="Y131" s="2" t="s">
        <v>158</v>
      </c>
      <c r="Z131" s="2" t="s">
        <v>3180</v>
      </c>
      <c r="AC131" s="2" t="s">
        <v>65</v>
      </c>
      <c r="AD131" s="2" t="s">
        <v>65</v>
      </c>
      <c r="AF131" s="2" t="s">
        <v>65</v>
      </c>
    </row>
    <row r="132" hidden="1">
      <c r="A132" s="2" t="s">
        <v>3183</v>
      </c>
      <c r="B132" s="2" t="s">
        <v>3183</v>
      </c>
      <c r="C132" s="6">
        <v>45602.91693287037</v>
      </c>
      <c r="D132" s="2">
        <v>1.730930423E9</v>
      </c>
      <c r="E132" s="8" t="s">
        <v>3185</v>
      </c>
      <c r="F132" s="2" t="s">
        <v>3188</v>
      </c>
      <c r="G132" s="2" t="s">
        <v>3191</v>
      </c>
      <c r="H132" s="12" t="s">
        <v>3196</v>
      </c>
      <c r="I132" s="2">
        <v>5.67726602E8</v>
      </c>
      <c r="J132" s="8" t="s">
        <v>3198</v>
      </c>
      <c r="K132" s="8" t="s">
        <v>3201</v>
      </c>
      <c r="L132" s="2" t="b">
        <v>0</v>
      </c>
      <c r="M132" s="2" t="s">
        <v>66</v>
      </c>
      <c r="N132" s="2" t="s">
        <v>68</v>
      </c>
      <c r="O132" s="2" t="s">
        <v>65</v>
      </c>
      <c r="P132" s="2">
        <v>0.0</v>
      </c>
      <c r="Q132" s="2">
        <v>0.0</v>
      </c>
      <c r="R132" s="2">
        <v>0.0</v>
      </c>
      <c r="S132" s="2">
        <v>0.0</v>
      </c>
      <c r="T132" s="2">
        <v>49.0</v>
      </c>
      <c r="U132" s="2" t="s">
        <v>65</v>
      </c>
      <c r="W132" s="2" t="s">
        <v>65</v>
      </c>
      <c r="AC132" s="2" t="s">
        <v>65</v>
      </c>
      <c r="AD132" s="2" t="s">
        <v>65</v>
      </c>
      <c r="AF132" s="2" t="s">
        <v>65</v>
      </c>
    </row>
    <row r="133" hidden="1">
      <c r="A133" s="2" t="s">
        <v>3206</v>
      </c>
      <c r="B133" s="2" t="s">
        <v>3206</v>
      </c>
      <c r="C133" s="6">
        <v>45797.713541666664</v>
      </c>
      <c r="D133" s="2">
        <v>1.74776085E9</v>
      </c>
      <c r="E133" s="8" t="s">
        <v>3207</v>
      </c>
      <c r="F133" s="2" t="s">
        <v>3209</v>
      </c>
      <c r="G133" s="2" t="s">
        <v>3210</v>
      </c>
      <c r="H133" s="2" t="s">
        <v>3211</v>
      </c>
      <c r="I133" s="2" t="s">
        <v>3212</v>
      </c>
      <c r="J133" s="8" t="s">
        <v>3213</v>
      </c>
      <c r="K133" s="8" t="s">
        <v>3214</v>
      </c>
      <c r="L133" s="2" t="b">
        <v>0</v>
      </c>
      <c r="M133" s="2" t="s">
        <v>85</v>
      </c>
      <c r="N133" s="2" t="s">
        <v>68</v>
      </c>
      <c r="O133" s="2" t="s">
        <v>65</v>
      </c>
      <c r="P133" s="2">
        <v>0.0</v>
      </c>
      <c r="Q133" s="2">
        <v>1.0</v>
      </c>
      <c r="R133" s="2">
        <v>0.0</v>
      </c>
      <c r="S133" s="2">
        <v>0.0</v>
      </c>
      <c r="T133" s="2">
        <v>69.0</v>
      </c>
      <c r="U133" s="2" t="s">
        <v>65</v>
      </c>
      <c r="W133" s="2" t="s">
        <v>65</v>
      </c>
      <c r="AC133" s="2" t="s">
        <v>65</v>
      </c>
      <c r="AD133" s="2" t="s">
        <v>65</v>
      </c>
      <c r="AF133" s="2" t="s">
        <v>65</v>
      </c>
    </row>
    <row r="134">
      <c r="A134" s="2" t="s">
        <v>3221</v>
      </c>
      <c r="B134" s="2" t="s">
        <v>3221</v>
      </c>
      <c r="C134" s="6">
        <v>44091.55111111111</v>
      </c>
      <c r="D134" s="2">
        <v>1.600348416E9</v>
      </c>
      <c r="E134" s="8" t="s">
        <v>3222</v>
      </c>
      <c r="F134" s="2" t="s">
        <v>3224</v>
      </c>
      <c r="G134" s="2" t="s">
        <v>3225</v>
      </c>
      <c r="H134" s="2" t="s">
        <v>3226</v>
      </c>
      <c r="I134" s="2">
        <v>2.31233199E9</v>
      </c>
      <c r="J134" s="8" t="s">
        <v>3227</v>
      </c>
      <c r="K134" s="8" t="s">
        <v>3229</v>
      </c>
      <c r="L134" s="2" t="b">
        <v>0</v>
      </c>
      <c r="M134" s="2" t="s">
        <v>67</v>
      </c>
      <c r="N134" s="2" t="s">
        <v>64</v>
      </c>
      <c r="O134" s="2" t="s">
        <v>65</v>
      </c>
      <c r="P134" s="2">
        <v>70.0</v>
      </c>
      <c r="Q134" s="2">
        <v>1.0</v>
      </c>
      <c r="R134" s="2">
        <v>251.0</v>
      </c>
      <c r="S134" s="2">
        <v>8.0</v>
      </c>
      <c r="U134" s="2" t="s">
        <v>65</v>
      </c>
      <c r="W134" s="2" t="s">
        <v>65</v>
      </c>
      <c r="AC134" s="2" t="s">
        <v>65</v>
      </c>
      <c r="AD134" s="2" t="s">
        <v>65</v>
      </c>
      <c r="AF134" s="2" t="s">
        <v>65</v>
      </c>
    </row>
    <row r="135">
      <c r="A135" s="2" t="s">
        <v>594</v>
      </c>
      <c r="B135" s="2" t="s">
        <v>594</v>
      </c>
      <c r="C135" s="6">
        <v>45973.85193287037</v>
      </c>
      <c r="D135" s="2">
        <v>1.762979207E9</v>
      </c>
      <c r="E135" s="8" t="s">
        <v>597</v>
      </c>
      <c r="F135" s="2" t="s">
        <v>599</v>
      </c>
      <c r="G135" s="2" t="s">
        <v>600</v>
      </c>
      <c r="H135" s="2" t="s">
        <v>601</v>
      </c>
      <c r="I135" s="2" t="s">
        <v>602</v>
      </c>
      <c r="J135" s="8" t="s">
        <v>603</v>
      </c>
      <c r="K135" s="8" t="s">
        <v>607</v>
      </c>
      <c r="L135" s="2" t="b">
        <v>0</v>
      </c>
      <c r="M135" s="2" t="s">
        <v>67</v>
      </c>
      <c r="N135" s="2" t="s">
        <v>64</v>
      </c>
      <c r="O135" s="2" t="s">
        <v>65</v>
      </c>
      <c r="P135" s="2">
        <v>0.0</v>
      </c>
      <c r="Q135" s="2">
        <v>1.0</v>
      </c>
      <c r="R135" s="2">
        <v>8.0</v>
      </c>
      <c r="S135" s="2">
        <v>0.0</v>
      </c>
      <c r="T135" s="2">
        <v>280.0</v>
      </c>
      <c r="U135" s="2" t="s">
        <v>65</v>
      </c>
      <c r="W135" s="2" t="s">
        <v>65</v>
      </c>
      <c r="AC135" s="2" t="s">
        <v>65</v>
      </c>
      <c r="AD135" s="2" t="s">
        <v>65</v>
      </c>
      <c r="AF135" s="2" t="s">
        <v>65</v>
      </c>
    </row>
    <row r="136">
      <c r="A136" s="2" t="s">
        <v>3247</v>
      </c>
      <c r="B136" s="2" t="s">
        <v>3247</v>
      </c>
      <c r="C136" s="6">
        <v>45756.74092592593</v>
      </c>
      <c r="D136" s="2">
        <v>1.744220816E9</v>
      </c>
      <c r="E136" s="8" t="s">
        <v>3249</v>
      </c>
      <c r="F136" s="2" t="s">
        <v>3256</v>
      </c>
      <c r="G136" s="2" t="s">
        <v>1843</v>
      </c>
      <c r="H136" s="2" t="s">
        <v>1844</v>
      </c>
      <c r="I136" s="2" t="s">
        <v>1845</v>
      </c>
      <c r="J136" s="8" t="s">
        <v>1846</v>
      </c>
      <c r="K136" s="8" t="s">
        <v>1848</v>
      </c>
      <c r="L136" s="2" t="b">
        <v>0</v>
      </c>
      <c r="M136" s="2" t="s">
        <v>67</v>
      </c>
      <c r="N136" s="2" t="s">
        <v>64</v>
      </c>
      <c r="O136" s="2" t="s">
        <v>65</v>
      </c>
      <c r="P136" s="2">
        <v>0.0</v>
      </c>
      <c r="Q136" s="2">
        <v>0.0</v>
      </c>
      <c r="R136" s="2">
        <v>4.0</v>
      </c>
      <c r="S136" s="2">
        <v>0.0</v>
      </c>
      <c r="T136" s="2">
        <v>259.0</v>
      </c>
      <c r="U136" s="2" t="s">
        <v>65</v>
      </c>
      <c r="W136" s="2" t="s">
        <v>65</v>
      </c>
      <c r="AC136" s="2" t="s">
        <v>65</v>
      </c>
      <c r="AD136" s="2" t="s">
        <v>65</v>
      </c>
      <c r="AF136" s="2" t="s">
        <v>65</v>
      </c>
    </row>
    <row r="137">
      <c r="A137" s="2" t="s">
        <v>3262</v>
      </c>
      <c r="B137" s="2" t="s">
        <v>3262</v>
      </c>
      <c r="C137" s="6">
        <v>45830.83005787037</v>
      </c>
      <c r="D137" s="2">
        <v>1.750622117E9</v>
      </c>
      <c r="E137" s="8" t="s">
        <v>3264</v>
      </c>
      <c r="F137" s="2" t="s">
        <v>3267</v>
      </c>
      <c r="G137" s="2" t="s">
        <v>3268</v>
      </c>
      <c r="H137" s="2" t="s">
        <v>3270</v>
      </c>
      <c r="I137" s="2">
        <v>1.400777557E9</v>
      </c>
      <c r="J137" s="8" t="s">
        <v>3272</v>
      </c>
      <c r="K137" s="8" t="s">
        <v>3274</v>
      </c>
      <c r="L137" s="2" t="b">
        <v>0</v>
      </c>
      <c r="M137" s="2" t="s">
        <v>85</v>
      </c>
      <c r="N137" s="2" t="s">
        <v>64</v>
      </c>
      <c r="O137" s="2" t="s">
        <v>65</v>
      </c>
      <c r="P137" s="2">
        <v>1.0</v>
      </c>
      <c r="Q137" s="2">
        <v>0.0</v>
      </c>
      <c r="R137" s="2">
        <v>1.0</v>
      </c>
      <c r="S137" s="2">
        <v>0.0</v>
      </c>
      <c r="T137" s="2">
        <v>327.0</v>
      </c>
      <c r="U137" s="2" t="s">
        <v>65</v>
      </c>
      <c r="W137" s="2" t="s">
        <v>65</v>
      </c>
      <c r="AC137" s="2" t="s">
        <v>65</v>
      </c>
      <c r="AD137" s="2" t="s">
        <v>65</v>
      </c>
      <c r="AF137" s="2" t="s">
        <v>65</v>
      </c>
      <c r="AG137" s="2" t="s">
        <v>3279</v>
      </c>
      <c r="AI137" s="8" t="s">
        <v>3280</v>
      </c>
    </row>
    <row r="138">
      <c r="A138" s="2" t="s">
        <v>3288</v>
      </c>
      <c r="B138" s="2" t="s">
        <v>3288</v>
      </c>
      <c r="C138" s="6">
        <v>45970.62096064815</v>
      </c>
      <c r="D138" s="2">
        <v>1.762700051E9</v>
      </c>
      <c r="E138" s="8" t="s">
        <v>3290</v>
      </c>
      <c r="F138" s="2" t="s">
        <v>3295</v>
      </c>
      <c r="G138" s="2" t="s">
        <v>3296</v>
      </c>
      <c r="H138" s="2" t="s">
        <v>3298</v>
      </c>
      <c r="I138" s="2">
        <v>2.06776127E8</v>
      </c>
      <c r="J138" s="8" t="s">
        <v>3299</v>
      </c>
      <c r="K138" s="8" t="s">
        <v>3301</v>
      </c>
      <c r="L138" s="2" t="b">
        <v>0</v>
      </c>
      <c r="M138" s="2" t="s">
        <v>67</v>
      </c>
      <c r="N138" s="2" t="s">
        <v>64</v>
      </c>
      <c r="O138" s="2" t="s">
        <v>65</v>
      </c>
      <c r="P138" s="2">
        <v>0.0</v>
      </c>
      <c r="Q138" s="2">
        <v>0.0</v>
      </c>
      <c r="R138" s="2">
        <v>2.0</v>
      </c>
      <c r="S138" s="2">
        <v>0.0</v>
      </c>
      <c r="T138" s="2">
        <v>63.0</v>
      </c>
      <c r="U138" s="2" t="s">
        <v>65</v>
      </c>
      <c r="W138" s="2" t="s">
        <v>71</v>
      </c>
      <c r="X138" s="2" t="s">
        <v>3302</v>
      </c>
      <c r="Y138" s="2" t="s">
        <v>3296</v>
      </c>
      <c r="Z138" s="2" t="s">
        <v>3303</v>
      </c>
      <c r="AC138" s="2" t="s">
        <v>65</v>
      </c>
      <c r="AD138" s="2" t="s">
        <v>65</v>
      </c>
      <c r="AF138" s="2" t="s">
        <v>65</v>
      </c>
      <c r="AL138" s="2" t="s">
        <v>3304</v>
      </c>
      <c r="AM138" s="2" t="s">
        <v>3305</v>
      </c>
    </row>
    <row r="139" hidden="1">
      <c r="A139" s="2" t="s">
        <v>3307</v>
      </c>
      <c r="B139" s="2" t="s">
        <v>3307</v>
      </c>
      <c r="C139" s="6">
        <v>45320.966412037036</v>
      </c>
      <c r="D139" s="2">
        <v>1.706569898E9</v>
      </c>
      <c r="E139" s="8" t="s">
        <v>3309</v>
      </c>
      <c r="F139" s="2" t="s">
        <v>3317</v>
      </c>
      <c r="G139" s="2" t="s">
        <v>3318</v>
      </c>
      <c r="H139" s="2" t="s">
        <v>3319</v>
      </c>
      <c r="I139" s="2">
        <v>3.295393091E9</v>
      </c>
      <c r="J139" s="8" t="s">
        <v>3320</v>
      </c>
      <c r="K139" s="8" t="s">
        <v>3331</v>
      </c>
      <c r="L139" s="2" t="b">
        <v>0</v>
      </c>
      <c r="M139" s="2" t="s">
        <v>85</v>
      </c>
      <c r="N139" s="2" t="s">
        <v>68</v>
      </c>
      <c r="O139" s="2" t="s">
        <v>65</v>
      </c>
      <c r="P139" s="2">
        <v>33.0</v>
      </c>
      <c r="Q139" s="2">
        <v>2.0</v>
      </c>
      <c r="R139" s="2">
        <v>251.0</v>
      </c>
      <c r="S139" s="2">
        <v>2.0</v>
      </c>
      <c r="T139" s="2">
        <v>7684.0</v>
      </c>
      <c r="U139" s="2" t="s">
        <v>65</v>
      </c>
      <c r="W139" s="2" t="s">
        <v>71</v>
      </c>
      <c r="X139" s="2" t="s">
        <v>3334</v>
      </c>
      <c r="Y139" s="2" t="s">
        <v>3335</v>
      </c>
      <c r="Z139" s="2" t="s">
        <v>3336</v>
      </c>
      <c r="AB139" s="8" t="s">
        <v>3338</v>
      </c>
      <c r="AC139" s="2" t="s">
        <v>65</v>
      </c>
      <c r="AD139" s="2" t="s">
        <v>65</v>
      </c>
      <c r="AF139" s="2" t="s">
        <v>65</v>
      </c>
    </row>
    <row r="140">
      <c r="A140" s="2" t="s">
        <v>3346</v>
      </c>
      <c r="B140" s="2" t="s">
        <v>3347</v>
      </c>
      <c r="C140" s="6">
        <v>45845.92733796296</v>
      </c>
      <c r="D140" s="2">
        <v>1.751926522E9</v>
      </c>
      <c r="E140" s="8" t="s">
        <v>3348</v>
      </c>
      <c r="F140" s="2" t="s">
        <v>3349</v>
      </c>
      <c r="G140" s="2" t="s">
        <v>158</v>
      </c>
      <c r="H140" s="2" t="s">
        <v>159</v>
      </c>
      <c r="I140" s="2">
        <v>2.36621586E8</v>
      </c>
      <c r="J140" s="8" t="s">
        <v>160</v>
      </c>
      <c r="K140" s="8" t="s">
        <v>162</v>
      </c>
      <c r="L140" s="2" t="b">
        <v>0</v>
      </c>
      <c r="M140" s="2" t="s">
        <v>66</v>
      </c>
      <c r="N140" s="2" t="s">
        <v>64</v>
      </c>
      <c r="O140" s="2" t="s">
        <v>65</v>
      </c>
      <c r="P140" s="2">
        <v>1.0</v>
      </c>
      <c r="Q140" s="2">
        <v>1.0</v>
      </c>
      <c r="R140" s="2">
        <v>10.0</v>
      </c>
      <c r="S140" s="2">
        <v>0.0</v>
      </c>
      <c r="T140" s="2">
        <v>541.0</v>
      </c>
      <c r="U140" s="2" t="s">
        <v>65</v>
      </c>
      <c r="W140" s="2" t="s">
        <v>65</v>
      </c>
      <c r="AC140" s="2" t="s">
        <v>65</v>
      </c>
      <c r="AD140" s="2" t="s">
        <v>71</v>
      </c>
      <c r="AE140" s="2" t="s">
        <v>158</v>
      </c>
      <c r="AF140" s="2" t="s">
        <v>65</v>
      </c>
    </row>
    <row r="141">
      <c r="A141" s="2" t="s">
        <v>3352</v>
      </c>
      <c r="B141" s="2" t="s">
        <v>3352</v>
      </c>
      <c r="C141" s="6">
        <v>45969.10015046296</v>
      </c>
      <c r="D141" s="2">
        <v>1.762568653E9</v>
      </c>
      <c r="E141" s="8" t="s">
        <v>3354</v>
      </c>
      <c r="F141" s="2" t="s">
        <v>3356</v>
      </c>
      <c r="G141" s="2" t="s">
        <v>3357</v>
      </c>
      <c r="H141" s="2" t="s">
        <v>3358</v>
      </c>
      <c r="I141" s="2">
        <v>5.0189533E7</v>
      </c>
      <c r="J141" s="8" t="s">
        <v>3359</v>
      </c>
      <c r="K141" s="8" t="s">
        <v>3362</v>
      </c>
      <c r="L141" s="2" t="b">
        <v>0</v>
      </c>
      <c r="M141" s="2" t="s">
        <v>67</v>
      </c>
      <c r="N141" s="2" t="s">
        <v>64</v>
      </c>
      <c r="O141" s="2" t="s">
        <v>65</v>
      </c>
      <c r="P141" s="2">
        <v>0.0</v>
      </c>
      <c r="Q141" s="2">
        <v>2.0</v>
      </c>
      <c r="R141" s="2">
        <v>1.0</v>
      </c>
      <c r="S141" s="2">
        <v>0.0</v>
      </c>
      <c r="T141" s="2">
        <v>83.0</v>
      </c>
      <c r="U141" s="2" t="s">
        <v>65</v>
      </c>
      <c r="W141" s="2" t="s">
        <v>65</v>
      </c>
      <c r="AC141" s="2" t="s">
        <v>65</v>
      </c>
      <c r="AD141" s="2" t="s">
        <v>65</v>
      </c>
      <c r="AF141" s="2" t="s">
        <v>65</v>
      </c>
    </row>
    <row r="142" hidden="1">
      <c r="A142" s="2" t="s">
        <v>3369</v>
      </c>
      <c r="B142" s="2" t="s">
        <v>3369</v>
      </c>
      <c r="C142" s="6">
        <v>44531.04</v>
      </c>
      <c r="D142" s="2">
        <v>1.638320256E9</v>
      </c>
      <c r="E142" s="8" t="s">
        <v>3370</v>
      </c>
      <c r="F142" s="2" t="s">
        <v>3371</v>
      </c>
      <c r="G142" s="2" t="s">
        <v>3372</v>
      </c>
      <c r="H142" s="2" t="s">
        <v>3373</v>
      </c>
      <c r="I142" s="2" t="s">
        <v>3374</v>
      </c>
      <c r="J142" s="8" t="s">
        <v>3375</v>
      </c>
      <c r="K142" s="8" t="s">
        <v>3380</v>
      </c>
      <c r="L142" s="2" t="b">
        <v>0</v>
      </c>
      <c r="M142" s="2" t="s">
        <v>67</v>
      </c>
      <c r="N142" s="2" t="s">
        <v>68</v>
      </c>
      <c r="O142" s="2" t="s">
        <v>65</v>
      </c>
      <c r="P142" s="2">
        <v>147.0</v>
      </c>
      <c r="Q142" s="2">
        <v>6.0</v>
      </c>
      <c r="R142" s="2">
        <v>409.0</v>
      </c>
      <c r="S142" s="2">
        <v>11.0</v>
      </c>
      <c r="U142" s="2" t="s">
        <v>65</v>
      </c>
      <c r="W142" s="2" t="s">
        <v>65</v>
      </c>
      <c r="AC142" s="2" t="s">
        <v>65</v>
      </c>
      <c r="AD142" s="2" t="s">
        <v>65</v>
      </c>
      <c r="AF142" s="2" t="s">
        <v>65</v>
      </c>
    </row>
    <row r="143">
      <c r="A143" s="2" t="s">
        <v>3384</v>
      </c>
      <c r="B143" s="2" t="s">
        <v>3384</v>
      </c>
      <c r="C143" s="6">
        <v>45629.51846064815</v>
      </c>
      <c r="D143" s="2">
        <v>1.733228795E9</v>
      </c>
      <c r="E143" s="8" t="s">
        <v>3388</v>
      </c>
      <c r="F143" s="2" t="s">
        <v>3390</v>
      </c>
      <c r="G143" s="2" t="s">
        <v>3391</v>
      </c>
      <c r="H143" s="2" t="s">
        <v>3392</v>
      </c>
      <c r="I143" s="2" t="s">
        <v>3393</v>
      </c>
      <c r="J143" s="8" t="s">
        <v>3394</v>
      </c>
      <c r="K143" s="8" t="s">
        <v>3396</v>
      </c>
      <c r="L143" s="2" t="b">
        <v>0</v>
      </c>
      <c r="M143" s="2" t="s">
        <v>67</v>
      </c>
      <c r="N143" s="2" t="s">
        <v>64</v>
      </c>
      <c r="O143" s="2" t="s">
        <v>65</v>
      </c>
      <c r="P143" s="2">
        <v>0.0</v>
      </c>
      <c r="Q143" s="2">
        <v>2.0</v>
      </c>
      <c r="R143" s="2">
        <v>6.0</v>
      </c>
      <c r="S143" s="2">
        <v>0.0</v>
      </c>
      <c r="T143" s="2">
        <v>204.0</v>
      </c>
      <c r="U143" s="2" t="s">
        <v>65</v>
      </c>
      <c r="W143" s="2" t="s">
        <v>65</v>
      </c>
      <c r="AC143" s="2" t="s">
        <v>65</v>
      </c>
      <c r="AD143" s="2" t="s">
        <v>65</v>
      </c>
      <c r="AF143" s="2" t="s">
        <v>65</v>
      </c>
    </row>
    <row r="144" hidden="1">
      <c r="A144" s="2" t="s">
        <v>725</v>
      </c>
      <c r="B144" s="2" t="s">
        <v>726</v>
      </c>
      <c r="C144" s="6">
        <v>45970.59877314815</v>
      </c>
      <c r="D144" s="2">
        <v>1.762698134E9</v>
      </c>
      <c r="E144" s="8" t="s">
        <v>727</v>
      </c>
      <c r="F144" s="2" t="s">
        <v>732</v>
      </c>
      <c r="G144" s="2" t="s">
        <v>733</v>
      </c>
      <c r="H144" s="2" t="s">
        <v>734</v>
      </c>
      <c r="I144" s="2" t="s">
        <v>736</v>
      </c>
      <c r="J144" s="8" t="s">
        <v>738</v>
      </c>
      <c r="L144" s="2" t="b">
        <v>0</v>
      </c>
      <c r="M144" s="2" t="s">
        <v>67</v>
      </c>
      <c r="N144" s="2" t="s">
        <v>68</v>
      </c>
      <c r="O144" s="2" t="s">
        <v>65</v>
      </c>
      <c r="P144" s="2">
        <v>0.0</v>
      </c>
      <c r="Q144" s="2">
        <v>1.0</v>
      </c>
      <c r="R144" s="2">
        <v>0.0</v>
      </c>
      <c r="S144" s="2">
        <v>0.0</v>
      </c>
      <c r="T144" s="2">
        <v>17.0</v>
      </c>
      <c r="U144" s="2" t="s">
        <v>65</v>
      </c>
      <c r="W144" s="2" t="s">
        <v>65</v>
      </c>
      <c r="AC144" s="2" t="s">
        <v>65</v>
      </c>
      <c r="AD144" s="2" t="s">
        <v>71</v>
      </c>
      <c r="AE144" s="2" t="s">
        <v>748</v>
      </c>
      <c r="AF144" s="2" t="s">
        <v>65</v>
      </c>
      <c r="AK144" s="2" t="s">
        <v>749</v>
      </c>
    </row>
    <row r="145" hidden="1">
      <c r="A145" s="2" t="s">
        <v>3403</v>
      </c>
      <c r="B145" s="2" t="s">
        <v>3403</v>
      </c>
      <c r="C145" s="6">
        <v>45735.63334490741</v>
      </c>
      <c r="D145" s="2">
        <v>1.742397121E9</v>
      </c>
      <c r="E145" s="8" t="s">
        <v>3405</v>
      </c>
      <c r="F145" s="2" t="s">
        <v>3410</v>
      </c>
      <c r="G145" s="2" t="s">
        <v>3411</v>
      </c>
      <c r="H145" s="2" t="s">
        <v>3412</v>
      </c>
      <c r="I145" s="2">
        <v>1.5502866E7</v>
      </c>
      <c r="J145" s="8" t="s">
        <v>3413</v>
      </c>
      <c r="K145" s="8" t="s">
        <v>3415</v>
      </c>
      <c r="L145" s="2" t="b">
        <v>0</v>
      </c>
      <c r="M145" s="2" t="s">
        <v>85</v>
      </c>
      <c r="N145" s="2" t="s">
        <v>68</v>
      </c>
      <c r="O145" s="2" t="s">
        <v>65</v>
      </c>
      <c r="P145" s="2">
        <v>0.0</v>
      </c>
      <c r="Q145" s="2">
        <v>0.0</v>
      </c>
      <c r="R145" s="2">
        <v>2.0</v>
      </c>
      <c r="S145" s="2">
        <v>0.0</v>
      </c>
      <c r="T145" s="2">
        <v>1364.0</v>
      </c>
      <c r="U145" s="2" t="s">
        <v>65</v>
      </c>
      <c r="W145" s="2" t="s">
        <v>65</v>
      </c>
      <c r="AC145" s="2" t="s">
        <v>65</v>
      </c>
      <c r="AD145" s="2" t="s">
        <v>65</v>
      </c>
      <c r="AF145" s="2" t="s">
        <v>65</v>
      </c>
    </row>
    <row r="146" hidden="1">
      <c r="A146" s="2" t="s">
        <v>3416</v>
      </c>
      <c r="B146" s="2" t="s">
        <v>3416</v>
      </c>
      <c r="C146" s="6">
        <v>45799.93400462963</v>
      </c>
      <c r="D146" s="2">
        <v>1.747952698E9</v>
      </c>
      <c r="E146" s="8" t="s">
        <v>3417</v>
      </c>
      <c r="F146" s="2" t="s">
        <v>3419</v>
      </c>
      <c r="G146" s="2" t="s">
        <v>3420</v>
      </c>
      <c r="H146" s="2" t="s">
        <v>1177</v>
      </c>
      <c r="I146" s="2">
        <v>2.831662233E9</v>
      </c>
      <c r="J146" s="8" t="s">
        <v>3422</v>
      </c>
      <c r="K146" s="8" t="s">
        <v>3426</v>
      </c>
      <c r="L146" s="2" t="b">
        <v>0</v>
      </c>
      <c r="M146" s="2" t="s">
        <v>67</v>
      </c>
      <c r="N146" s="2" t="s">
        <v>68</v>
      </c>
      <c r="O146" s="2" t="s">
        <v>65</v>
      </c>
      <c r="P146" s="2">
        <v>0.0</v>
      </c>
      <c r="Q146" s="2">
        <v>1.0</v>
      </c>
      <c r="R146" s="2">
        <v>0.0</v>
      </c>
      <c r="S146" s="2">
        <v>0.0</v>
      </c>
      <c r="T146" s="2">
        <v>76.0</v>
      </c>
      <c r="U146" s="2" t="s">
        <v>65</v>
      </c>
      <c r="W146" s="2" t="s">
        <v>65</v>
      </c>
      <c r="AC146" s="2" t="s">
        <v>65</v>
      </c>
      <c r="AD146" s="2" t="s">
        <v>65</v>
      </c>
      <c r="AF146" s="2" t="s">
        <v>65</v>
      </c>
    </row>
    <row r="147">
      <c r="A147" s="2" t="s">
        <v>3437</v>
      </c>
      <c r="B147" s="2" t="s">
        <v>3347</v>
      </c>
      <c r="C147" s="6">
        <v>45845.92726851852</v>
      </c>
      <c r="D147" s="2">
        <v>1.751926516E9</v>
      </c>
      <c r="E147" s="8" t="s">
        <v>3438</v>
      </c>
      <c r="F147" s="2" t="s">
        <v>3440</v>
      </c>
      <c r="G147" s="2" t="s">
        <v>158</v>
      </c>
      <c r="H147" s="2" t="s">
        <v>159</v>
      </c>
      <c r="I147" s="2">
        <v>2.36621586E8</v>
      </c>
      <c r="J147" s="8" t="s">
        <v>160</v>
      </c>
      <c r="K147" s="8" t="s">
        <v>162</v>
      </c>
      <c r="L147" s="2" t="b">
        <v>0</v>
      </c>
      <c r="M147" s="2" t="s">
        <v>66</v>
      </c>
      <c r="N147" s="2" t="s">
        <v>64</v>
      </c>
      <c r="O147" s="2" t="s">
        <v>65</v>
      </c>
      <c r="P147" s="2">
        <v>1.0</v>
      </c>
      <c r="Q147" s="2">
        <v>1.0</v>
      </c>
      <c r="R147" s="2">
        <v>7.0</v>
      </c>
      <c r="S147" s="2">
        <v>1.0</v>
      </c>
      <c r="T147" s="2">
        <v>578.0</v>
      </c>
      <c r="U147" s="2" t="s">
        <v>65</v>
      </c>
      <c r="W147" s="2" t="s">
        <v>65</v>
      </c>
      <c r="AC147" s="2" t="s">
        <v>65</v>
      </c>
      <c r="AD147" s="2" t="s">
        <v>71</v>
      </c>
      <c r="AE147" s="2" t="s">
        <v>158</v>
      </c>
      <c r="AF147" s="2" t="s">
        <v>65</v>
      </c>
    </row>
    <row r="148" hidden="1">
      <c r="A148" s="2" t="s">
        <v>3442</v>
      </c>
      <c r="B148" s="2" t="s">
        <v>3442</v>
      </c>
      <c r="C148" s="6">
        <v>45727.60335648148</v>
      </c>
      <c r="D148" s="2">
        <v>1.74170333E9</v>
      </c>
      <c r="E148" s="8" t="s">
        <v>3443</v>
      </c>
      <c r="F148" s="2" t="s">
        <v>3446</v>
      </c>
      <c r="G148" s="2" t="s">
        <v>3449</v>
      </c>
      <c r="H148" s="2" t="s">
        <v>3450</v>
      </c>
      <c r="I148" s="2" t="s">
        <v>3451</v>
      </c>
      <c r="J148" s="8" t="s">
        <v>3452</v>
      </c>
      <c r="K148" s="8" t="s">
        <v>3460</v>
      </c>
      <c r="L148" s="2" t="b">
        <v>0</v>
      </c>
      <c r="M148" s="2" t="s">
        <v>85</v>
      </c>
      <c r="N148" s="2" t="s">
        <v>68</v>
      </c>
      <c r="O148" s="2" t="s">
        <v>65</v>
      </c>
      <c r="P148" s="2">
        <v>1.0</v>
      </c>
      <c r="Q148" s="2">
        <v>2.0</v>
      </c>
      <c r="R148" s="2">
        <v>10.0</v>
      </c>
      <c r="S148" s="2">
        <v>1.0</v>
      </c>
      <c r="T148" s="2">
        <v>832.0</v>
      </c>
      <c r="U148" s="2" t="s">
        <v>65</v>
      </c>
      <c r="W148" s="2" t="s">
        <v>71</v>
      </c>
      <c r="X148" s="2" t="s">
        <v>3462</v>
      </c>
      <c r="Y148" s="2" t="s">
        <v>3463</v>
      </c>
      <c r="Z148" s="2" t="s">
        <v>3464</v>
      </c>
      <c r="AB148" s="8" t="s">
        <v>3465</v>
      </c>
      <c r="AC148" s="2" t="s">
        <v>65</v>
      </c>
      <c r="AD148" s="2" t="s">
        <v>65</v>
      </c>
      <c r="AF148" s="2" t="s">
        <v>65</v>
      </c>
    </row>
    <row r="149" hidden="1">
      <c r="A149" s="2" t="s">
        <v>3429</v>
      </c>
      <c r="B149" s="2" t="s">
        <v>3429</v>
      </c>
      <c r="C149" s="6">
        <v>45898.6202662037</v>
      </c>
      <c r="D149" s="2">
        <v>1.756479191E9</v>
      </c>
      <c r="E149" s="8" t="s">
        <v>3431</v>
      </c>
      <c r="F149" s="2" t="s">
        <v>3432</v>
      </c>
      <c r="G149" s="2" t="s">
        <v>3433</v>
      </c>
      <c r="H149" s="2" t="s">
        <v>3434</v>
      </c>
      <c r="I149" s="2" t="s">
        <v>3435</v>
      </c>
      <c r="J149" s="8" t="s">
        <v>3436</v>
      </c>
      <c r="K149" s="8" t="s">
        <v>3441</v>
      </c>
      <c r="L149" s="2" t="b">
        <v>0</v>
      </c>
      <c r="M149" s="2" t="s">
        <v>67</v>
      </c>
      <c r="N149" s="2" t="s">
        <v>2012</v>
      </c>
      <c r="O149" s="2" t="s">
        <v>65</v>
      </c>
      <c r="P149" s="2">
        <v>0.0</v>
      </c>
      <c r="Q149" s="2">
        <v>0.0</v>
      </c>
      <c r="R149" s="2">
        <v>1.0</v>
      </c>
      <c r="S149" s="2">
        <v>0.0</v>
      </c>
      <c r="T149" s="2">
        <v>193.0</v>
      </c>
      <c r="U149" s="2" t="s">
        <v>65</v>
      </c>
      <c r="W149" s="2" t="s">
        <v>65</v>
      </c>
      <c r="AC149" s="2" t="s">
        <v>65</v>
      </c>
      <c r="AD149" s="2" t="s">
        <v>65</v>
      </c>
      <c r="AF149" s="2" t="s">
        <v>65</v>
      </c>
    </row>
    <row r="150" hidden="1">
      <c r="A150" s="2" t="s">
        <v>3477</v>
      </c>
      <c r="B150" s="2" t="s">
        <v>3477</v>
      </c>
      <c r="C150" s="6">
        <v>43822.89753472222</v>
      </c>
      <c r="D150" s="2">
        <v>1.577136747E9</v>
      </c>
      <c r="E150" s="8" t="s">
        <v>3479</v>
      </c>
      <c r="F150" s="2" t="s">
        <v>3483</v>
      </c>
      <c r="G150" s="2" t="s">
        <v>3484</v>
      </c>
      <c r="H150" s="2" t="s">
        <v>3485</v>
      </c>
      <c r="I150" s="2">
        <v>6.452346E7</v>
      </c>
      <c r="J150" s="8" t="s">
        <v>3486</v>
      </c>
      <c r="K150" s="8" t="s">
        <v>3489</v>
      </c>
      <c r="L150" s="2" t="b">
        <v>1</v>
      </c>
      <c r="M150" s="2" t="s">
        <v>67</v>
      </c>
      <c r="N150" s="2" t="s">
        <v>68</v>
      </c>
      <c r="O150" s="2" t="s">
        <v>65</v>
      </c>
      <c r="P150" s="2">
        <v>28.0</v>
      </c>
      <c r="Q150" s="2">
        <v>2.0</v>
      </c>
      <c r="R150" s="2">
        <v>224.0</v>
      </c>
      <c r="S150" s="2">
        <v>1.0</v>
      </c>
      <c r="U150" s="2" t="s">
        <v>65</v>
      </c>
      <c r="W150" s="2" t="s">
        <v>65</v>
      </c>
      <c r="AC150" s="2" t="s">
        <v>65</v>
      </c>
      <c r="AD150" s="2" t="s">
        <v>65</v>
      </c>
      <c r="AF150" s="2" t="s">
        <v>65</v>
      </c>
      <c r="AH150" s="8" t="s">
        <v>3492</v>
      </c>
    </row>
    <row r="151">
      <c r="A151" s="2" t="s">
        <v>558</v>
      </c>
      <c r="B151" s="2" t="s">
        <v>559</v>
      </c>
      <c r="C151" s="6">
        <v>45973.97791666666</v>
      </c>
      <c r="D151" s="2">
        <v>1.762990092E9</v>
      </c>
      <c r="E151" s="8" t="s">
        <v>560</v>
      </c>
      <c r="F151" s="2" t="s">
        <v>563</v>
      </c>
      <c r="G151" s="2" t="s">
        <v>564</v>
      </c>
      <c r="H151" s="2" t="s">
        <v>565</v>
      </c>
      <c r="I151" s="2">
        <v>1.66666615E8</v>
      </c>
      <c r="J151" s="8" t="s">
        <v>566</v>
      </c>
      <c r="K151" s="8" t="s">
        <v>570</v>
      </c>
      <c r="L151" s="2" t="b">
        <v>0</v>
      </c>
      <c r="M151" s="2" t="s">
        <v>85</v>
      </c>
      <c r="N151" s="2" t="s">
        <v>64</v>
      </c>
      <c r="O151" s="2" t="s">
        <v>65</v>
      </c>
      <c r="P151" s="2">
        <v>0.0</v>
      </c>
      <c r="Q151" s="2">
        <v>0.0</v>
      </c>
      <c r="R151" s="2">
        <v>1.0</v>
      </c>
      <c r="S151" s="2">
        <v>0.0</v>
      </c>
      <c r="T151" s="2">
        <v>36.0</v>
      </c>
      <c r="U151" s="2" t="s">
        <v>65</v>
      </c>
      <c r="W151" s="2" t="s">
        <v>65</v>
      </c>
      <c r="AC151" s="2" t="s">
        <v>65</v>
      </c>
      <c r="AD151" s="2" t="s">
        <v>71</v>
      </c>
      <c r="AE151" s="2" t="s">
        <v>576</v>
      </c>
      <c r="AF151" s="2" t="s">
        <v>65</v>
      </c>
      <c r="AK151" s="2" t="s">
        <v>576</v>
      </c>
    </row>
    <row r="152" hidden="1">
      <c r="A152" s="2" t="s">
        <v>3504</v>
      </c>
      <c r="B152" s="2" t="s">
        <v>3504</v>
      </c>
      <c r="C152" s="6">
        <v>44494.59609953704</v>
      </c>
      <c r="D152" s="2">
        <v>1.635171503E9</v>
      </c>
      <c r="E152" s="8" t="s">
        <v>3505</v>
      </c>
      <c r="F152" s="2" t="s">
        <v>3508</v>
      </c>
      <c r="G152" s="2" t="s">
        <v>2321</v>
      </c>
      <c r="H152" s="2" t="s">
        <v>2438</v>
      </c>
      <c r="I152" s="2" t="s">
        <v>2440</v>
      </c>
      <c r="J152" s="8" t="s">
        <v>2441</v>
      </c>
      <c r="K152" s="8" t="s">
        <v>2444</v>
      </c>
      <c r="L152" s="2" t="b">
        <v>0</v>
      </c>
      <c r="M152" s="2" t="s">
        <v>85</v>
      </c>
      <c r="N152" s="2" t="s">
        <v>68</v>
      </c>
      <c r="O152" s="2" t="s">
        <v>65</v>
      </c>
      <c r="P152" s="2">
        <v>113.0</v>
      </c>
      <c r="Q152" s="2">
        <v>26.0</v>
      </c>
      <c r="R152" s="2">
        <v>527.0</v>
      </c>
      <c r="S152" s="2">
        <v>30.0</v>
      </c>
      <c r="U152" s="2" t="s">
        <v>65</v>
      </c>
      <c r="W152" s="2" t="s">
        <v>65</v>
      </c>
      <c r="AC152" s="2" t="s">
        <v>65</v>
      </c>
      <c r="AD152" s="2" t="s">
        <v>65</v>
      </c>
      <c r="AF152" s="2" t="s">
        <v>65</v>
      </c>
      <c r="AI152" s="8" t="s">
        <v>3512</v>
      </c>
      <c r="AJ152" s="8" t="s">
        <v>3522</v>
      </c>
    </row>
    <row r="153" hidden="1">
      <c r="A153" s="2" t="s">
        <v>3525</v>
      </c>
      <c r="B153" s="2" t="s">
        <v>3526</v>
      </c>
      <c r="C153" s="6">
        <v>43944.70924768518</v>
      </c>
      <c r="D153" s="2">
        <v>1.587661279E9</v>
      </c>
      <c r="E153" s="8" t="s">
        <v>3527</v>
      </c>
      <c r="F153" s="2" t="s">
        <v>3531</v>
      </c>
      <c r="G153" s="2" t="s">
        <v>3532</v>
      </c>
      <c r="H153" s="2" t="s">
        <v>3533</v>
      </c>
      <c r="I153" s="2">
        <v>3.930751942E9</v>
      </c>
      <c r="J153" s="8" t="s">
        <v>3535</v>
      </c>
      <c r="K153" s="8" t="s">
        <v>3543</v>
      </c>
      <c r="L153" s="2" t="b">
        <v>0</v>
      </c>
      <c r="M153" s="2" t="s">
        <v>67</v>
      </c>
      <c r="N153" s="2" t="s">
        <v>68</v>
      </c>
      <c r="O153" s="2" t="s">
        <v>65</v>
      </c>
      <c r="P153" s="2">
        <v>21.0</v>
      </c>
      <c r="Q153" s="2">
        <v>1.0</v>
      </c>
      <c r="R153" s="2">
        <v>507.0</v>
      </c>
      <c r="S153" s="2">
        <v>1.0</v>
      </c>
      <c r="U153" s="2" t="s">
        <v>65</v>
      </c>
      <c r="W153" s="2" t="s">
        <v>65</v>
      </c>
      <c r="AC153" s="2" t="s">
        <v>65</v>
      </c>
      <c r="AD153" s="2" t="s">
        <v>71</v>
      </c>
      <c r="AE153" s="2" t="s">
        <v>3546</v>
      </c>
      <c r="AF153" s="2" t="s">
        <v>65</v>
      </c>
      <c r="AK153" s="2" t="s">
        <v>3546</v>
      </c>
    </row>
    <row r="154">
      <c r="A154" s="2" t="s">
        <v>3547</v>
      </c>
      <c r="B154" s="2" t="s">
        <v>3547</v>
      </c>
      <c r="C154" s="6">
        <v>44850.06798611111</v>
      </c>
      <c r="D154" s="2">
        <v>1.665884274E9</v>
      </c>
      <c r="E154" s="8" t="s">
        <v>3550</v>
      </c>
      <c r="F154" s="2" t="s">
        <v>3551</v>
      </c>
      <c r="G154" s="2" t="s">
        <v>1895</v>
      </c>
      <c r="H154" s="2" t="s">
        <v>1897</v>
      </c>
      <c r="I154" s="2">
        <v>7.9719455E8</v>
      </c>
      <c r="J154" s="8" t="s">
        <v>1898</v>
      </c>
      <c r="K154" s="8" t="s">
        <v>1904</v>
      </c>
      <c r="L154" s="2" t="b">
        <v>1</v>
      </c>
      <c r="M154" s="2" t="s">
        <v>85</v>
      </c>
      <c r="N154" s="2" t="s">
        <v>64</v>
      </c>
      <c r="O154" s="2" t="s">
        <v>65</v>
      </c>
      <c r="P154" s="2">
        <v>994.0</v>
      </c>
      <c r="Q154" s="2">
        <v>18.0</v>
      </c>
      <c r="R154" s="2">
        <v>3437.0</v>
      </c>
      <c r="S154" s="2">
        <v>33.0</v>
      </c>
      <c r="U154" s="2" t="s">
        <v>65</v>
      </c>
      <c r="W154" s="2" t="s">
        <v>65</v>
      </c>
      <c r="AC154" s="2" t="s">
        <v>65</v>
      </c>
      <c r="AD154" s="2" t="s">
        <v>65</v>
      </c>
      <c r="AF154" s="2" t="s">
        <v>65</v>
      </c>
    </row>
    <row r="155">
      <c r="A155" s="2" t="s">
        <v>3556</v>
      </c>
      <c r="B155" s="2" t="s">
        <v>3556</v>
      </c>
      <c r="C155" s="6">
        <v>44361.034537037034</v>
      </c>
      <c r="D155" s="2">
        <v>1.623631784E9</v>
      </c>
      <c r="E155" s="8" t="s">
        <v>3557</v>
      </c>
      <c r="F155" s="2" t="s">
        <v>3567</v>
      </c>
      <c r="G155" s="2" t="s">
        <v>3568</v>
      </c>
      <c r="H155" s="2" t="s">
        <v>3569</v>
      </c>
      <c r="I155" s="2">
        <v>4.0105598E7</v>
      </c>
      <c r="J155" s="8" t="s">
        <v>3570</v>
      </c>
      <c r="K155" s="8" t="s">
        <v>3573</v>
      </c>
      <c r="L155" s="2" t="b">
        <v>1</v>
      </c>
      <c r="M155" s="2" t="s">
        <v>66</v>
      </c>
      <c r="N155" s="2" t="s">
        <v>64</v>
      </c>
      <c r="O155" s="2" t="s">
        <v>65</v>
      </c>
      <c r="P155" s="2">
        <v>57.0</v>
      </c>
      <c r="Q155" s="2">
        <v>15.0</v>
      </c>
      <c r="R155" s="2">
        <v>560.0</v>
      </c>
      <c r="S155" s="2">
        <v>10.0</v>
      </c>
      <c r="U155" s="2" t="s">
        <v>65</v>
      </c>
      <c r="W155" s="2" t="s">
        <v>65</v>
      </c>
      <c r="AC155" s="2" t="s">
        <v>65</v>
      </c>
      <c r="AD155" s="2" t="s">
        <v>65</v>
      </c>
      <c r="AF155" s="2" t="s">
        <v>65</v>
      </c>
      <c r="AH155" s="8" t="s">
        <v>3580</v>
      </c>
      <c r="AI155" s="8" t="s">
        <v>3581</v>
      </c>
    </row>
    <row r="156" hidden="1">
      <c r="A156" s="2" t="s">
        <v>3589</v>
      </c>
      <c r="B156" s="2" t="s">
        <v>3589</v>
      </c>
      <c r="C156" s="6">
        <v>44726.49297453704</v>
      </c>
      <c r="D156" s="2">
        <v>1.655207393E9</v>
      </c>
      <c r="E156" s="8" t="s">
        <v>3591</v>
      </c>
      <c r="F156" s="2" t="s">
        <v>3592</v>
      </c>
      <c r="G156" s="2" t="s">
        <v>1253</v>
      </c>
      <c r="H156" s="2" t="s">
        <v>1255</v>
      </c>
      <c r="I156" s="2" t="s">
        <v>1256</v>
      </c>
      <c r="J156" s="8" t="s">
        <v>1257</v>
      </c>
      <c r="K156" s="8" t="s">
        <v>1264</v>
      </c>
      <c r="L156" s="2" t="b">
        <v>0</v>
      </c>
      <c r="M156" s="2" t="s">
        <v>67</v>
      </c>
      <c r="N156" s="2" t="s">
        <v>68</v>
      </c>
      <c r="O156" s="2" t="s">
        <v>65</v>
      </c>
      <c r="P156" s="2">
        <v>35.0</v>
      </c>
      <c r="Q156" s="2">
        <v>3.0</v>
      </c>
      <c r="R156" s="2">
        <v>271.0</v>
      </c>
      <c r="S156" s="2">
        <v>3.0</v>
      </c>
      <c r="U156" s="2" t="s">
        <v>65</v>
      </c>
      <c r="W156" s="2" t="s">
        <v>65</v>
      </c>
      <c r="AC156" s="2" t="s">
        <v>65</v>
      </c>
      <c r="AD156" s="2" t="s">
        <v>65</v>
      </c>
      <c r="AF156" s="2" t="s">
        <v>65</v>
      </c>
    </row>
    <row r="157">
      <c r="A157" s="2" t="s">
        <v>3598</v>
      </c>
      <c r="B157" s="2" t="s">
        <v>3598</v>
      </c>
      <c r="C157" s="6">
        <v>45879.501435185186</v>
      </c>
      <c r="D157" s="2">
        <v>1.754827324E9</v>
      </c>
      <c r="E157" s="8" t="s">
        <v>3600</v>
      </c>
      <c r="F157" s="2" t="s">
        <v>3601</v>
      </c>
      <c r="G157" s="2" t="s">
        <v>864</v>
      </c>
      <c r="H157" s="2" t="s">
        <v>865</v>
      </c>
      <c r="I157" s="2">
        <v>2.825615947E9</v>
      </c>
      <c r="J157" s="8" t="s">
        <v>866</v>
      </c>
      <c r="K157" s="8" t="s">
        <v>870</v>
      </c>
      <c r="L157" s="2" t="b">
        <v>1</v>
      </c>
      <c r="M157" s="2" t="s">
        <v>66</v>
      </c>
      <c r="N157" s="2" t="s">
        <v>64</v>
      </c>
      <c r="O157" s="2" t="s">
        <v>65</v>
      </c>
      <c r="P157" s="2">
        <v>2.0</v>
      </c>
      <c r="Q157" s="2">
        <v>0.0</v>
      </c>
      <c r="R157" s="2">
        <v>6.0</v>
      </c>
      <c r="S157" s="2">
        <v>0.0</v>
      </c>
      <c r="T157" s="2">
        <v>300.0</v>
      </c>
      <c r="U157" s="2" t="s">
        <v>65</v>
      </c>
      <c r="W157" s="2" t="s">
        <v>65</v>
      </c>
      <c r="AC157" s="2" t="s">
        <v>65</v>
      </c>
      <c r="AD157" s="2" t="s">
        <v>65</v>
      </c>
      <c r="AF157" s="2" t="s">
        <v>65</v>
      </c>
      <c r="AG157" s="2" t="s">
        <v>3604</v>
      </c>
      <c r="AI157" s="8" t="s">
        <v>3605</v>
      </c>
      <c r="AJ157" s="8" t="s">
        <v>3607</v>
      </c>
    </row>
    <row r="158" hidden="1">
      <c r="A158" s="2" t="s">
        <v>3610</v>
      </c>
      <c r="B158" s="2" t="s">
        <v>3610</v>
      </c>
      <c r="C158" s="6">
        <v>44239.918275462966</v>
      </c>
      <c r="D158" s="2">
        <v>1.613167339E9</v>
      </c>
      <c r="E158" s="8" t="s">
        <v>3611</v>
      </c>
      <c r="F158" s="2" t="s">
        <v>3613</v>
      </c>
      <c r="G158" s="2" t="s">
        <v>3614</v>
      </c>
      <c r="H158" s="2" t="s">
        <v>3614</v>
      </c>
      <c r="I158" s="2">
        <v>1.7347261E7</v>
      </c>
      <c r="J158" s="8" t="s">
        <v>3616</v>
      </c>
      <c r="K158" s="8" t="s">
        <v>3620</v>
      </c>
      <c r="L158" s="2" t="b">
        <v>1</v>
      </c>
      <c r="M158" s="2" t="s">
        <v>3624</v>
      </c>
      <c r="N158" s="2" t="s">
        <v>68</v>
      </c>
      <c r="O158" s="2" t="s">
        <v>65</v>
      </c>
      <c r="P158" s="2">
        <v>125.0</v>
      </c>
      <c r="Q158" s="2">
        <v>9.0</v>
      </c>
      <c r="R158" s="2">
        <v>402.0</v>
      </c>
      <c r="S158" s="2">
        <v>10.0</v>
      </c>
      <c r="U158" s="2" t="s">
        <v>65</v>
      </c>
      <c r="W158" s="2" t="s">
        <v>65</v>
      </c>
      <c r="AC158" s="2" t="s">
        <v>65</v>
      </c>
      <c r="AD158" s="2" t="s">
        <v>65</v>
      </c>
      <c r="AF158" s="2" t="s">
        <v>65</v>
      </c>
      <c r="AG158" s="2" t="s">
        <v>3626</v>
      </c>
      <c r="AH158" s="8" t="s">
        <v>3627</v>
      </c>
    </row>
    <row r="159" hidden="1">
      <c r="A159" s="2" t="s">
        <v>3635</v>
      </c>
      <c r="B159" s="2" t="s">
        <v>3635</v>
      </c>
      <c r="C159" s="6">
        <v>45768.05341435185</v>
      </c>
      <c r="D159" s="2">
        <v>1.745198215E9</v>
      </c>
      <c r="E159" s="8" t="s">
        <v>3636</v>
      </c>
      <c r="F159" s="2" t="s">
        <v>3639</v>
      </c>
      <c r="G159" s="2" t="s">
        <v>3640</v>
      </c>
      <c r="H159" s="2" t="s">
        <v>3641</v>
      </c>
      <c r="I159" s="2" t="s">
        <v>3642</v>
      </c>
      <c r="J159" s="8" t="s">
        <v>3643</v>
      </c>
      <c r="K159" s="8" t="s">
        <v>3644</v>
      </c>
      <c r="L159" s="2" t="b">
        <v>1</v>
      </c>
      <c r="M159" s="2" t="s">
        <v>67</v>
      </c>
      <c r="N159" s="2" t="s">
        <v>68</v>
      </c>
      <c r="O159" s="2" t="s">
        <v>65</v>
      </c>
      <c r="P159" s="2">
        <v>50.0</v>
      </c>
      <c r="Q159" s="2">
        <v>22.0</v>
      </c>
      <c r="R159" s="2">
        <v>755.0</v>
      </c>
      <c r="S159" s="2">
        <v>3.0</v>
      </c>
      <c r="T159" s="2">
        <v>9219.0</v>
      </c>
      <c r="U159" s="2" t="s">
        <v>65</v>
      </c>
      <c r="W159" s="2" t="s">
        <v>65</v>
      </c>
      <c r="AC159" s="2" t="s">
        <v>65</v>
      </c>
      <c r="AD159" s="2" t="s">
        <v>65</v>
      </c>
      <c r="AF159" s="2" t="s">
        <v>65</v>
      </c>
    </row>
    <row r="160">
      <c r="A160" s="2" t="s">
        <v>3655</v>
      </c>
      <c r="B160" s="2" t="s">
        <v>3655</v>
      </c>
      <c r="C160" s="6">
        <v>45973.198159722226</v>
      </c>
      <c r="D160" s="2">
        <v>1.762922721E9</v>
      </c>
      <c r="E160" s="8" t="s">
        <v>3656</v>
      </c>
      <c r="F160" s="2" t="s">
        <v>3657</v>
      </c>
      <c r="G160" s="2" t="s">
        <v>3658</v>
      </c>
      <c r="H160" s="2" t="s">
        <v>3660</v>
      </c>
      <c r="I160" s="2" t="s">
        <v>3661</v>
      </c>
      <c r="J160" s="8" t="s">
        <v>3662</v>
      </c>
      <c r="K160" s="8" t="s">
        <v>3666</v>
      </c>
      <c r="L160" s="2" t="b">
        <v>0</v>
      </c>
      <c r="M160" s="2" t="s">
        <v>67</v>
      </c>
      <c r="N160" s="2" t="s">
        <v>64</v>
      </c>
      <c r="O160" s="2" t="s">
        <v>65</v>
      </c>
      <c r="P160" s="2">
        <v>0.0</v>
      </c>
      <c r="Q160" s="2">
        <v>0.0</v>
      </c>
      <c r="R160" s="2">
        <v>0.0</v>
      </c>
      <c r="S160" s="2">
        <v>1.0</v>
      </c>
      <c r="T160" s="2">
        <v>47.0</v>
      </c>
      <c r="U160" s="2" t="s">
        <v>65</v>
      </c>
      <c r="W160" s="2" t="s">
        <v>71</v>
      </c>
      <c r="X160" s="2" t="s">
        <v>3673</v>
      </c>
      <c r="Y160" s="2" t="s">
        <v>3674</v>
      </c>
      <c r="Z160" s="2" t="s">
        <v>3675</v>
      </c>
      <c r="AC160" s="2" t="s">
        <v>65</v>
      </c>
      <c r="AD160" s="2" t="s">
        <v>65</v>
      </c>
      <c r="AF160" s="2" t="s">
        <v>65</v>
      </c>
    </row>
    <row r="161" hidden="1">
      <c r="A161" s="2" t="s">
        <v>3676</v>
      </c>
      <c r="B161" s="2" t="s">
        <v>3676</v>
      </c>
      <c r="C161" s="6">
        <v>45730.76994212963</v>
      </c>
      <c r="D161" s="2">
        <v>1.741976923E9</v>
      </c>
      <c r="E161" s="8" t="s">
        <v>3677</v>
      </c>
      <c r="F161" s="2" t="s">
        <v>3680</v>
      </c>
      <c r="G161" s="2" t="s">
        <v>3681</v>
      </c>
      <c r="H161" s="2" t="s">
        <v>3682</v>
      </c>
      <c r="I161" s="2" t="s">
        <v>3683</v>
      </c>
      <c r="J161" s="8" t="s">
        <v>3684</v>
      </c>
      <c r="K161" s="8" t="s">
        <v>3687</v>
      </c>
      <c r="L161" s="2" t="b">
        <v>0</v>
      </c>
      <c r="M161" s="2" t="s">
        <v>67</v>
      </c>
      <c r="N161" s="2" t="s">
        <v>68</v>
      </c>
      <c r="O161" s="2" t="s">
        <v>65</v>
      </c>
      <c r="P161" s="2">
        <v>0.0</v>
      </c>
      <c r="Q161" s="2">
        <v>0.0</v>
      </c>
      <c r="R161" s="2">
        <v>0.0</v>
      </c>
      <c r="S161" s="2">
        <v>0.0</v>
      </c>
      <c r="T161" s="2">
        <v>52.0</v>
      </c>
      <c r="U161" s="2" t="s">
        <v>65</v>
      </c>
      <c r="W161" s="2" t="s">
        <v>65</v>
      </c>
      <c r="AC161" s="2" t="s">
        <v>65</v>
      </c>
      <c r="AD161" s="2" t="s">
        <v>65</v>
      </c>
      <c r="AF161" s="2" t="s">
        <v>65</v>
      </c>
    </row>
    <row r="162" hidden="1">
      <c r="A162" s="2" t="s">
        <v>3693</v>
      </c>
      <c r="B162" s="2" t="s">
        <v>3694</v>
      </c>
      <c r="C162" s="6">
        <v>45967.83199074074</v>
      </c>
      <c r="D162" s="2">
        <v>1.762459084E9</v>
      </c>
      <c r="E162" s="8" t="s">
        <v>3695</v>
      </c>
      <c r="F162" s="2" t="s">
        <v>3699</v>
      </c>
      <c r="G162" s="2" t="s">
        <v>3700</v>
      </c>
      <c r="H162" s="2" t="s">
        <v>3701</v>
      </c>
      <c r="I162" s="2" t="s">
        <v>3702</v>
      </c>
      <c r="J162" s="8" t="s">
        <v>3703</v>
      </c>
      <c r="K162" s="8" t="s">
        <v>3709</v>
      </c>
      <c r="L162" s="2" t="b">
        <v>0</v>
      </c>
      <c r="M162" s="2" t="s">
        <v>66</v>
      </c>
      <c r="N162" s="2" t="s">
        <v>68</v>
      </c>
      <c r="O162" s="2" t="s">
        <v>65</v>
      </c>
      <c r="P162" s="2">
        <v>0.0</v>
      </c>
      <c r="Q162" s="2">
        <v>0.0</v>
      </c>
      <c r="R162" s="2">
        <v>14.0</v>
      </c>
      <c r="S162" s="2">
        <v>0.0</v>
      </c>
      <c r="T162" s="2">
        <v>188.0</v>
      </c>
      <c r="U162" s="2" t="s">
        <v>65</v>
      </c>
      <c r="W162" s="2" t="s">
        <v>65</v>
      </c>
      <c r="AC162" s="2" t="s">
        <v>65</v>
      </c>
      <c r="AD162" s="2" t="s">
        <v>71</v>
      </c>
      <c r="AE162" s="2" t="s">
        <v>2808</v>
      </c>
      <c r="AF162" s="2" t="s">
        <v>65</v>
      </c>
      <c r="AK162" s="2" t="s">
        <v>2808</v>
      </c>
    </row>
    <row r="163">
      <c r="A163" s="2" t="s">
        <v>3714</v>
      </c>
      <c r="B163" s="2" t="s">
        <v>1666</v>
      </c>
      <c r="C163" s="6">
        <v>44887.70133101852</v>
      </c>
      <c r="D163" s="2">
        <v>1.669135795E9</v>
      </c>
      <c r="E163" s="8" t="s">
        <v>3715</v>
      </c>
      <c r="F163" s="2" t="s">
        <v>3717</v>
      </c>
      <c r="G163" s="2" t="s">
        <v>1670</v>
      </c>
      <c r="H163" s="2" t="s">
        <v>1671</v>
      </c>
      <c r="I163" s="2" t="s">
        <v>1672</v>
      </c>
      <c r="J163" s="8" t="s">
        <v>1673</v>
      </c>
      <c r="K163" s="8" t="s">
        <v>1675</v>
      </c>
      <c r="L163" s="2" t="b">
        <v>1</v>
      </c>
      <c r="M163" s="2" t="s">
        <v>85</v>
      </c>
      <c r="N163" s="2" t="s">
        <v>64</v>
      </c>
      <c r="O163" s="2" t="s">
        <v>65</v>
      </c>
      <c r="P163" s="2">
        <v>20.0</v>
      </c>
      <c r="Q163" s="2">
        <v>3.0</v>
      </c>
      <c r="R163" s="2">
        <v>275.0</v>
      </c>
      <c r="S163" s="2">
        <v>4.0</v>
      </c>
      <c r="U163" s="2" t="s">
        <v>65</v>
      </c>
      <c r="W163" s="2" t="s">
        <v>65</v>
      </c>
      <c r="AC163" s="2" t="s">
        <v>65</v>
      </c>
      <c r="AD163" s="2" t="s">
        <v>71</v>
      </c>
      <c r="AE163" s="2" t="s">
        <v>1670</v>
      </c>
      <c r="AF163" s="2" t="s">
        <v>65</v>
      </c>
    </row>
    <row r="164" hidden="1">
      <c r="A164" s="2" t="s">
        <v>3720</v>
      </c>
      <c r="B164" s="2" t="s">
        <v>3720</v>
      </c>
      <c r="C164" s="6">
        <v>44452.67366898148</v>
      </c>
      <c r="D164" s="2">
        <v>1.631549405E9</v>
      </c>
      <c r="E164" s="8" t="s">
        <v>3721</v>
      </c>
      <c r="F164" s="2" t="s">
        <v>3724</v>
      </c>
      <c r="G164" s="2" t="s">
        <v>2321</v>
      </c>
      <c r="H164" s="2" t="s">
        <v>2438</v>
      </c>
      <c r="I164" s="2" t="s">
        <v>2440</v>
      </c>
      <c r="J164" s="8" t="s">
        <v>2441</v>
      </c>
      <c r="K164" s="8" t="s">
        <v>2444</v>
      </c>
      <c r="L164" s="2" t="b">
        <v>0</v>
      </c>
      <c r="M164" s="2" t="s">
        <v>85</v>
      </c>
      <c r="N164" s="2" t="s">
        <v>68</v>
      </c>
      <c r="O164" s="2" t="s">
        <v>65</v>
      </c>
      <c r="P164" s="2">
        <v>906.0</v>
      </c>
      <c r="Q164" s="2">
        <v>56.0</v>
      </c>
      <c r="R164" s="2">
        <v>4133.0</v>
      </c>
      <c r="S164" s="2">
        <v>142.0</v>
      </c>
      <c r="U164" s="2" t="s">
        <v>65</v>
      </c>
      <c r="W164" s="2" t="s">
        <v>65</v>
      </c>
      <c r="AC164" s="2" t="s">
        <v>65</v>
      </c>
      <c r="AD164" s="2" t="s">
        <v>65</v>
      </c>
      <c r="AF164" s="2" t="s">
        <v>65</v>
      </c>
    </row>
    <row r="165" hidden="1">
      <c r="A165" s="2" t="s">
        <v>3730</v>
      </c>
      <c r="B165" s="2" t="s">
        <v>3730</v>
      </c>
      <c r="C165" s="6">
        <v>44672.925844907404</v>
      </c>
      <c r="D165" s="2">
        <v>1.650579193E9</v>
      </c>
      <c r="E165" s="8" t="s">
        <v>3731</v>
      </c>
      <c r="F165" s="2" t="s">
        <v>3738</v>
      </c>
      <c r="G165" s="2" t="s">
        <v>3739</v>
      </c>
      <c r="H165" s="2" t="s">
        <v>3740</v>
      </c>
      <c r="I165" s="2" t="s">
        <v>3741</v>
      </c>
      <c r="J165" s="8" t="s">
        <v>3742</v>
      </c>
      <c r="K165" s="8" t="s">
        <v>3747</v>
      </c>
      <c r="L165" s="2" t="b">
        <v>0</v>
      </c>
      <c r="M165" s="2" t="s">
        <v>66</v>
      </c>
      <c r="N165" s="2" t="s">
        <v>68</v>
      </c>
      <c r="O165" s="2" t="s">
        <v>65</v>
      </c>
      <c r="P165" s="2">
        <v>106.0</v>
      </c>
      <c r="Q165" s="2">
        <v>7.0</v>
      </c>
      <c r="R165" s="2">
        <v>757.0</v>
      </c>
      <c r="S165" s="2">
        <v>30.0</v>
      </c>
      <c r="U165" s="2" t="s">
        <v>65</v>
      </c>
      <c r="W165" s="2" t="s">
        <v>65</v>
      </c>
      <c r="AC165" s="2" t="s">
        <v>65</v>
      </c>
      <c r="AD165" s="2" t="s">
        <v>65</v>
      </c>
      <c r="AF165" s="2" t="s">
        <v>65</v>
      </c>
    </row>
    <row r="166" hidden="1">
      <c r="A166" s="2" t="s">
        <v>3753</v>
      </c>
      <c r="B166" s="2" t="s">
        <v>3753</v>
      </c>
      <c r="C166" s="6">
        <v>45812.757418981484</v>
      </c>
      <c r="D166" s="2">
        <v>1.749060641E9</v>
      </c>
      <c r="E166" s="8" t="s">
        <v>3755</v>
      </c>
      <c r="F166" s="2" t="s">
        <v>3758</v>
      </c>
      <c r="G166" s="2" t="s">
        <v>3759</v>
      </c>
      <c r="H166" s="2" t="s">
        <v>3760</v>
      </c>
      <c r="I166" s="2">
        <v>2.20106733E8</v>
      </c>
      <c r="J166" s="8" t="s">
        <v>3762</v>
      </c>
      <c r="K166" s="8" t="s">
        <v>3769</v>
      </c>
      <c r="L166" s="2" t="b">
        <v>0</v>
      </c>
      <c r="M166" s="2" t="s">
        <v>67</v>
      </c>
      <c r="N166" s="2" t="s">
        <v>68</v>
      </c>
      <c r="O166" s="2" t="s">
        <v>65</v>
      </c>
      <c r="P166" s="2">
        <v>0.0</v>
      </c>
      <c r="Q166" s="2">
        <v>0.0</v>
      </c>
      <c r="R166" s="2">
        <v>0.0</v>
      </c>
      <c r="S166" s="2">
        <v>0.0</v>
      </c>
      <c r="T166" s="2">
        <v>39.0</v>
      </c>
      <c r="U166" s="2" t="s">
        <v>65</v>
      </c>
      <c r="W166" s="2" t="s">
        <v>65</v>
      </c>
      <c r="AC166" s="2" t="s">
        <v>65</v>
      </c>
      <c r="AD166" s="2" t="s">
        <v>65</v>
      </c>
      <c r="AF166" s="2" t="s">
        <v>65</v>
      </c>
      <c r="AG166" s="2" t="s">
        <v>3772</v>
      </c>
      <c r="AI166" s="8" t="s">
        <v>3774</v>
      </c>
      <c r="AJ166" s="8" t="s">
        <v>3779</v>
      </c>
    </row>
    <row r="167" hidden="1">
      <c r="A167" s="2" t="s">
        <v>3790</v>
      </c>
      <c r="B167" s="2" t="s">
        <v>3790</v>
      </c>
      <c r="C167" s="6">
        <v>45968.466527777775</v>
      </c>
      <c r="D167" s="2">
        <v>1.762513908E9</v>
      </c>
      <c r="E167" s="8" t="s">
        <v>3791</v>
      </c>
      <c r="F167" s="2" t="s">
        <v>198</v>
      </c>
      <c r="G167" s="2" t="s">
        <v>3792</v>
      </c>
      <c r="H167" s="2" t="s">
        <v>3793</v>
      </c>
      <c r="I167" s="2" t="s">
        <v>3794</v>
      </c>
      <c r="J167" s="8" t="s">
        <v>3795</v>
      </c>
      <c r="K167" s="8" t="s">
        <v>3799</v>
      </c>
      <c r="L167" s="2" t="b">
        <v>0</v>
      </c>
      <c r="M167" s="2" t="s">
        <v>67</v>
      </c>
      <c r="N167" s="2" t="s">
        <v>68</v>
      </c>
      <c r="O167" s="2" t="s">
        <v>65</v>
      </c>
      <c r="P167" s="2">
        <v>0.0</v>
      </c>
      <c r="Q167" s="2">
        <v>0.0</v>
      </c>
      <c r="R167" s="2">
        <v>0.0</v>
      </c>
      <c r="S167" s="2">
        <v>0.0</v>
      </c>
      <c r="T167" s="2">
        <v>46.0</v>
      </c>
      <c r="U167" s="2" t="s">
        <v>65</v>
      </c>
      <c r="W167" s="2" t="s">
        <v>65</v>
      </c>
      <c r="AC167" s="2" t="s">
        <v>65</v>
      </c>
      <c r="AD167" s="2" t="s">
        <v>65</v>
      </c>
      <c r="AF167" s="2" t="s">
        <v>65</v>
      </c>
    </row>
    <row r="168">
      <c r="A168" s="2" t="s">
        <v>2766</v>
      </c>
      <c r="B168" s="2" t="s">
        <v>2766</v>
      </c>
      <c r="C168" s="6">
        <v>45908.641689814816</v>
      </c>
      <c r="D168" s="2">
        <v>1.757345042E9</v>
      </c>
      <c r="E168" s="8" t="s">
        <v>2767</v>
      </c>
      <c r="F168" s="2" t="s">
        <v>2769</v>
      </c>
      <c r="G168" s="2" t="s">
        <v>2770</v>
      </c>
      <c r="H168" s="2" t="s">
        <v>2771</v>
      </c>
      <c r="I168" s="2">
        <v>6.03257566E8</v>
      </c>
      <c r="J168" s="8" t="s">
        <v>2773</v>
      </c>
      <c r="K168" s="8" t="s">
        <v>2779</v>
      </c>
      <c r="L168" s="2" t="b">
        <v>0</v>
      </c>
      <c r="M168" s="2" t="s">
        <v>67</v>
      </c>
      <c r="N168" s="2" t="s">
        <v>64</v>
      </c>
      <c r="O168" s="2" t="s">
        <v>65</v>
      </c>
      <c r="P168" s="2">
        <v>0.0</v>
      </c>
      <c r="Q168" s="2">
        <v>0.0</v>
      </c>
      <c r="R168" s="2">
        <v>3.0</v>
      </c>
      <c r="S168" s="2">
        <v>0.0</v>
      </c>
      <c r="T168" s="2">
        <v>74.0</v>
      </c>
      <c r="U168" s="2" t="s">
        <v>65</v>
      </c>
      <c r="W168" s="2" t="s">
        <v>65</v>
      </c>
      <c r="AC168" s="2" t="s">
        <v>65</v>
      </c>
      <c r="AD168" s="2" t="s">
        <v>65</v>
      </c>
      <c r="AF168" s="2" t="s">
        <v>65</v>
      </c>
    </row>
    <row r="169" hidden="1">
      <c r="A169" s="2" t="s">
        <v>3814</v>
      </c>
      <c r="B169" s="2" t="s">
        <v>3814</v>
      </c>
      <c r="C169" s="6">
        <v>45969.41125</v>
      </c>
      <c r="D169" s="2">
        <v>1.762595532E9</v>
      </c>
      <c r="E169" s="8" t="s">
        <v>3815</v>
      </c>
      <c r="F169" s="2" t="s">
        <v>3817</v>
      </c>
      <c r="G169" s="2" t="s">
        <v>3818</v>
      </c>
      <c r="H169" s="2" t="s">
        <v>3819</v>
      </c>
      <c r="I169" s="2" t="s">
        <v>3820</v>
      </c>
      <c r="J169" s="8" t="s">
        <v>3821</v>
      </c>
      <c r="K169" s="8" t="s">
        <v>3830</v>
      </c>
      <c r="L169" s="2" t="b">
        <v>0</v>
      </c>
      <c r="M169" s="2" t="s">
        <v>85</v>
      </c>
      <c r="N169" s="2" t="s">
        <v>68</v>
      </c>
      <c r="O169" s="2" t="s">
        <v>65</v>
      </c>
      <c r="P169" s="2">
        <v>0.0</v>
      </c>
      <c r="Q169" s="2">
        <v>0.0</v>
      </c>
      <c r="R169" s="2">
        <v>0.0</v>
      </c>
      <c r="S169" s="2">
        <v>0.0</v>
      </c>
      <c r="T169" s="2">
        <v>19.0</v>
      </c>
      <c r="U169" s="2" t="s">
        <v>65</v>
      </c>
      <c r="W169" s="2" t="s">
        <v>65</v>
      </c>
      <c r="AC169" s="2" t="s">
        <v>65</v>
      </c>
      <c r="AD169" s="2" t="s">
        <v>65</v>
      </c>
      <c r="AF169" s="2" t="s">
        <v>65</v>
      </c>
    </row>
    <row r="170" hidden="1">
      <c r="A170" s="2" t="s">
        <v>3833</v>
      </c>
      <c r="B170" s="2" t="s">
        <v>3833</v>
      </c>
      <c r="C170" s="6">
        <v>45972.91564814815</v>
      </c>
      <c r="D170" s="2">
        <v>1.762898312E9</v>
      </c>
      <c r="E170" s="8" t="s">
        <v>3834</v>
      </c>
      <c r="F170" s="2" t="s">
        <v>3837</v>
      </c>
      <c r="G170" s="2" t="s">
        <v>3838</v>
      </c>
      <c r="H170" s="2" t="s">
        <v>3839</v>
      </c>
      <c r="I170" s="2">
        <v>1.373613384E9</v>
      </c>
      <c r="J170" s="8" t="s">
        <v>3840</v>
      </c>
      <c r="K170" s="8" t="s">
        <v>3844</v>
      </c>
      <c r="L170" s="2" t="b">
        <v>0</v>
      </c>
      <c r="M170" s="2" t="s">
        <v>67</v>
      </c>
      <c r="N170" s="2" t="s">
        <v>68</v>
      </c>
      <c r="O170" s="2" t="s">
        <v>65</v>
      </c>
      <c r="P170" s="2">
        <v>0.0</v>
      </c>
      <c r="Q170" s="2">
        <v>0.0</v>
      </c>
      <c r="R170" s="2">
        <v>0.0</v>
      </c>
      <c r="S170" s="2">
        <v>0.0</v>
      </c>
      <c r="T170" s="2">
        <v>10.0</v>
      </c>
      <c r="U170" s="2" t="s">
        <v>65</v>
      </c>
      <c r="W170" s="2" t="s">
        <v>65</v>
      </c>
      <c r="AC170" s="2" t="s">
        <v>65</v>
      </c>
      <c r="AD170" s="2" t="s">
        <v>65</v>
      </c>
      <c r="AF170" s="2" t="s">
        <v>65</v>
      </c>
    </row>
    <row r="171">
      <c r="A171" s="2" t="s">
        <v>3846</v>
      </c>
      <c r="B171" s="2" t="s">
        <v>3846</v>
      </c>
      <c r="C171" s="6">
        <v>45835.17965277778</v>
      </c>
      <c r="D171" s="2">
        <v>1.750997922E9</v>
      </c>
      <c r="E171" s="8" t="s">
        <v>3847</v>
      </c>
      <c r="F171" s="2" t="s">
        <v>3850</v>
      </c>
      <c r="G171" s="2" t="s">
        <v>864</v>
      </c>
      <c r="H171" s="2" t="s">
        <v>865</v>
      </c>
      <c r="I171" s="2">
        <v>2.825615947E9</v>
      </c>
      <c r="J171" s="8" t="s">
        <v>866</v>
      </c>
      <c r="K171" s="8" t="s">
        <v>870</v>
      </c>
      <c r="L171" s="2" t="b">
        <v>1</v>
      </c>
      <c r="M171" s="2" t="s">
        <v>67</v>
      </c>
      <c r="N171" s="2" t="s">
        <v>64</v>
      </c>
      <c r="O171" s="2" t="s">
        <v>65</v>
      </c>
      <c r="P171" s="2">
        <v>0.0</v>
      </c>
      <c r="Q171" s="2">
        <v>0.0</v>
      </c>
      <c r="R171" s="2">
        <v>1.0</v>
      </c>
      <c r="S171" s="2">
        <v>0.0</v>
      </c>
      <c r="T171" s="2">
        <v>146.0</v>
      </c>
      <c r="U171" s="2" t="s">
        <v>65</v>
      </c>
      <c r="W171" s="2" t="s">
        <v>65</v>
      </c>
      <c r="AC171" s="2" t="s">
        <v>65</v>
      </c>
      <c r="AD171" s="2" t="s">
        <v>65</v>
      </c>
      <c r="AF171" s="2" t="s">
        <v>65</v>
      </c>
      <c r="AG171" s="2" t="s">
        <v>1950</v>
      </c>
      <c r="AI171" s="8" t="s">
        <v>3852</v>
      </c>
      <c r="AL171" s="2" t="s">
        <v>1958</v>
      </c>
      <c r="AM171" s="2" t="s">
        <v>1959</v>
      </c>
    </row>
    <row r="172" hidden="1">
      <c r="A172" s="2" t="s">
        <v>3855</v>
      </c>
      <c r="B172" s="2" t="s">
        <v>3855</v>
      </c>
      <c r="C172" s="6">
        <v>44048.095671296294</v>
      </c>
      <c r="D172" s="2">
        <v>1.596593866E9</v>
      </c>
      <c r="E172" s="8" t="s">
        <v>3856</v>
      </c>
      <c r="F172" s="2" t="s">
        <v>3858</v>
      </c>
      <c r="G172" s="2" t="s">
        <v>3859</v>
      </c>
      <c r="H172" s="2" t="s">
        <v>3860</v>
      </c>
      <c r="I172" s="2" t="s">
        <v>3861</v>
      </c>
      <c r="J172" s="8" t="s">
        <v>3862</v>
      </c>
      <c r="K172" s="8" t="s">
        <v>3864</v>
      </c>
      <c r="L172" s="2" t="b">
        <v>0</v>
      </c>
      <c r="M172" s="2" t="s">
        <v>85</v>
      </c>
      <c r="N172" s="2" t="s">
        <v>68</v>
      </c>
      <c r="O172" s="2" t="s">
        <v>65</v>
      </c>
      <c r="P172" s="2">
        <v>16250.0</v>
      </c>
      <c r="Q172" s="2">
        <v>216.0</v>
      </c>
      <c r="R172" s="2">
        <v>79196.0</v>
      </c>
      <c r="S172" s="2">
        <v>710.0</v>
      </c>
      <c r="U172" s="2" t="s">
        <v>65</v>
      </c>
      <c r="W172" s="2" t="s">
        <v>71</v>
      </c>
      <c r="X172" s="2" t="s">
        <v>3871</v>
      </c>
      <c r="Y172" s="2" t="s">
        <v>3872</v>
      </c>
      <c r="Z172" s="2" t="s">
        <v>3873</v>
      </c>
      <c r="AA172" s="8" t="s">
        <v>3874</v>
      </c>
      <c r="AC172" s="2" t="s">
        <v>65</v>
      </c>
      <c r="AD172" s="2" t="s">
        <v>65</v>
      </c>
      <c r="AF172" s="2" t="s">
        <v>65</v>
      </c>
    </row>
    <row r="173" hidden="1">
      <c r="A173" s="2" t="s">
        <v>3876</v>
      </c>
      <c r="B173" s="2" t="s">
        <v>3876</v>
      </c>
      <c r="C173" s="6">
        <v>45968.68357638889</v>
      </c>
      <c r="D173" s="2">
        <v>1.762532661E9</v>
      </c>
      <c r="E173" s="8" t="s">
        <v>3877</v>
      </c>
      <c r="F173" s="2" t="s">
        <v>3878</v>
      </c>
      <c r="G173" s="2" t="s">
        <v>3879</v>
      </c>
      <c r="H173" s="2" t="s">
        <v>3880</v>
      </c>
      <c r="I173" s="2" t="s">
        <v>3881</v>
      </c>
      <c r="J173" s="8" t="s">
        <v>3883</v>
      </c>
      <c r="K173" s="8" t="s">
        <v>3884</v>
      </c>
      <c r="L173" s="2" t="b">
        <v>0</v>
      </c>
      <c r="M173" s="2" t="s">
        <v>66</v>
      </c>
      <c r="N173" s="2" t="s">
        <v>68</v>
      </c>
      <c r="O173" s="2" t="s">
        <v>65</v>
      </c>
      <c r="P173" s="2">
        <v>0.0</v>
      </c>
      <c r="Q173" s="2">
        <v>1.0</v>
      </c>
      <c r="R173" s="2">
        <v>1.0</v>
      </c>
      <c r="S173" s="2">
        <v>0.0</v>
      </c>
      <c r="T173" s="2">
        <v>28.0</v>
      </c>
      <c r="U173" s="2" t="s">
        <v>65</v>
      </c>
      <c r="W173" s="2" t="s">
        <v>65</v>
      </c>
      <c r="AC173" s="2" t="s">
        <v>65</v>
      </c>
      <c r="AD173" s="2" t="s">
        <v>65</v>
      </c>
      <c r="AF173" s="2" t="s">
        <v>65</v>
      </c>
    </row>
    <row r="174" hidden="1">
      <c r="A174" s="2" t="s">
        <v>3886</v>
      </c>
      <c r="B174" s="2" t="s">
        <v>3886</v>
      </c>
      <c r="C174" s="6">
        <v>45973.079375</v>
      </c>
      <c r="D174" s="2">
        <v>1.762912458E9</v>
      </c>
      <c r="E174" s="8" t="s">
        <v>3888</v>
      </c>
      <c r="F174" s="2" t="s">
        <v>3890</v>
      </c>
      <c r="G174" s="2" t="s">
        <v>3891</v>
      </c>
      <c r="H174" s="2" t="s">
        <v>3892</v>
      </c>
      <c r="I174" s="2" t="s">
        <v>3893</v>
      </c>
      <c r="J174" s="8" t="s">
        <v>3894</v>
      </c>
      <c r="K174" s="8" t="s">
        <v>3898</v>
      </c>
      <c r="L174" s="2" t="b">
        <v>0</v>
      </c>
      <c r="M174" s="2" t="s">
        <v>67</v>
      </c>
      <c r="N174" s="2" t="s">
        <v>68</v>
      </c>
      <c r="O174" s="2" t="s">
        <v>65</v>
      </c>
      <c r="P174" s="2">
        <v>0.0</v>
      </c>
      <c r="Q174" s="2">
        <v>0.0</v>
      </c>
      <c r="R174" s="2">
        <v>0.0</v>
      </c>
      <c r="S174" s="2">
        <v>0.0</v>
      </c>
      <c r="T174" s="2">
        <v>14.0</v>
      </c>
      <c r="U174" s="2" t="s">
        <v>65</v>
      </c>
      <c r="W174" s="2" t="s">
        <v>65</v>
      </c>
      <c r="AC174" s="2" t="s">
        <v>65</v>
      </c>
      <c r="AD174" s="2" t="s">
        <v>65</v>
      </c>
      <c r="AF174" s="2" t="s">
        <v>65</v>
      </c>
    </row>
    <row r="175">
      <c r="A175" s="2" t="s">
        <v>3902</v>
      </c>
      <c r="B175" s="2" t="s">
        <v>3902</v>
      </c>
      <c r="C175" s="6">
        <v>43373.709502314814</v>
      </c>
      <c r="D175" s="2">
        <v>1.538326901E9</v>
      </c>
      <c r="E175" s="8" t="s">
        <v>3904</v>
      </c>
      <c r="F175" s="2" t="s">
        <v>3905</v>
      </c>
      <c r="G175" s="2" t="s">
        <v>3906</v>
      </c>
      <c r="H175" s="2" t="s">
        <v>3908</v>
      </c>
      <c r="I175" s="2">
        <v>1.349849582E9</v>
      </c>
      <c r="J175" s="8" t="s">
        <v>3909</v>
      </c>
      <c r="K175" s="8" t="s">
        <v>3911</v>
      </c>
      <c r="L175" s="2" t="b">
        <v>1</v>
      </c>
      <c r="M175" s="2" t="s">
        <v>3624</v>
      </c>
      <c r="N175" s="2" t="s">
        <v>64</v>
      </c>
      <c r="O175" s="2" t="s">
        <v>65</v>
      </c>
      <c r="P175" s="2">
        <v>37.0</v>
      </c>
      <c r="Q175" s="2">
        <v>13.0</v>
      </c>
      <c r="R175" s="2">
        <v>780.0</v>
      </c>
      <c r="S175" s="2">
        <v>15.0</v>
      </c>
      <c r="U175" s="2" t="s">
        <v>65</v>
      </c>
      <c r="W175" s="2" t="s">
        <v>65</v>
      </c>
      <c r="AC175" s="2" t="s">
        <v>65</v>
      </c>
      <c r="AD175" s="2" t="s">
        <v>65</v>
      </c>
      <c r="AF175" s="2" t="s">
        <v>65</v>
      </c>
      <c r="AI175" s="8" t="s">
        <v>3919</v>
      </c>
      <c r="AJ175" s="8" t="s">
        <v>3921</v>
      </c>
      <c r="AK175" s="2" t="s">
        <v>3922</v>
      </c>
    </row>
    <row r="176">
      <c r="A176" s="2" t="s">
        <v>3923</v>
      </c>
      <c r="B176" s="2" t="s">
        <v>3923</v>
      </c>
      <c r="C176" s="6">
        <v>45816.34799768519</v>
      </c>
      <c r="D176" s="2">
        <v>1.749370867E9</v>
      </c>
      <c r="E176" s="8" t="s">
        <v>3924</v>
      </c>
      <c r="F176" s="2" t="s">
        <v>3927</v>
      </c>
      <c r="G176" s="2" t="s">
        <v>3928</v>
      </c>
      <c r="H176" s="2" t="s">
        <v>3929</v>
      </c>
      <c r="I176" s="2">
        <v>6.01113942E8</v>
      </c>
      <c r="J176" s="8" t="s">
        <v>3930</v>
      </c>
      <c r="K176" s="8" t="s">
        <v>3933</v>
      </c>
      <c r="L176" s="2" t="b">
        <v>1</v>
      </c>
      <c r="M176" s="2" t="s">
        <v>967</v>
      </c>
      <c r="N176" s="2" t="s">
        <v>64</v>
      </c>
      <c r="O176" s="2" t="s">
        <v>65</v>
      </c>
      <c r="P176" s="2">
        <v>1.0</v>
      </c>
      <c r="Q176" s="2">
        <v>0.0</v>
      </c>
      <c r="R176" s="2">
        <v>1.0</v>
      </c>
      <c r="S176" s="2">
        <v>0.0</v>
      </c>
      <c r="T176" s="2">
        <v>318.0</v>
      </c>
      <c r="U176" s="2" t="s">
        <v>65</v>
      </c>
      <c r="W176" s="2" t="s">
        <v>65</v>
      </c>
      <c r="AC176" s="2" t="s">
        <v>65</v>
      </c>
      <c r="AD176" s="2" t="s">
        <v>65</v>
      </c>
      <c r="AF176" s="2" t="s">
        <v>65</v>
      </c>
      <c r="AI176" s="8" t="s">
        <v>3942</v>
      </c>
    </row>
    <row r="177">
      <c r="A177" s="2" t="s">
        <v>3448</v>
      </c>
      <c r="B177" s="2" t="s">
        <v>3448</v>
      </c>
      <c r="C177" s="6">
        <v>45896.6337037037</v>
      </c>
      <c r="D177" s="2">
        <v>1.756307552E9</v>
      </c>
      <c r="E177" s="8" t="s">
        <v>3453</v>
      </c>
      <c r="F177" s="2" t="s">
        <v>3454</v>
      </c>
      <c r="G177" s="2" t="s">
        <v>3455</v>
      </c>
      <c r="H177" s="2" t="s">
        <v>3457</v>
      </c>
      <c r="I177" s="2">
        <v>4.8185021E7</v>
      </c>
      <c r="J177" s="8" t="s">
        <v>3951</v>
      </c>
      <c r="K177" s="8" t="s">
        <v>3461</v>
      </c>
      <c r="L177" s="2" t="b">
        <v>0</v>
      </c>
      <c r="M177" s="2" t="s">
        <v>66</v>
      </c>
      <c r="N177" s="2" t="s">
        <v>64</v>
      </c>
      <c r="O177" s="2" t="s">
        <v>65</v>
      </c>
      <c r="P177" s="2">
        <v>0.0</v>
      </c>
      <c r="Q177" s="2">
        <v>0.0</v>
      </c>
      <c r="R177" s="2">
        <v>0.0</v>
      </c>
      <c r="S177" s="2">
        <v>0.0</v>
      </c>
      <c r="T177" s="2">
        <v>32.0</v>
      </c>
      <c r="U177" s="2" t="s">
        <v>65</v>
      </c>
      <c r="W177" s="2" t="s">
        <v>65</v>
      </c>
      <c r="AC177" s="2" t="s">
        <v>65</v>
      </c>
      <c r="AD177" s="2" t="s">
        <v>65</v>
      </c>
      <c r="AF177" s="2" t="s">
        <v>65</v>
      </c>
    </row>
    <row r="178">
      <c r="A178" s="2" t="s">
        <v>3955</v>
      </c>
      <c r="B178" s="2" t="s">
        <v>3955</v>
      </c>
      <c r="C178" s="6">
        <v>45665.506944444445</v>
      </c>
      <c r="D178" s="2">
        <v>1.7363382E9</v>
      </c>
      <c r="E178" s="8" t="s">
        <v>3956</v>
      </c>
      <c r="F178" s="2" t="s">
        <v>3962</v>
      </c>
      <c r="G178" s="2" t="s">
        <v>3963</v>
      </c>
      <c r="H178" s="2" t="s">
        <v>3964</v>
      </c>
      <c r="I178" s="2" t="s">
        <v>3965</v>
      </c>
      <c r="J178" s="8" t="s">
        <v>3966</v>
      </c>
      <c r="K178" s="8" t="s">
        <v>3973</v>
      </c>
      <c r="L178" s="2" t="b">
        <v>0</v>
      </c>
      <c r="M178" s="2" t="s">
        <v>67</v>
      </c>
      <c r="N178" s="2" t="s">
        <v>64</v>
      </c>
      <c r="O178" s="2" t="s">
        <v>65</v>
      </c>
      <c r="P178" s="2">
        <v>0.0</v>
      </c>
      <c r="Q178" s="2">
        <v>1.0</v>
      </c>
      <c r="R178" s="2">
        <v>0.0</v>
      </c>
      <c r="S178" s="2">
        <v>0.0</v>
      </c>
      <c r="T178" s="2">
        <v>560.0</v>
      </c>
      <c r="U178" s="2" t="s">
        <v>65</v>
      </c>
      <c r="W178" s="2" t="s">
        <v>65</v>
      </c>
      <c r="AC178" s="2" t="s">
        <v>65</v>
      </c>
      <c r="AD178" s="2" t="s">
        <v>65</v>
      </c>
      <c r="AF178" s="2" t="s">
        <v>65</v>
      </c>
    </row>
    <row r="179">
      <c r="A179" s="2" t="s">
        <v>3974</v>
      </c>
      <c r="B179" s="2" t="s">
        <v>3043</v>
      </c>
      <c r="C179" s="6">
        <v>44847.73443287037</v>
      </c>
      <c r="D179" s="2">
        <v>1.665682655E9</v>
      </c>
      <c r="E179" s="8" t="s">
        <v>3975</v>
      </c>
      <c r="F179" s="2" t="s">
        <v>3979</v>
      </c>
      <c r="G179" s="2" t="s">
        <v>3044</v>
      </c>
      <c r="H179" s="2" t="s">
        <v>3980</v>
      </c>
      <c r="I179" s="2" t="s">
        <v>3981</v>
      </c>
      <c r="J179" s="8" t="s">
        <v>3982</v>
      </c>
      <c r="K179" s="8" t="s">
        <v>3988</v>
      </c>
      <c r="L179" s="2" t="b">
        <v>1</v>
      </c>
      <c r="M179" s="2" t="s">
        <v>85</v>
      </c>
      <c r="N179" s="2" t="s">
        <v>64</v>
      </c>
      <c r="O179" s="2" t="s">
        <v>65</v>
      </c>
      <c r="P179" s="2">
        <v>18.0</v>
      </c>
      <c r="Q179" s="2">
        <v>1.0</v>
      </c>
      <c r="R179" s="2">
        <v>236.0</v>
      </c>
      <c r="S179" s="2">
        <v>0.0</v>
      </c>
      <c r="U179" s="2" t="s">
        <v>65</v>
      </c>
      <c r="W179" s="2" t="s">
        <v>65</v>
      </c>
      <c r="AC179" s="2" t="s">
        <v>65</v>
      </c>
      <c r="AD179" s="2" t="s">
        <v>71</v>
      </c>
      <c r="AE179" s="2" t="s">
        <v>3044</v>
      </c>
      <c r="AF179" s="2" t="s">
        <v>65</v>
      </c>
    </row>
    <row r="180" hidden="1">
      <c r="A180" s="2" t="s">
        <v>3993</v>
      </c>
      <c r="B180" s="2" t="s">
        <v>3993</v>
      </c>
      <c r="C180" s="6">
        <v>44275.413310185184</v>
      </c>
      <c r="D180" s="2">
        <v>1.61623411E9</v>
      </c>
      <c r="E180" s="8" t="s">
        <v>3994</v>
      </c>
      <c r="F180" s="2" t="s">
        <v>4000</v>
      </c>
      <c r="G180" s="2" t="s">
        <v>4001</v>
      </c>
      <c r="H180" s="2" t="s">
        <v>4002</v>
      </c>
      <c r="I180" s="2">
        <v>5.62770913E8</v>
      </c>
      <c r="J180" s="8" t="s">
        <v>4003</v>
      </c>
      <c r="K180" s="8" t="s">
        <v>4007</v>
      </c>
      <c r="L180" s="2" t="b">
        <v>1</v>
      </c>
      <c r="M180" s="2" t="s">
        <v>67</v>
      </c>
      <c r="N180" s="2" t="s">
        <v>4010</v>
      </c>
      <c r="O180" s="2" t="s">
        <v>65</v>
      </c>
      <c r="P180" s="2">
        <v>47.0</v>
      </c>
      <c r="Q180" s="2">
        <v>8.0</v>
      </c>
      <c r="R180" s="2">
        <v>350.0</v>
      </c>
      <c r="S180" s="2">
        <v>12.0</v>
      </c>
      <c r="U180" s="2" t="s">
        <v>65</v>
      </c>
      <c r="W180" s="2" t="s">
        <v>65</v>
      </c>
      <c r="AC180" s="2" t="s">
        <v>65</v>
      </c>
      <c r="AD180" s="2" t="s">
        <v>65</v>
      </c>
      <c r="AF180" s="2" t="s">
        <v>65</v>
      </c>
      <c r="AL180" s="2" t="s">
        <v>4011</v>
      </c>
      <c r="AM180" s="2" t="s">
        <v>4012</v>
      </c>
    </row>
    <row r="181" hidden="1">
      <c r="A181" s="2" t="s">
        <v>4013</v>
      </c>
      <c r="B181" s="2" t="s">
        <v>4013</v>
      </c>
      <c r="C181" s="6">
        <v>44635.82140046296</v>
      </c>
      <c r="D181" s="2">
        <v>1.647373369E9</v>
      </c>
      <c r="E181" s="8" t="s">
        <v>4015</v>
      </c>
      <c r="F181" s="2" t="s">
        <v>4022</v>
      </c>
      <c r="G181" s="2" t="s">
        <v>4023</v>
      </c>
      <c r="H181" s="2" t="s">
        <v>4024</v>
      </c>
      <c r="I181" s="2" t="s">
        <v>4025</v>
      </c>
      <c r="J181" s="8" t="s">
        <v>4026</v>
      </c>
      <c r="K181" s="8" t="s">
        <v>4033</v>
      </c>
      <c r="L181" s="2" t="b">
        <v>0</v>
      </c>
      <c r="M181" s="2" t="s">
        <v>67</v>
      </c>
      <c r="N181" s="2" t="s">
        <v>68</v>
      </c>
      <c r="O181" s="2" t="s">
        <v>65</v>
      </c>
      <c r="P181" s="2">
        <v>56.0</v>
      </c>
      <c r="Q181" s="2">
        <v>5.0</v>
      </c>
      <c r="R181" s="2">
        <v>262.0</v>
      </c>
      <c r="S181" s="2">
        <v>7.0</v>
      </c>
      <c r="U181" s="2" t="s">
        <v>65</v>
      </c>
      <c r="W181" s="2" t="s">
        <v>65</v>
      </c>
      <c r="AC181" s="2" t="s">
        <v>65</v>
      </c>
      <c r="AD181" s="2" t="s">
        <v>65</v>
      </c>
      <c r="AF181" s="2" t="s">
        <v>65</v>
      </c>
    </row>
    <row r="182" hidden="1">
      <c r="A182" s="2" t="s">
        <v>4036</v>
      </c>
      <c r="B182" s="2" t="s">
        <v>4036</v>
      </c>
      <c r="C182" s="6">
        <v>44830.489074074074</v>
      </c>
      <c r="D182" s="2">
        <v>1.664192656E9</v>
      </c>
      <c r="E182" s="8" t="s">
        <v>4039</v>
      </c>
      <c r="F182" s="2" t="s">
        <v>4043</v>
      </c>
      <c r="G182" s="2" t="s">
        <v>4045</v>
      </c>
      <c r="H182" s="2" t="s">
        <v>4048</v>
      </c>
      <c r="I182" s="2" t="s">
        <v>4050</v>
      </c>
      <c r="J182" s="8" t="s">
        <v>4052</v>
      </c>
      <c r="K182" s="8" t="s">
        <v>4054</v>
      </c>
      <c r="L182" s="2" t="b">
        <v>0</v>
      </c>
      <c r="M182" s="2" t="s">
        <v>67</v>
      </c>
      <c r="N182" s="2" t="s">
        <v>68</v>
      </c>
      <c r="O182" s="2" t="s">
        <v>65</v>
      </c>
      <c r="P182" s="2">
        <v>79.0</v>
      </c>
      <c r="Q182" s="2">
        <v>7.0</v>
      </c>
      <c r="R182" s="2">
        <v>502.0</v>
      </c>
      <c r="S182" s="2">
        <v>22.0</v>
      </c>
      <c r="U182" s="2" t="s">
        <v>65</v>
      </c>
      <c r="W182" s="2" t="s">
        <v>71</v>
      </c>
      <c r="X182" s="2" t="s">
        <v>4058</v>
      </c>
      <c r="Y182" s="2" t="s">
        <v>4059</v>
      </c>
      <c r="Z182" s="2" t="s">
        <v>4060</v>
      </c>
      <c r="AA182" s="8" t="s">
        <v>4061</v>
      </c>
      <c r="AC182" s="2" t="s">
        <v>65</v>
      </c>
      <c r="AD182" s="2" t="s">
        <v>65</v>
      </c>
      <c r="AF182" s="2" t="s">
        <v>65</v>
      </c>
    </row>
    <row r="183" hidden="1">
      <c r="A183" s="2" t="s">
        <v>4069</v>
      </c>
      <c r="B183" s="2" t="s">
        <v>4069</v>
      </c>
      <c r="C183" s="6">
        <v>45581.847395833334</v>
      </c>
      <c r="D183" s="2">
        <v>1.729110015E9</v>
      </c>
      <c r="E183" s="8" t="s">
        <v>4070</v>
      </c>
      <c r="F183" s="2" t="s">
        <v>4081</v>
      </c>
      <c r="G183" s="2" t="s">
        <v>4082</v>
      </c>
      <c r="H183" s="2" t="s">
        <v>4083</v>
      </c>
      <c r="I183" s="2" t="s">
        <v>4084</v>
      </c>
      <c r="J183" s="8" t="s">
        <v>4085</v>
      </c>
      <c r="K183" s="8" t="s">
        <v>4088</v>
      </c>
      <c r="L183" s="2" t="b">
        <v>0</v>
      </c>
      <c r="M183" s="2" t="s">
        <v>85</v>
      </c>
      <c r="N183" s="2" t="s">
        <v>68</v>
      </c>
      <c r="O183" s="2" t="s">
        <v>65</v>
      </c>
      <c r="P183" s="2">
        <v>0.0</v>
      </c>
      <c r="Q183" s="2">
        <v>1.0</v>
      </c>
      <c r="R183" s="2">
        <v>5.0</v>
      </c>
      <c r="S183" s="2">
        <v>0.0</v>
      </c>
      <c r="T183" s="2">
        <v>526.0</v>
      </c>
      <c r="U183" s="2" t="s">
        <v>65</v>
      </c>
      <c r="W183" s="2" t="s">
        <v>65</v>
      </c>
      <c r="AC183" s="2" t="s">
        <v>65</v>
      </c>
      <c r="AD183" s="2" t="s">
        <v>65</v>
      </c>
      <c r="AF183" s="2" t="s">
        <v>65</v>
      </c>
    </row>
    <row r="184">
      <c r="A184" s="2" t="s">
        <v>4091</v>
      </c>
      <c r="B184" s="2" t="s">
        <v>4091</v>
      </c>
      <c r="C184" s="6">
        <v>45214.885416666664</v>
      </c>
      <c r="D184" s="2">
        <v>1.6974045E9</v>
      </c>
      <c r="E184" s="8" t="s">
        <v>4093</v>
      </c>
      <c r="F184" s="2" t="s">
        <v>4096</v>
      </c>
      <c r="G184" s="2" t="s">
        <v>4097</v>
      </c>
      <c r="H184" s="2" t="s">
        <v>4099</v>
      </c>
      <c r="I184" s="2">
        <v>2.08413101E8</v>
      </c>
      <c r="J184" s="8" t="s">
        <v>4100</v>
      </c>
      <c r="K184" s="8" t="s">
        <v>4104</v>
      </c>
      <c r="L184" s="2" t="b">
        <v>0</v>
      </c>
      <c r="M184" s="2" t="s">
        <v>4110</v>
      </c>
      <c r="N184" s="2" t="s">
        <v>64</v>
      </c>
      <c r="O184" s="2" t="s">
        <v>65</v>
      </c>
      <c r="P184" s="2">
        <v>141.0</v>
      </c>
      <c r="Q184" s="2">
        <v>47.0</v>
      </c>
      <c r="R184" s="2">
        <v>278.0</v>
      </c>
      <c r="S184" s="2">
        <v>2.0</v>
      </c>
      <c r="T184" s="2">
        <v>8840.0</v>
      </c>
      <c r="U184" s="2" t="s">
        <v>65</v>
      </c>
      <c r="W184" s="2" t="s">
        <v>65</v>
      </c>
      <c r="AC184" s="2" t="s">
        <v>65</v>
      </c>
      <c r="AD184" s="2" t="s">
        <v>65</v>
      </c>
      <c r="AF184" s="2" t="s">
        <v>65</v>
      </c>
      <c r="AH184" s="8" t="s">
        <v>4115</v>
      </c>
    </row>
    <row r="185" hidden="1">
      <c r="A185" s="2" t="s">
        <v>4120</v>
      </c>
      <c r="B185" s="2" t="s">
        <v>4120</v>
      </c>
      <c r="C185" s="6">
        <v>45836.051203703704</v>
      </c>
      <c r="D185" s="2">
        <v>1.751073224E9</v>
      </c>
      <c r="E185" s="8" t="s">
        <v>4121</v>
      </c>
      <c r="F185" s="2" t="s">
        <v>4127</v>
      </c>
      <c r="G185" s="2" t="s">
        <v>4128</v>
      </c>
      <c r="H185" s="2" t="s">
        <v>4129</v>
      </c>
      <c r="I185" s="2" t="s">
        <v>4130</v>
      </c>
      <c r="J185" s="8" t="s">
        <v>4131</v>
      </c>
      <c r="K185" s="8" t="s">
        <v>4135</v>
      </c>
      <c r="L185" s="2" t="b">
        <v>0</v>
      </c>
      <c r="M185" s="2" t="s">
        <v>67</v>
      </c>
      <c r="N185" s="2" t="s">
        <v>68</v>
      </c>
      <c r="O185" s="2" t="s">
        <v>65</v>
      </c>
      <c r="P185" s="2">
        <v>0.0</v>
      </c>
      <c r="Q185" s="2">
        <v>0.0</v>
      </c>
      <c r="R185" s="2">
        <v>0.0</v>
      </c>
      <c r="S185" s="2">
        <v>0.0</v>
      </c>
      <c r="T185" s="2">
        <v>81.0</v>
      </c>
      <c r="U185" s="2" t="s">
        <v>65</v>
      </c>
      <c r="W185" s="2" t="s">
        <v>71</v>
      </c>
      <c r="X185" s="2" t="s">
        <v>4141</v>
      </c>
      <c r="Y185" s="2" t="s">
        <v>4142</v>
      </c>
      <c r="Z185" s="2" t="s">
        <v>4143</v>
      </c>
      <c r="AC185" s="2" t="s">
        <v>65</v>
      </c>
      <c r="AD185" s="2" t="s">
        <v>65</v>
      </c>
      <c r="AF185" s="2" t="s">
        <v>65</v>
      </c>
    </row>
    <row r="186">
      <c r="A186" s="2" t="s">
        <v>4144</v>
      </c>
      <c r="B186" s="2" t="s">
        <v>4144</v>
      </c>
      <c r="C186" s="6">
        <v>44276.00884259259</v>
      </c>
      <c r="D186" s="2">
        <v>1.616285564E9</v>
      </c>
      <c r="E186" s="8" t="s">
        <v>4147</v>
      </c>
      <c r="F186" s="2" t="s">
        <v>4149</v>
      </c>
      <c r="G186" s="2" t="s">
        <v>4150</v>
      </c>
      <c r="H186" s="2" t="s">
        <v>4151</v>
      </c>
      <c r="I186" s="2">
        <v>1.93914536E8</v>
      </c>
      <c r="J186" s="8" t="s">
        <v>4152</v>
      </c>
      <c r="K186" s="8" t="s">
        <v>4159</v>
      </c>
      <c r="L186" s="2" t="b">
        <v>0</v>
      </c>
      <c r="M186" s="2" t="s">
        <v>67</v>
      </c>
      <c r="N186" s="2" t="s">
        <v>64</v>
      </c>
      <c r="O186" s="2" t="s">
        <v>65</v>
      </c>
      <c r="P186" s="2">
        <v>149.0</v>
      </c>
      <c r="Q186" s="2">
        <v>21.0</v>
      </c>
      <c r="R186" s="2">
        <v>281.0</v>
      </c>
      <c r="S186" s="2">
        <v>7.0</v>
      </c>
      <c r="U186" s="2" t="s">
        <v>65</v>
      </c>
      <c r="W186" s="2" t="s">
        <v>65</v>
      </c>
      <c r="AC186" s="2" t="s">
        <v>65</v>
      </c>
      <c r="AD186" s="2" t="s">
        <v>65</v>
      </c>
      <c r="AF186" s="2" t="s">
        <v>65</v>
      </c>
    </row>
    <row r="187" hidden="1">
      <c r="A187" s="2" t="s">
        <v>4170</v>
      </c>
      <c r="B187" s="2" t="s">
        <v>4170</v>
      </c>
      <c r="C187" s="6">
        <v>44320.49912037037</v>
      </c>
      <c r="D187" s="2">
        <v>1.620129524E9</v>
      </c>
      <c r="E187" s="8" t="s">
        <v>4171</v>
      </c>
      <c r="F187" s="2" t="s">
        <v>4172</v>
      </c>
      <c r="G187" s="2" t="s">
        <v>2321</v>
      </c>
      <c r="H187" s="2" t="s">
        <v>2438</v>
      </c>
      <c r="I187" s="2" t="s">
        <v>2440</v>
      </c>
      <c r="J187" s="8" t="s">
        <v>2441</v>
      </c>
      <c r="K187" s="8" t="s">
        <v>2444</v>
      </c>
      <c r="L187" s="2" t="b">
        <v>0</v>
      </c>
      <c r="M187" s="2" t="s">
        <v>85</v>
      </c>
      <c r="N187" s="2" t="s">
        <v>68</v>
      </c>
      <c r="O187" s="2" t="s">
        <v>65</v>
      </c>
      <c r="P187" s="2">
        <v>70.0</v>
      </c>
      <c r="Q187" s="2">
        <v>27.0</v>
      </c>
      <c r="R187" s="2">
        <v>267.0</v>
      </c>
      <c r="S187" s="2">
        <v>18.0</v>
      </c>
      <c r="U187" s="2" t="s">
        <v>65</v>
      </c>
      <c r="W187" s="2" t="s">
        <v>65</v>
      </c>
      <c r="AC187" s="2" t="s">
        <v>65</v>
      </c>
      <c r="AD187" s="2" t="s">
        <v>65</v>
      </c>
      <c r="AF187" s="2" t="s">
        <v>65</v>
      </c>
      <c r="AI187" s="8" t="s">
        <v>4175</v>
      </c>
    </row>
    <row r="188" hidden="1">
      <c r="A188" s="2" t="s">
        <v>4176</v>
      </c>
      <c r="B188" s="2" t="s">
        <v>4176</v>
      </c>
      <c r="C188" s="6">
        <v>45812.604317129626</v>
      </c>
      <c r="D188" s="2">
        <v>1.749047413E9</v>
      </c>
      <c r="E188" s="8" t="s">
        <v>4177</v>
      </c>
      <c r="F188" s="2" t="s">
        <v>4182</v>
      </c>
      <c r="G188" s="2" t="s">
        <v>4183</v>
      </c>
      <c r="H188" s="2" t="s">
        <v>4184</v>
      </c>
      <c r="I188" s="2">
        <v>1.64058065E8</v>
      </c>
      <c r="J188" s="8" t="s">
        <v>4185</v>
      </c>
      <c r="K188" s="8" t="s">
        <v>4194</v>
      </c>
      <c r="L188" s="2" t="b">
        <v>0</v>
      </c>
      <c r="M188" s="2" t="s">
        <v>85</v>
      </c>
      <c r="N188" s="2" t="s">
        <v>68</v>
      </c>
      <c r="O188" s="2" t="s">
        <v>65</v>
      </c>
      <c r="P188" s="2">
        <v>0.0</v>
      </c>
      <c r="Q188" s="2">
        <v>0.0</v>
      </c>
      <c r="R188" s="2">
        <v>0.0</v>
      </c>
      <c r="S188" s="2">
        <v>0.0</v>
      </c>
      <c r="T188" s="2">
        <v>233.0</v>
      </c>
      <c r="U188" s="2" t="s">
        <v>65</v>
      </c>
      <c r="W188" s="2" t="s">
        <v>71</v>
      </c>
      <c r="X188" s="2" t="s">
        <v>4196</v>
      </c>
      <c r="Y188" s="2" t="s">
        <v>4197</v>
      </c>
      <c r="Z188" s="2" t="s">
        <v>4199</v>
      </c>
      <c r="AC188" s="2" t="s">
        <v>65</v>
      </c>
      <c r="AD188" s="2" t="s">
        <v>65</v>
      </c>
      <c r="AF188" s="2" t="s">
        <v>65</v>
      </c>
    </row>
    <row r="189" hidden="1">
      <c r="A189" s="2" t="s">
        <v>4200</v>
      </c>
      <c r="B189" s="2" t="s">
        <v>4200</v>
      </c>
      <c r="C189" s="6">
        <v>44348.75518518518</v>
      </c>
      <c r="D189" s="2">
        <v>1.622570848E9</v>
      </c>
      <c r="E189" s="8" t="s">
        <v>4204</v>
      </c>
      <c r="F189" s="2" t="s">
        <v>4205</v>
      </c>
      <c r="G189" s="2" t="s">
        <v>4206</v>
      </c>
      <c r="H189" s="2" t="s">
        <v>4207</v>
      </c>
      <c r="I189" s="2" t="s">
        <v>4208</v>
      </c>
      <c r="J189" s="8" t="s">
        <v>4209</v>
      </c>
      <c r="K189" s="8" t="s">
        <v>4211</v>
      </c>
      <c r="L189" s="2" t="b">
        <v>1</v>
      </c>
      <c r="M189" s="2" t="s">
        <v>67</v>
      </c>
      <c r="N189" s="2" t="s">
        <v>68</v>
      </c>
      <c r="O189" s="2" t="s">
        <v>65</v>
      </c>
      <c r="P189" s="2">
        <v>314.0</v>
      </c>
      <c r="Q189" s="2">
        <v>30.0</v>
      </c>
      <c r="R189" s="2">
        <v>1994.0</v>
      </c>
      <c r="S189" s="2">
        <v>7.0</v>
      </c>
      <c r="U189" s="2" t="s">
        <v>65</v>
      </c>
      <c r="W189" s="2" t="s">
        <v>65</v>
      </c>
      <c r="AC189" s="2" t="s">
        <v>65</v>
      </c>
      <c r="AD189" s="2" t="s">
        <v>65</v>
      </c>
      <c r="AF189" s="2" t="s">
        <v>65</v>
      </c>
      <c r="AL189" s="2" t="s">
        <v>4216</v>
      </c>
      <c r="AM189" s="2" t="s">
        <v>4217</v>
      </c>
    </row>
    <row r="190" hidden="1">
      <c r="A190" s="2" t="s">
        <v>4218</v>
      </c>
      <c r="B190" s="2" t="s">
        <v>4218</v>
      </c>
      <c r="C190" s="6">
        <v>45972.55626157407</v>
      </c>
      <c r="D190" s="2">
        <v>1.762867261E9</v>
      </c>
      <c r="E190" s="8" t="s">
        <v>4219</v>
      </c>
      <c r="F190" s="2" t="s">
        <v>4223</v>
      </c>
      <c r="G190" s="2" t="s">
        <v>4224</v>
      </c>
      <c r="H190" s="2" t="s">
        <v>4226</v>
      </c>
      <c r="I190" s="2" t="s">
        <v>4227</v>
      </c>
      <c r="J190" s="8" t="s">
        <v>4229</v>
      </c>
      <c r="K190" s="8" t="s">
        <v>4235</v>
      </c>
      <c r="L190" s="2" t="b">
        <v>0</v>
      </c>
      <c r="M190" s="2" t="s">
        <v>67</v>
      </c>
      <c r="N190" s="2" t="s">
        <v>68</v>
      </c>
      <c r="O190" s="2" t="s">
        <v>65</v>
      </c>
      <c r="P190" s="2">
        <v>0.0</v>
      </c>
      <c r="Q190" s="2">
        <v>0.0</v>
      </c>
      <c r="R190" s="2">
        <v>0.0</v>
      </c>
      <c r="S190" s="2">
        <v>0.0</v>
      </c>
      <c r="T190" s="2">
        <v>48.0</v>
      </c>
      <c r="U190" s="2" t="s">
        <v>65</v>
      </c>
      <c r="W190" s="2" t="s">
        <v>65</v>
      </c>
      <c r="AC190" s="2" t="s">
        <v>65</v>
      </c>
      <c r="AD190" s="2" t="s">
        <v>65</v>
      </c>
      <c r="AF190" s="2" t="s">
        <v>65</v>
      </c>
    </row>
    <row r="191">
      <c r="A191" s="2" t="s">
        <v>4241</v>
      </c>
      <c r="B191" s="2" t="s">
        <v>4241</v>
      </c>
      <c r="C191" s="6">
        <v>44541.69398148148</v>
      </c>
      <c r="D191" s="2">
        <v>1.63924076E9</v>
      </c>
      <c r="E191" s="8" t="s">
        <v>4242</v>
      </c>
      <c r="F191" s="2" t="s">
        <v>4246</v>
      </c>
      <c r="G191" s="2" t="s">
        <v>4247</v>
      </c>
      <c r="H191" s="2" t="s">
        <v>4248</v>
      </c>
      <c r="I191" s="2">
        <v>1.91732121E8</v>
      </c>
      <c r="J191" s="8" t="s">
        <v>4249</v>
      </c>
      <c r="K191" s="8" t="s">
        <v>4251</v>
      </c>
      <c r="L191" s="2" t="b">
        <v>0</v>
      </c>
      <c r="M191" s="2" t="s">
        <v>85</v>
      </c>
      <c r="N191" s="2" t="s">
        <v>64</v>
      </c>
      <c r="O191" s="2" t="s">
        <v>65</v>
      </c>
      <c r="P191" s="2">
        <v>39.0</v>
      </c>
      <c r="Q191" s="2">
        <v>1.0</v>
      </c>
      <c r="R191" s="2">
        <v>239.0</v>
      </c>
      <c r="S191" s="2">
        <v>7.0</v>
      </c>
      <c r="U191" s="2" t="s">
        <v>65</v>
      </c>
      <c r="W191" s="2" t="s">
        <v>65</v>
      </c>
      <c r="AC191" s="2" t="s">
        <v>65</v>
      </c>
      <c r="AD191" s="2" t="s">
        <v>65</v>
      </c>
      <c r="AF191" s="2" t="s">
        <v>65</v>
      </c>
    </row>
    <row r="192">
      <c r="A192" s="2" t="s">
        <v>1397</v>
      </c>
      <c r="B192" s="2" t="s">
        <v>1397</v>
      </c>
      <c r="C192" s="6">
        <v>45950.70756944444</v>
      </c>
      <c r="D192" s="2">
        <v>1.760979534E9</v>
      </c>
      <c r="E192" s="8" t="s">
        <v>1399</v>
      </c>
      <c r="F192" s="2" t="s">
        <v>1405</v>
      </c>
      <c r="G192" s="2" t="s">
        <v>1407</v>
      </c>
      <c r="H192" s="2" t="s">
        <v>1408</v>
      </c>
      <c r="I192" s="2" t="s">
        <v>1409</v>
      </c>
      <c r="J192" s="8" t="s">
        <v>1410</v>
      </c>
      <c r="L192" s="2" t="b">
        <v>0</v>
      </c>
      <c r="M192" s="2" t="s">
        <v>66</v>
      </c>
      <c r="N192" s="2" t="s">
        <v>64</v>
      </c>
      <c r="O192" s="2" t="s">
        <v>65</v>
      </c>
      <c r="P192" s="2">
        <v>0.0</v>
      </c>
      <c r="Q192" s="2">
        <v>0.0</v>
      </c>
      <c r="R192" s="2">
        <v>0.0</v>
      </c>
      <c r="S192" s="2">
        <v>0.0</v>
      </c>
      <c r="T192" s="2">
        <v>13.0</v>
      </c>
      <c r="U192" s="2" t="s">
        <v>65</v>
      </c>
      <c r="W192" s="2" t="s">
        <v>65</v>
      </c>
      <c r="AC192" s="2" t="s">
        <v>65</v>
      </c>
      <c r="AD192" s="2" t="s">
        <v>65</v>
      </c>
      <c r="AF192" s="2" t="s">
        <v>65</v>
      </c>
      <c r="AH192" s="8" t="s">
        <v>1420</v>
      </c>
      <c r="AI192" s="8" t="s">
        <v>1426</v>
      </c>
    </row>
    <row r="193" hidden="1">
      <c r="A193" s="2" t="s">
        <v>832</v>
      </c>
      <c r="B193" s="2" t="s">
        <v>810</v>
      </c>
      <c r="C193" s="6">
        <v>45968.5594212963</v>
      </c>
      <c r="D193" s="2">
        <v>1.762521934E9</v>
      </c>
      <c r="E193" s="8" t="s">
        <v>834</v>
      </c>
      <c r="F193" s="2" t="s">
        <v>837</v>
      </c>
      <c r="G193" s="2" t="s">
        <v>820</v>
      </c>
      <c r="H193" s="2" t="s">
        <v>821</v>
      </c>
      <c r="I193" s="2" t="s">
        <v>822</v>
      </c>
      <c r="J193" s="8" t="s">
        <v>823</v>
      </c>
      <c r="K193" s="8" t="s">
        <v>826</v>
      </c>
      <c r="L193" s="2" t="b">
        <v>0</v>
      </c>
      <c r="M193" s="2" t="s">
        <v>67</v>
      </c>
      <c r="N193" s="2" t="s">
        <v>68</v>
      </c>
      <c r="O193" s="2" t="s">
        <v>65</v>
      </c>
      <c r="P193" s="2">
        <v>0.0</v>
      </c>
      <c r="Q193" s="2">
        <v>1.0</v>
      </c>
      <c r="R193" s="2">
        <v>5.0</v>
      </c>
      <c r="S193" s="2">
        <v>0.0</v>
      </c>
      <c r="T193" s="2">
        <v>94.0</v>
      </c>
      <c r="U193" s="2" t="s">
        <v>65</v>
      </c>
      <c r="W193" s="2" t="s">
        <v>65</v>
      </c>
      <c r="AC193" s="2" t="s">
        <v>65</v>
      </c>
      <c r="AD193" s="2" t="s">
        <v>71</v>
      </c>
      <c r="AE193" s="2" t="s">
        <v>831</v>
      </c>
      <c r="AF193" s="2" t="s">
        <v>65</v>
      </c>
      <c r="AK193" s="2" t="s">
        <v>831</v>
      </c>
    </row>
    <row r="194">
      <c r="A194" s="2" t="s">
        <v>4272</v>
      </c>
      <c r="B194" s="2" t="s">
        <v>4272</v>
      </c>
      <c r="C194" s="6">
        <v>44617.21203703704</v>
      </c>
      <c r="D194" s="2">
        <v>1.64576552E9</v>
      </c>
      <c r="E194" s="8" t="s">
        <v>4273</v>
      </c>
      <c r="F194" s="2" t="s">
        <v>4276</v>
      </c>
      <c r="G194" s="2" t="s">
        <v>4277</v>
      </c>
      <c r="H194" s="2" t="s">
        <v>4278</v>
      </c>
      <c r="I194" s="2">
        <v>3.024435883E9</v>
      </c>
      <c r="J194" s="8" t="s">
        <v>4279</v>
      </c>
      <c r="K194" s="8" t="s">
        <v>4284</v>
      </c>
      <c r="L194" s="2" t="b">
        <v>1</v>
      </c>
      <c r="M194" s="2" t="s">
        <v>67</v>
      </c>
      <c r="N194" s="2" t="s">
        <v>64</v>
      </c>
      <c r="O194" s="2" t="s">
        <v>65</v>
      </c>
      <c r="P194" s="2">
        <v>59.0</v>
      </c>
      <c r="Q194" s="2">
        <v>31.0</v>
      </c>
      <c r="R194" s="2">
        <v>659.0</v>
      </c>
      <c r="S194" s="2">
        <v>45.0</v>
      </c>
      <c r="U194" s="2" t="s">
        <v>65</v>
      </c>
      <c r="W194" s="2" t="s">
        <v>65</v>
      </c>
      <c r="AC194" s="2" t="s">
        <v>65</v>
      </c>
      <c r="AD194" s="2" t="s">
        <v>65</v>
      </c>
      <c r="AF194" s="2" t="s">
        <v>65</v>
      </c>
    </row>
    <row r="195" hidden="1">
      <c r="A195" s="2" t="s">
        <v>4289</v>
      </c>
      <c r="B195" s="2" t="s">
        <v>4289</v>
      </c>
      <c r="C195" s="6">
        <v>45392.554027777776</v>
      </c>
      <c r="D195" s="2">
        <v>1.712755068E9</v>
      </c>
      <c r="E195" s="8" t="s">
        <v>4290</v>
      </c>
      <c r="F195" s="2" t="s">
        <v>4297</v>
      </c>
      <c r="G195" s="2" t="s">
        <v>4299</v>
      </c>
      <c r="H195" s="2" t="s">
        <v>4300</v>
      </c>
      <c r="I195" s="2">
        <v>5.2572754E7</v>
      </c>
      <c r="J195" s="8" t="s">
        <v>4301</v>
      </c>
      <c r="K195" s="8" t="s">
        <v>4305</v>
      </c>
      <c r="L195" s="2" t="b">
        <v>0</v>
      </c>
      <c r="M195" s="2" t="s">
        <v>85</v>
      </c>
      <c r="N195" s="2" t="s">
        <v>68</v>
      </c>
      <c r="O195" s="2" t="s">
        <v>65</v>
      </c>
      <c r="P195" s="2">
        <v>43.0</v>
      </c>
      <c r="Q195" s="2">
        <v>8.0</v>
      </c>
      <c r="R195" s="2">
        <v>224.0</v>
      </c>
      <c r="S195" s="2">
        <v>9.0</v>
      </c>
      <c r="T195" s="2">
        <v>9387.0</v>
      </c>
      <c r="U195" s="2" t="s">
        <v>65</v>
      </c>
      <c r="W195" s="2" t="s">
        <v>65</v>
      </c>
      <c r="AC195" s="2" t="s">
        <v>65</v>
      </c>
      <c r="AD195" s="2" t="s">
        <v>65</v>
      </c>
      <c r="AF195" s="2" t="s">
        <v>65</v>
      </c>
    </row>
    <row r="196">
      <c r="A196" s="2" t="s">
        <v>4311</v>
      </c>
      <c r="B196" s="2" t="s">
        <v>4311</v>
      </c>
      <c r="C196" s="6">
        <v>44581.36114583333</v>
      </c>
      <c r="D196" s="2">
        <v>1.642668003E9</v>
      </c>
      <c r="E196" s="8" t="s">
        <v>4312</v>
      </c>
      <c r="F196" s="2" t="s">
        <v>4313</v>
      </c>
      <c r="G196" s="2" t="s">
        <v>4314</v>
      </c>
      <c r="H196" s="2" t="s">
        <v>4315</v>
      </c>
      <c r="I196" s="2">
        <v>6.7399285E7</v>
      </c>
      <c r="J196" s="8" t="s">
        <v>4316</v>
      </c>
      <c r="K196" s="8" t="s">
        <v>4321</v>
      </c>
      <c r="L196" s="2" t="b">
        <v>1</v>
      </c>
      <c r="M196" s="2" t="s">
        <v>85</v>
      </c>
      <c r="N196" s="2" t="s">
        <v>64</v>
      </c>
      <c r="O196" s="2" t="s">
        <v>65</v>
      </c>
      <c r="P196" s="2">
        <v>52.0</v>
      </c>
      <c r="Q196" s="2">
        <v>17.0</v>
      </c>
      <c r="R196" s="2">
        <v>278.0</v>
      </c>
      <c r="S196" s="2">
        <v>12.0</v>
      </c>
      <c r="U196" s="2" t="s">
        <v>65</v>
      </c>
      <c r="W196" s="2" t="s">
        <v>65</v>
      </c>
      <c r="AC196" s="2" t="s">
        <v>65</v>
      </c>
      <c r="AD196" s="2" t="s">
        <v>65</v>
      </c>
      <c r="AF196" s="2" t="s">
        <v>65</v>
      </c>
    </row>
    <row r="197" hidden="1">
      <c r="A197" s="2" t="s">
        <v>4327</v>
      </c>
      <c r="B197" s="2" t="s">
        <v>4327</v>
      </c>
      <c r="C197" s="6">
        <v>45773.480092592596</v>
      </c>
      <c r="D197" s="2">
        <v>1.74566708E9</v>
      </c>
      <c r="E197" s="8" t="s">
        <v>4328</v>
      </c>
      <c r="F197" s="2" t="s">
        <v>4335</v>
      </c>
      <c r="G197" s="2" t="s">
        <v>4336</v>
      </c>
      <c r="H197" s="2" t="s">
        <v>4337</v>
      </c>
      <c r="I197" s="2" t="s">
        <v>4338</v>
      </c>
      <c r="J197" s="8" t="s">
        <v>4339</v>
      </c>
      <c r="K197" s="8" t="s">
        <v>4345</v>
      </c>
      <c r="L197" s="2" t="b">
        <v>0</v>
      </c>
      <c r="M197" s="2" t="s">
        <v>85</v>
      </c>
      <c r="N197" s="2" t="s">
        <v>68</v>
      </c>
      <c r="O197" s="2" t="s">
        <v>65</v>
      </c>
      <c r="P197" s="2">
        <v>2.0</v>
      </c>
      <c r="Q197" s="2">
        <v>7.0</v>
      </c>
      <c r="R197" s="2">
        <v>31.0</v>
      </c>
      <c r="S197" s="2">
        <v>1.0</v>
      </c>
      <c r="T197" s="2">
        <v>1597.0</v>
      </c>
      <c r="U197" s="2" t="s">
        <v>65</v>
      </c>
      <c r="W197" s="2" t="s">
        <v>71</v>
      </c>
      <c r="X197" s="2" t="s">
        <v>4349</v>
      </c>
      <c r="Y197" s="2" t="s">
        <v>4350</v>
      </c>
      <c r="Z197" s="2" t="s">
        <v>4351</v>
      </c>
      <c r="AC197" s="2" t="s">
        <v>65</v>
      </c>
      <c r="AD197" s="2" t="s">
        <v>65</v>
      </c>
      <c r="AF197" s="2" t="s">
        <v>65</v>
      </c>
    </row>
    <row r="198">
      <c r="A198" s="2" t="s">
        <v>4352</v>
      </c>
      <c r="B198" s="2" t="s">
        <v>4352</v>
      </c>
      <c r="C198" s="6">
        <v>45843.55734953703</v>
      </c>
      <c r="D198" s="2">
        <v>1.751721755E9</v>
      </c>
      <c r="E198" s="8" t="s">
        <v>4355</v>
      </c>
      <c r="F198" s="2" t="s">
        <v>4360</v>
      </c>
      <c r="G198" s="2" t="s">
        <v>4361</v>
      </c>
      <c r="H198" s="2" t="s">
        <v>4362</v>
      </c>
      <c r="I198" s="2">
        <v>1.79990537E8</v>
      </c>
      <c r="J198" s="8" t="s">
        <v>4363</v>
      </c>
      <c r="K198" s="8" t="s">
        <v>4365</v>
      </c>
      <c r="L198" s="2" t="b">
        <v>1</v>
      </c>
      <c r="M198" s="8" t="s">
        <v>473</v>
      </c>
      <c r="N198" s="2" t="s">
        <v>64</v>
      </c>
      <c r="O198" s="2" t="s">
        <v>65</v>
      </c>
      <c r="P198" s="2">
        <v>1.0</v>
      </c>
      <c r="Q198" s="2">
        <v>0.0</v>
      </c>
      <c r="R198" s="2">
        <v>3.0</v>
      </c>
      <c r="S198" s="2">
        <v>1.0</v>
      </c>
      <c r="T198" s="2">
        <v>1007.0</v>
      </c>
      <c r="U198" s="2" t="s">
        <v>65</v>
      </c>
      <c r="W198" s="2" t="s">
        <v>65</v>
      </c>
      <c r="AC198" s="2" t="s">
        <v>65</v>
      </c>
      <c r="AD198" s="2" t="s">
        <v>65</v>
      </c>
      <c r="AF198" s="2" t="s">
        <v>65</v>
      </c>
      <c r="AH198" s="8" t="s">
        <v>4376</v>
      </c>
    </row>
    <row r="199" hidden="1">
      <c r="A199" s="2" t="s">
        <v>4377</v>
      </c>
      <c r="B199" s="2" t="s">
        <v>4377</v>
      </c>
      <c r="C199" s="6">
        <v>45968.67422453704</v>
      </c>
      <c r="D199" s="2">
        <v>1.762531853E9</v>
      </c>
      <c r="E199" s="8" t="s">
        <v>4378</v>
      </c>
      <c r="F199" s="2" t="s">
        <v>4382</v>
      </c>
      <c r="G199" s="2" t="s">
        <v>4383</v>
      </c>
      <c r="H199" s="2" t="s">
        <v>4384</v>
      </c>
      <c r="I199" s="2" t="s">
        <v>4385</v>
      </c>
      <c r="J199" s="8" t="s">
        <v>4386</v>
      </c>
      <c r="K199" s="8" t="s">
        <v>4388</v>
      </c>
      <c r="L199" s="2" t="b">
        <v>0</v>
      </c>
      <c r="M199" s="2" t="s">
        <v>67</v>
      </c>
      <c r="N199" s="2" t="s">
        <v>4010</v>
      </c>
      <c r="O199" s="2" t="s">
        <v>65</v>
      </c>
      <c r="P199" s="2">
        <v>0.0</v>
      </c>
      <c r="Q199" s="2">
        <v>0.0</v>
      </c>
      <c r="R199" s="2">
        <v>0.0</v>
      </c>
      <c r="S199" s="2">
        <v>0.0</v>
      </c>
      <c r="T199" s="2">
        <v>50.0</v>
      </c>
      <c r="U199" s="2" t="s">
        <v>65</v>
      </c>
      <c r="W199" s="2" t="s">
        <v>71</v>
      </c>
      <c r="X199" s="2" t="s">
        <v>4393</v>
      </c>
      <c r="Y199" s="2" t="s">
        <v>4394</v>
      </c>
      <c r="Z199" s="8" t="s">
        <v>4395</v>
      </c>
      <c r="AA199" s="8" t="s">
        <v>4401</v>
      </c>
      <c r="AC199" s="2" t="s">
        <v>65</v>
      </c>
      <c r="AD199" s="2" t="s">
        <v>65</v>
      </c>
      <c r="AF199" s="2" t="s">
        <v>65</v>
      </c>
    </row>
    <row r="200" hidden="1">
      <c r="A200" s="2" t="s">
        <v>4405</v>
      </c>
      <c r="B200" s="2" t="s">
        <v>4405</v>
      </c>
      <c r="C200" s="6">
        <v>45777.72752314815</v>
      </c>
      <c r="D200" s="2">
        <v>1.746034058E9</v>
      </c>
      <c r="E200" s="8" t="s">
        <v>4408</v>
      </c>
      <c r="F200" s="2" t="s">
        <v>4409</v>
      </c>
      <c r="G200" s="2" t="s">
        <v>4411</v>
      </c>
      <c r="H200" s="2" t="s">
        <v>4412</v>
      </c>
      <c r="I200" s="2">
        <v>5.444037E7</v>
      </c>
      <c r="J200" s="8" t="s">
        <v>4413</v>
      </c>
      <c r="K200" s="8" t="s">
        <v>4416</v>
      </c>
      <c r="L200" s="2" t="b">
        <v>0</v>
      </c>
      <c r="M200" s="2" t="s">
        <v>66</v>
      </c>
      <c r="N200" s="2" t="s">
        <v>68</v>
      </c>
      <c r="O200" s="2" t="s">
        <v>65</v>
      </c>
      <c r="P200" s="2">
        <v>0.0</v>
      </c>
      <c r="Q200" s="2">
        <v>0.0</v>
      </c>
      <c r="R200" s="2">
        <v>1.0</v>
      </c>
      <c r="S200" s="2">
        <v>0.0</v>
      </c>
      <c r="T200" s="2">
        <v>318.0</v>
      </c>
      <c r="U200" s="2" t="s">
        <v>65</v>
      </c>
      <c r="W200" s="2" t="s">
        <v>65</v>
      </c>
      <c r="AC200" s="2" t="s">
        <v>65</v>
      </c>
      <c r="AD200" s="2" t="s">
        <v>65</v>
      </c>
      <c r="AF200" s="2" t="s">
        <v>65</v>
      </c>
    </row>
    <row r="201" hidden="1">
      <c r="A201" s="2" t="s">
        <v>4429</v>
      </c>
      <c r="B201" s="2" t="s">
        <v>4430</v>
      </c>
      <c r="C201" s="6">
        <v>44502.47105324074</v>
      </c>
      <c r="D201" s="2">
        <v>1.635851899E9</v>
      </c>
      <c r="E201" s="8" t="s">
        <v>4431</v>
      </c>
      <c r="F201" s="2" t="s">
        <v>4432</v>
      </c>
      <c r="G201" s="2" t="s">
        <v>4433</v>
      </c>
      <c r="H201" s="2" t="s">
        <v>4436</v>
      </c>
      <c r="I201" s="2" t="s">
        <v>4437</v>
      </c>
      <c r="J201" s="8" t="s">
        <v>4438</v>
      </c>
      <c r="K201" s="8" t="s">
        <v>4439</v>
      </c>
      <c r="L201" s="2" t="b">
        <v>0</v>
      </c>
      <c r="M201" s="2" t="s">
        <v>67</v>
      </c>
      <c r="N201" s="2" t="s">
        <v>68</v>
      </c>
      <c r="O201" s="2" t="s">
        <v>65</v>
      </c>
      <c r="P201" s="2">
        <v>31.0</v>
      </c>
      <c r="Q201" s="2">
        <v>8.0</v>
      </c>
      <c r="R201" s="2">
        <v>820.0</v>
      </c>
      <c r="S201" s="2">
        <v>11.0</v>
      </c>
      <c r="U201" s="2" t="s">
        <v>65</v>
      </c>
      <c r="W201" s="2" t="s">
        <v>65</v>
      </c>
      <c r="AC201" s="2" t="s">
        <v>65</v>
      </c>
      <c r="AD201" s="2" t="s">
        <v>71</v>
      </c>
      <c r="AE201" s="2" t="s">
        <v>4446</v>
      </c>
      <c r="AF201" s="2" t="s">
        <v>65</v>
      </c>
    </row>
    <row r="202">
      <c r="A202" s="2" t="s">
        <v>4447</v>
      </c>
      <c r="B202" s="2" t="s">
        <v>4447</v>
      </c>
      <c r="C202" s="6">
        <v>45971.07506944444</v>
      </c>
      <c r="D202" s="2">
        <v>1.762739286E9</v>
      </c>
      <c r="E202" s="8" t="s">
        <v>4448</v>
      </c>
      <c r="F202" s="2" t="s">
        <v>4452</v>
      </c>
      <c r="G202" s="2" t="s">
        <v>4453</v>
      </c>
      <c r="H202" s="2" t="s">
        <v>4454</v>
      </c>
      <c r="I202" s="2" t="s">
        <v>4456</v>
      </c>
      <c r="J202" s="8" t="s">
        <v>4457</v>
      </c>
      <c r="K202" s="8" t="s">
        <v>4466</v>
      </c>
      <c r="L202" s="2" t="b">
        <v>0</v>
      </c>
      <c r="M202" s="2" t="s">
        <v>67</v>
      </c>
      <c r="N202" s="2" t="s">
        <v>64</v>
      </c>
      <c r="O202" s="2" t="s">
        <v>65</v>
      </c>
      <c r="P202" s="2">
        <v>0.0</v>
      </c>
      <c r="Q202" s="2">
        <v>0.0</v>
      </c>
      <c r="R202" s="2">
        <v>3.0</v>
      </c>
      <c r="S202" s="2">
        <v>1.0</v>
      </c>
      <c r="T202" s="2">
        <v>72.0</v>
      </c>
      <c r="U202" s="2" t="s">
        <v>65</v>
      </c>
      <c r="W202" s="2" t="s">
        <v>65</v>
      </c>
      <c r="AC202" s="2" t="s">
        <v>65</v>
      </c>
      <c r="AD202" s="2" t="s">
        <v>65</v>
      </c>
      <c r="AF202" s="2" t="s">
        <v>65</v>
      </c>
    </row>
    <row r="203">
      <c r="A203" s="2" t="s">
        <v>4472</v>
      </c>
      <c r="B203" s="2" t="s">
        <v>4472</v>
      </c>
      <c r="C203" s="6">
        <v>45754.75193287037</v>
      </c>
      <c r="D203" s="2">
        <v>1.744048967E9</v>
      </c>
      <c r="E203" s="8" t="s">
        <v>4473</v>
      </c>
      <c r="F203" s="2" t="s">
        <v>4474</v>
      </c>
      <c r="G203" s="2" t="s">
        <v>4476</v>
      </c>
      <c r="H203" s="2" t="s">
        <v>4478</v>
      </c>
      <c r="I203" s="2">
        <v>1.08517775E8</v>
      </c>
      <c r="J203" s="8" t="s">
        <v>4479</v>
      </c>
      <c r="K203" s="8" t="s">
        <v>4483</v>
      </c>
      <c r="L203" s="2" t="b">
        <v>0</v>
      </c>
      <c r="M203" s="2" t="s">
        <v>67</v>
      </c>
      <c r="N203" s="2" t="s">
        <v>64</v>
      </c>
      <c r="O203" s="2" t="s">
        <v>65</v>
      </c>
      <c r="P203" s="2">
        <v>26.0</v>
      </c>
      <c r="Q203" s="2">
        <v>20.0</v>
      </c>
      <c r="R203" s="2">
        <v>272.0</v>
      </c>
      <c r="S203" s="2">
        <v>0.0</v>
      </c>
      <c r="T203" s="2">
        <v>10921.0</v>
      </c>
      <c r="U203" s="2" t="s">
        <v>65</v>
      </c>
      <c r="W203" s="2" t="s">
        <v>65</v>
      </c>
      <c r="AC203" s="2" t="s">
        <v>65</v>
      </c>
      <c r="AD203" s="2" t="s">
        <v>65</v>
      </c>
      <c r="AF203" s="2" t="s">
        <v>65</v>
      </c>
      <c r="AL203" s="2" t="s">
        <v>4488</v>
      </c>
      <c r="AM203" s="2" t="s">
        <v>4489</v>
      </c>
    </row>
    <row r="204" hidden="1">
      <c r="A204" s="2" t="s">
        <v>4490</v>
      </c>
      <c r="B204" s="2" t="s">
        <v>4490</v>
      </c>
      <c r="C204" s="6">
        <v>44233.61895833333</v>
      </c>
      <c r="D204" s="2">
        <v>1.612623078E9</v>
      </c>
      <c r="E204" s="8" t="s">
        <v>4492</v>
      </c>
      <c r="F204" s="2" t="s">
        <v>4497</v>
      </c>
      <c r="G204" s="2" t="s">
        <v>2321</v>
      </c>
      <c r="H204" s="2" t="s">
        <v>2438</v>
      </c>
      <c r="I204" s="2" t="s">
        <v>2440</v>
      </c>
      <c r="J204" s="8" t="s">
        <v>2441</v>
      </c>
      <c r="K204" s="8" t="s">
        <v>2444</v>
      </c>
      <c r="L204" s="2" t="b">
        <v>0</v>
      </c>
      <c r="M204" s="2" t="s">
        <v>85</v>
      </c>
      <c r="N204" s="2" t="s">
        <v>68</v>
      </c>
      <c r="O204" s="2" t="s">
        <v>65</v>
      </c>
      <c r="P204" s="2">
        <v>37.0</v>
      </c>
      <c r="Q204" s="2">
        <v>6.0</v>
      </c>
      <c r="R204" s="2">
        <v>177.0</v>
      </c>
      <c r="S204" s="2">
        <v>4.0</v>
      </c>
      <c r="U204" s="2" t="s">
        <v>65</v>
      </c>
      <c r="W204" s="2" t="s">
        <v>65</v>
      </c>
      <c r="AC204" s="2" t="s">
        <v>65</v>
      </c>
      <c r="AD204" s="2" t="s">
        <v>65</v>
      </c>
      <c r="AF204" s="2" t="s">
        <v>65</v>
      </c>
      <c r="AI204" s="8" t="s">
        <v>4501</v>
      </c>
    </row>
    <row r="205">
      <c r="A205" s="2" t="s">
        <v>4244</v>
      </c>
      <c r="B205" s="2" t="s">
        <v>4244</v>
      </c>
      <c r="C205" s="6">
        <v>45866.61759259259</v>
      </c>
      <c r="D205" s="2">
        <v>1.75371416E9</v>
      </c>
      <c r="E205" s="8" t="s">
        <v>4245</v>
      </c>
      <c r="F205" s="2" t="s">
        <v>4253</v>
      </c>
      <c r="G205" s="2" t="s">
        <v>3296</v>
      </c>
      <c r="H205" s="2" t="s">
        <v>3298</v>
      </c>
      <c r="I205" s="2">
        <v>2.06776127E8</v>
      </c>
      <c r="J205" s="8" t="s">
        <v>3299</v>
      </c>
      <c r="K205" s="8" t="s">
        <v>3301</v>
      </c>
      <c r="L205" s="2" t="b">
        <v>0</v>
      </c>
      <c r="M205" s="2" t="s">
        <v>721</v>
      </c>
      <c r="N205" s="2" t="s">
        <v>64</v>
      </c>
      <c r="O205" s="2" t="s">
        <v>65</v>
      </c>
      <c r="P205" s="2">
        <v>0.0</v>
      </c>
      <c r="Q205" s="2">
        <v>1.0</v>
      </c>
      <c r="R205" s="2">
        <v>6.0</v>
      </c>
      <c r="S205" s="2">
        <v>0.0</v>
      </c>
      <c r="T205" s="2">
        <v>148.0</v>
      </c>
      <c r="U205" s="2" t="s">
        <v>65</v>
      </c>
      <c r="W205" s="2" t="s">
        <v>71</v>
      </c>
      <c r="X205" s="2" t="s">
        <v>4256</v>
      </c>
      <c r="Y205" s="2" t="s">
        <v>4257</v>
      </c>
      <c r="Z205" s="2" t="s">
        <v>4258</v>
      </c>
      <c r="AC205" s="2" t="s">
        <v>65</v>
      </c>
      <c r="AD205" s="2" t="s">
        <v>65</v>
      </c>
      <c r="AF205" s="2" t="s">
        <v>65</v>
      </c>
    </row>
    <row r="206" hidden="1">
      <c r="A206" s="2" t="s">
        <v>4518</v>
      </c>
      <c r="B206" s="2" t="s">
        <v>4519</v>
      </c>
      <c r="C206" s="6">
        <v>44595.74559027778</v>
      </c>
      <c r="D206" s="2">
        <v>1.643910819E9</v>
      </c>
      <c r="E206" s="8" t="s">
        <v>4520</v>
      </c>
      <c r="F206" s="2" t="s">
        <v>4522</v>
      </c>
      <c r="G206" s="2" t="s">
        <v>2321</v>
      </c>
      <c r="H206" s="2" t="s">
        <v>2438</v>
      </c>
      <c r="I206" s="2" t="s">
        <v>2440</v>
      </c>
      <c r="J206" s="8" t="s">
        <v>2441</v>
      </c>
      <c r="K206" s="8" t="s">
        <v>2444</v>
      </c>
      <c r="L206" s="2" t="b">
        <v>0</v>
      </c>
      <c r="M206" s="2" t="s">
        <v>85</v>
      </c>
      <c r="N206" s="2" t="s">
        <v>68</v>
      </c>
      <c r="O206" s="2" t="s">
        <v>65</v>
      </c>
      <c r="P206" s="2">
        <v>229.0</v>
      </c>
      <c r="Q206" s="2">
        <v>4.0</v>
      </c>
      <c r="R206" s="2">
        <v>2810.0</v>
      </c>
      <c r="S206" s="2">
        <v>13.0</v>
      </c>
      <c r="U206" s="2" t="s">
        <v>65</v>
      </c>
      <c r="W206" s="2" t="s">
        <v>65</v>
      </c>
      <c r="AC206" s="2" t="s">
        <v>65</v>
      </c>
      <c r="AD206" s="2" t="s">
        <v>71</v>
      </c>
      <c r="AE206" s="2" t="s">
        <v>2321</v>
      </c>
      <c r="AF206" s="2" t="s">
        <v>65</v>
      </c>
    </row>
    <row r="207" hidden="1">
      <c r="A207" s="2" t="s">
        <v>4524</v>
      </c>
      <c r="B207" s="2" t="s">
        <v>4524</v>
      </c>
      <c r="C207" s="6">
        <v>45967.721030092594</v>
      </c>
      <c r="D207" s="2">
        <v>1.762449497E9</v>
      </c>
      <c r="E207" s="8" t="s">
        <v>4525</v>
      </c>
      <c r="F207" s="2" t="s">
        <v>4527</v>
      </c>
      <c r="G207" s="2" t="s">
        <v>4528</v>
      </c>
      <c r="H207" s="2" t="s">
        <v>4529</v>
      </c>
      <c r="I207" s="2" t="s">
        <v>4530</v>
      </c>
      <c r="J207" s="8" t="s">
        <v>4531</v>
      </c>
      <c r="K207" s="8" t="s">
        <v>4536</v>
      </c>
      <c r="L207" s="2" t="b">
        <v>0</v>
      </c>
      <c r="M207" s="2" t="s">
        <v>66</v>
      </c>
      <c r="N207" s="2" t="s">
        <v>4010</v>
      </c>
      <c r="O207" s="2" t="s">
        <v>65</v>
      </c>
      <c r="P207" s="2">
        <v>0.0</v>
      </c>
      <c r="Q207" s="2">
        <v>0.0</v>
      </c>
      <c r="R207" s="2">
        <v>1.0</v>
      </c>
      <c r="S207" s="2">
        <v>0.0</v>
      </c>
      <c r="T207" s="2">
        <v>145.0</v>
      </c>
      <c r="U207" s="2" t="s">
        <v>65</v>
      </c>
      <c r="W207" s="2" t="s">
        <v>71</v>
      </c>
      <c r="X207" s="2" t="s">
        <v>4542</v>
      </c>
      <c r="Y207" s="2" t="s">
        <v>4543</v>
      </c>
      <c r="Z207" s="2" t="s">
        <v>4544</v>
      </c>
      <c r="AA207" s="8" t="s">
        <v>4546</v>
      </c>
      <c r="AC207" s="2" t="s">
        <v>65</v>
      </c>
      <c r="AD207" s="2" t="s">
        <v>65</v>
      </c>
      <c r="AF207" s="2" t="s">
        <v>65</v>
      </c>
    </row>
    <row r="208" hidden="1">
      <c r="A208" s="2" t="s">
        <v>4549</v>
      </c>
      <c r="B208" s="2" t="s">
        <v>4550</v>
      </c>
      <c r="C208" s="6">
        <v>45971.5709375</v>
      </c>
      <c r="D208" s="2">
        <v>1.762782129E9</v>
      </c>
      <c r="E208" s="8" t="s">
        <v>4552</v>
      </c>
      <c r="F208" s="2" t="s">
        <v>4556</v>
      </c>
      <c r="G208" s="2" t="s">
        <v>4557</v>
      </c>
      <c r="H208" s="2" t="s">
        <v>4559</v>
      </c>
      <c r="I208" s="2">
        <v>6.36680715E8</v>
      </c>
      <c r="J208" s="8" t="s">
        <v>4560</v>
      </c>
      <c r="K208" s="8" t="s">
        <v>4565</v>
      </c>
      <c r="L208" s="2" t="b">
        <v>0</v>
      </c>
      <c r="M208" s="2" t="s">
        <v>66</v>
      </c>
      <c r="N208" s="2" t="s">
        <v>68</v>
      </c>
      <c r="O208" s="2" t="s">
        <v>65</v>
      </c>
      <c r="P208" s="2">
        <v>0.0</v>
      </c>
      <c r="Q208" s="2">
        <v>0.0</v>
      </c>
      <c r="R208" s="2">
        <v>0.0</v>
      </c>
      <c r="S208" s="2">
        <v>0.0</v>
      </c>
      <c r="T208" s="2">
        <v>21.0</v>
      </c>
      <c r="U208" s="2" t="s">
        <v>65</v>
      </c>
      <c r="W208" s="2" t="s">
        <v>65</v>
      </c>
      <c r="AC208" s="2" t="s">
        <v>65</v>
      </c>
      <c r="AD208" s="2" t="s">
        <v>71</v>
      </c>
      <c r="AE208" s="2" t="s">
        <v>2930</v>
      </c>
      <c r="AF208" s="2" t="s">
        <v>65</v>
      </c>
      <c r="AK208" s="2" t="s">
        <v>2930</v>
      </c>
    </row>
    <row r="209" hidden="1">
      <c r="A209" s="2" t="s">
        <v>4568</v>
      </c>
      <c r="B209" s="2" t="s">
        <v>4568</v>
      </c>
      <c r="C209" s="6">
        <v>45611.509097222224</v>
      </c>
      <c r="D209" s="2">
        <v>1.731672786E9</v>
      </c>
      <c r="E209" s="8" t="s">
        <v>4570</v>
      </c>
      <c r="F209" s="2" t="s">
        <v>4572</v>
      </c>
      <c r="G209" s="2" t="s">
        <v>4573</v>
      </c>
      <c r="H209" s="2" t="s">
        <v>4574</v>
      </c>
      <c r="I209" s="2">
        <v>2.9274419E7</v>
      </c>
      <c r="J209" s="8" t="s">
        <v>4575</v>
      </c>
      <c r="K209" s="8" t="s">
        <v>4578</v>
      </c>
      <c r="L209" s="2" t="b">
        <v>0</v>
      </c>
      <c r="M209" s="2" t="s">
        <v>66</v>
      </c>
      <c r="N209" s="2" t="s">
        <v>68</v>
      </c>
      <c r="O209" s="2" t="s">
        <v>65</v>
      </c>
      <c r="P209" s="2">
        <v>0.0</v>
      </c>
      <c r="Q209" s="2">
        <v>1.0</v>
      </c>
      <c r="R209" s="2">
        <v>2.0</v>
      </c>
      <c r="S209" s="2">
        <v>0.0</v>
      </c>
      <c r="T209" s="2">
        <v>966.0</v>
      </c>
      <c r="U209" s="2" t="s">
        <v>65</v>
      </c>
      <c r="W209" s="2" t="s">
        <v>65</v>
      </c>
      <c r="AC209" s="2" t="s">
        <v>65</v>
      </c>
      <c r="AD209" s="2" t="s">
        <v>65</v>
      </c>
      <c r="AF209" s="2" t="s">
        <v>65</v>
      </c>
      <c r="AH209" s="8" t="s">
        <v>4587</v>
      </c>
    </row>
    <row r="210">
      <c r="A210" s="2" t="s">
        <v>4595</v>
      </c>
      <c r="B210" s="2" t="s">
        <v>4596</v>
      </c>
      <c r="C210" s="6">
        <v>45972.78872685185</v>
      </c>
      <c r="D210" s="2">
        <v>1.762887346E9</v>
      </c>
      <c r="E210" s="8" t="s">
        <v>4597</v>
      </c>
      <c r="F210" s="2" t="s">
        <v>4599</v>
      </c>
      <c r="G210" s="2" t="s">
        <v>4601</v>
      </c>
      <c r="H210" s="2" t="s">
        <v>4603</v>
      </c>
      <c r="I210" s="2">
        <v>1.95798005660672E18</v>
      </c>
      <c r="J210" s="8" t="s">
        <v>4604</v>
      </c>
      <c r="K210" s="8" t="s">
        <v>4609</v>
      </c>
      <c r="L210" s="2" t="b">
        <v>0</v>
      </c>
      <c r="M210" s="2" t="s">
        <v>85</v>
      </c>
      <c r="N210" s="2" t="s">
        <v>64</v>
      </c>
      <c r="O210" s="2" t="s">
        <v>65</v>
      </c>
      <c r="P210" s="2">
        <v>0.0</v>
      </c>
      <c r="Q210" s="2">
        <v>0.0</v>
      </c>
      <c r="R210" s="2">
        <v>1.0</v>
      </c>
      <c r="S210" s="2">
        <v>0.0</v>
      </c>
      <c r="T210" s="2">
        <v>26.0</v>
      </c>
      <c r="U210" s="2" t="s">
        <v>65</v>
      </c>
      <c r="W210" s="2" t="s">
        <v>65</v>
      </c>
      <c r="AC210" s="2" t="s">
        <v>65</v>
      </c>
      <c r="AD210" s="2" t="s">
        <v>71</v>
      </c>
      <c r="AE210" s="2" t="s">
        <v>4615</v>
      </c>
      <c r="AF210" s="2" t="s">
        <v>65</v>
      </c>
      <c r="AK210" s="2" t="s">
        <v>4615</v>
      </c>
    </row>
    <row r="211">
      <c r="A211" s="2" t="s">
        <v>4617</v>
      </c>
      <c r="B211" s="2" t="s">
        <v>4617</v>
      </c>
      <c r="C211" s="6">
        <v>45970.72267361111</v>
      </c>
      <c r="D211" s="2">
        <v>1.762708839E9</v>
      </c>
      <c r="E211" s="8" t="s">
        <v>4618</v>
      </c>
      <c r="F211" s="2" t="s">
        <v>4620</v>
      </c>
      <c r="G211" s="2" t="s">
        <v>4621</v>
      </c>
      <c r="H211" s="2" t="s">
        <v>4623</v>
      </c>
      <c r="I211" s="2" t="s">
        <v>4624</v>
      </c>
      <c r="J211" s="8" t="s">
        <v>4625</v>
      </c>
      <c r="K211" s="8" t="s">
        <v>4633</v>
      </c>
      <c r="L211" s="2" t="b">
        <v>0</v>
      </c>
      <c r="M211" s="2" t="s">
        <v>67</v>
      </c>
      <c r="N211" s="2" t="s">
        <v>64</v>
      </c>
      <c r="O211" s="2" t="s">
        <v>65</v>
      </c>
      <c r="P211" s="2">
        <v>0.0</v>
      </c>
      <c r="Q211" s="2">
        <v>0.0</v>
      </c>
      <c r="R211" s="2">
        <v>2.0</v>
      </c>
      <c r="S211" s="2">
        <v>0.0</v>
      </c>
      <c r="T211" s="2">
        <v>43.0</v>
      </c>
      <c r="U211" s="2" t="s">
        <v>65</v>
      </c>
      <c r="W211" s="2" t="s">
        <v>71</v>
      </c>
      <c r="X211" s="2" t="s">
        <v>4640</v>
      </c>
      <c r="Y211" s="2" t="s">
        <v>4642</v>
      </c>
      <c r="Z211" s="2" t="s">
        <v>4643</v>
      </c>
      <c r="AA211" s="8" t="s">
        <v>4644</v>
      </c>
      <c r="AC211" s="2" t="s">
        <v>65</v>
      </c>
      <c r="AD211" s="2" t="s">
        <v>65</v>
      </c>
      <c r="AF211" s="2" t="s">
        <v>65</v>
      </c>
    </row>
    <row r="212">
      <c r="A212" s="2" t="s">
        <v>4646</v>
      </c>
      <c r="B212" s="2" t="s">
        <v>4646</v>
      </c>
      <c r="C212" s="6">
        <v>45948.925474537034</v>
      </c>
      <c r="D212" s="2">
        <v>1.760825561E9</v>
      </c>
      <c r="E212" s="8" t="s">
        <v>4648</v>
      </c>
      <c r="F212" s="2" t="s">
        <v>4653</v>
      </c>
      <c r="G212" s="2" t="s">
        <v>219</v>
      </c>
      <c r="H212" s="2" t="s">
        <v>221</v>
      </c>
      <c r="I212" s="2" t="s">
        <v>222</v>
      </c>
      <c r="J212" s="8" t="s">
        <v>223</v>
      </c>
      <c r="K212" s="8" t="s">
        <v>226</v>
      </c>
      <c r="L212" s="2" t="b">
        <v>0</v>
      </c>
      <c r="M212" s="2" t="s">
        <v>67</v>
      </c>
      <c r="N212" s="2" t="s">
        <v>64</v>
      </c>
      <c r="O212" s="2" t="s">
        <v>65</v>
      </c>
      <c r="P212" s="2">
        <v>1.0</v>
      </c>
      <c r="Q212" s="2">
        <v>0.0</v>
      </c>
      <c r="R212" s="2">
        <v>1.0</v>
      </c>
      <c r="S212" s="2">
        <v>0.0</v>
      </c>
      <c r="T212" s="2">
        <v>17.0</v>
      </c>
      <c r="U212" s="2" t="s">
        <v>65</v>
      </c>
      <c r="W212" s="2" t="s">
        <v>65</v>
      </c>
      <c r="AC212" s="2" t="s">
        <v>65</v>
      </c>
      <c r="AD212" s="2" t="s">
        <v>65</v>
      </c>
      <c r="AF212" s="2" t="s">
        <v>65</v>
      </c>
      <c r="AG212" s="2" t="s">
        <v>4657</v>
      </c>
      <c r="AI212" s="8" t="s">
        <v>4658</v>
      </c>
    </row>
    <row r="213" hidden="1">
      <c r="A213" s="2" t="s">
        <v>4665</v>
      </c>
      <c r="B213" s="2" t="s">
        <v>4666</v>
      </c>
      <c r="C213" s="6">
        <v>45974.051932870374</v>
      </c>
      <c r="D213" s="2">
        <v>1.762996487E9</v>
      </c>
      <c r="E213" s="8" t="s">
        <v>4667</v>
      </c>
      <c r="F213" s="2" t="s">
        <v>4670</v>
      </c>
      <c r="G213" s="2" t="s">
        <v>4671</v>
      </c>
      <c r="H213" s="2" t="s">
        <v>4672</v>
      </c>
      <c r="I213" s="2" t="s">
        <v>4673</v>
      </c>
      <c r="J213" s="8" t="s">
        <v>4675</v>
      </c>
      <c r="K213" s="8" t="s">
        <v>4677</v>
      </c>
      <c r="L213" s="2" t="b">
        <v>0</v>
      </c>
      <c r="M213" s="2" t="s">
        <v>85</v>
      </c>
      <c r="N213" s="2" t="s">
        <v>68</v>
      </c>
      <c r="O213" s="2" t="s">
        <v>65</v>
      </c>
      <c r="P213" s="2">
        <v>0.0</v>
      </c>
      <c r="Q213" s="2">
        <v>0.0</v>
      </c>
      <c r="R213" s="2">
        <v>1.0</v>
      </c>
      <c r="S213" s="2">
        <v>0.0</v>
      </c>
      <c r="T213" s="2">
        <v>44.0</v>
      </c>
      <c r="U213" s="2" t="s">
        <v>65</v>
      </c>
      <c r="W213" s="2" t="s">
        <v>65</v>
      </c>
      <c r="AC213" s="2" t="s">
        <v>65</v>
      </c>
      <c r="AD213" s="2" t="s">
        <v>71</v>
      </c>
      <c r="AE213" s="2" t="s">
        <v>4689</v>
      </c>
      <c r="AF213" s="2" t="s">
        <v>65</v>
      </c>
      <c r="AK213" s="2" t="s">
        <v>4690</v>
      </c>
    </row>
    <row r="214">
      <c r="A214" s="2" t="s">
        <v>4691</v>
      </c>
      <c r="B214" s="2" t="s">
        <v>4691</v>
      </c>
      <c r="C214" s="6">
        <v>44895.585277777776</v>
      </c>
      <c r="D214" s="2">
        <v>1.669816968E9</v>
      </c>
      <c r="E214" s="8" t="s">
        <v>4696</v>
      </c>
      <c r="F214" s="2" t="s">
        <v>4698</v>
      </c>
      <c r="G214" s="2" t="s">
        <v>1670</v>
      </c>
      <c r="H214" s="2" t="s">
        <v>1671</v>
      </c>
      <c r="I214" s="2" t="s">
        <v>1672</v>
      </c>
      <c r="J214" s="8" t="s">
        <v>1673</v>
      </c>
      <c r="K214" s="8" t="s">
        <v>1675</v>
      </c>
      <c r="L214" s="2" t="b">
        <v>1</v>
      </c>
      <c r="M214" s="2" t="s">
        <v>85</v>
      </c>
      <c r="N214" s="2" t="s">
        <v>64</v>
      </c>
      <c r="O214" s="2" t="s">
        <v>65</v>
      </c>
      <c r="P214" s="2">
        <v>53.0</v>
      </c>
      <c r="Q214" s="2">
        <v>4.0</v>
      </c>
      <c r="R214" s="2">
        <v>409.0</v>
      </c>
      <c r="S214" s="2">
        <v>1.0</v>
      </c>
      <c r="U214" s="2" t="s">
        <v>65</v>
      </c>
      <c r="W214" s="2" t="s">
        <v>65</v>
      </c>
      <c r="AC214" s="2" t="s">
        <v>65</v>
      </c>
      <c r="AD214" s="2" t="s">
        <v>65</v>
      </c>
      <c r="AF214" s="2" t="s">
        <v>65</v>
      </c>
    </row>
    <row r="215">
      <c r="A215" s="2" t="s">
        <v>4700</v>
      </c>
      <c r="B215" s="2" t="s">
        <v>4700</v>
      </c>
      <c r="C215" s="6">
        <v>45744.87608796296</v>
      </c>
      <c r="D215" s="2">
        <v>1.743195694E9</v>
      </c>
      <c r="E215" s="8" t="s">
        <v>4702</v>
      </c>
      <c r="F215" s="2" t="s">
        <v>4705</v>
      </c>
      <c r="G215" s="2" t="s">
        <v>4706</v>
      </c>
      <c r="H215" s="2" t="s">
        <v>4707</v>
      </c>
      <c r="I215" s="2" t="s">
        <v>4708</v>
      </c>
      <c r="J215" s="8" t="s">
        <v>4709</v>
      </c>
      <c r="K215" s="8" t="s">
        <v>4712</v>
      </c>
      <c r="L215" s="2" t="b">
        <v>0</v>
      </c>
      <c r="M215" s="2" t="s">
        <v>67</v>
      </c>
      <c r="N215" s="2" t="s">
        <v>64</v>
      </c>
      <c r="O215" s="2" t="s">
        <v>65</v>
      </c>
      <c r="P215" s="2">
        <v>12.0</v>
      </c>
      <c r="Q215" s="2">
        <v>2.0</v>
      </c>
      <c r="R215" s="2">
        <v>84.0</v>
      </c>
      <c r="S215" s="2">
        <v>1.0</v>
      </c>
      <c r="T215" s="2">
        <v>4092.0</v>
      </c>
      <c r="U215" s="2" t="s">
        <v>65</v>
      </c>
      <c r="W215" s="2" t="s">
        <v>71</v>
      </c>
      <c r="X215" s="2" t="s">
        <v>4722</v>
      </c>
      <c r="Y215" s="2" t="s">
        <v>4723</v>
      </c>
      <c r="Z215" s="2" t="s">
        <v>4724</v>
      </c>
      <c r="AB215" s="8" t="s">
        <v>4725</v>
      </c>
      <c r="AC215" s="2" t="s">
        <v>65</v>
      </c>
      <c r="AD215" s="2" t="s">
        <v>65</v>
      </c>
      <c r="AF215" s="2" t="s">
        <v>65</v>
      </c>
    </row>
    <row r="216" hidden="1">
      <c r="A216" s="2" t="s">
        <v>4728</v>
      </c>
      <c r="B216" s="2" t="s">
        <v>4729</v>
      </c>
      <c r="C216" s="6">
        <v>43970.4903125</v>
      </c>
      <c r="D216" s="2">
        <v>1.589888763E9</v>
      </c>
      <c r="E216" s="8" t="s">
        <v>4730</v>
      </c>
      <c r="F216" s="2" t="s">
        <v>4731</v>
      </c>
      <c r="G216" s="2" t="s">
        <v>4732</v>
      </c>
      <c r="H216" s="2" t="s">
        <v>4733</v>
      </c>
      <c r="I216" s="2">
        <v>2.48289462E8</v>
      </c>
      <c r="J216" s="8" t="s">
        <v>4734</v>
      </c>
      <c r="K216" s="8" t="s">
        <v>4742</v>
      </c>
      <c r="L216" s="2" t="b">
        <v>0</v>
      </c>
      <c r="M216" s="2" t="s">
        <v>67</v>
      </c>
      <c r="N216" s="2" t="s">
        <v>68</v>
      </c>
      <c r="O216" s="2" t="s">
        <v>65</v>
      </c>
      <c r="P216" s="2">
        <v>2.0</v>
      </c>
      <c r="Q216" s="2">
        <v>1.0</v>
      </c>
      <c r="R216" s="2">
        <v>190.0</v>
      </c>
      <c r="S216" s="2">
        <v>0.0</v>
      </c>
      <c r="U216" s="2" t="s">
        <v>65</v>
      </c>
      <c r="W216" s="2" t="s">
        <v>65</v>
      </c>
      <c r="AC216" s="2" t="s">
        <v>65</v>
      </c>
      <c r="AD216" s="2" t="s">
        <v>71</v>
      </c>
      <c r="AF216" s="2" t="s">
        <v>65</v>
      </c>
    </row>
    <row r="217" hidden="1">
      <c r="A217" s="2" t="s">
        <v>4752</v>
      </c>
      <c r="B217" s="2" t="s">
        <v>4753</v>
      </c>
      <c r="C217" s="6">
        <v>45970.73337962963</v>
      </c>
      <c r="D217" s="2">
        <v>1.762709764E9</v>
      </c>
      <c r="E217" s="8" t="s">
        <v>4754</v>
      </c>
      <c r="F217" s="2" t="s">
        <v>4756</v>
      </c>
      <c r="G217" s="2" t="s">
        <v>4757</v>
      </c>
      <c r="H217" s="2" t="s">
        <v>4758</v>
      </c>
      <c r="I217" s="2">
        <v>1.335385172E9</v>
      </c>
      <c r="J217" s="8" t="s">
        <v>4759</v>
      </c>
      <c r="K217" s="8" t="s">
        <v>4763</v>
      </c>
      <c r="L217" s="2" t="b">
        <v>0</v>
      </c>
      <c r="M217" s="2" t="s">
        <v>85</v>
      </c>
      <c r="N217" s="2" t="s">
        <v>68</v>
      </c>
      <c r="O217" s="2" t="s">
        <v>65</v>
      </c>
      <c r="P217" s="2">
        <v>0.0</v>
      </c>
      <c r="Q217" s="2">
        <v>1.0</v>
      </c>
      <c r="R217" s="2">
        <v>0.0</v>
      </c>
      <c r="S217" s="2">
        <v>0.0</v>
      </c>
      <c r="T217" s="2">
        <v>56.0</v>
      </c>
      <c r="U217" s="2" t="s">
        <v>65</v>
      </c>
      <c r="W217" s="2" t="s">
        <v>65</v>
      </c>
      <c r="AC217" s="2" t="s">
        <v>65</v>
      </c>
      <c r="AD217" s="2" t="s">
        <v>71</v>
      </c>
      <c r="AE217" s="2" t="s">
        <v>4769</v>
      </c>
      <c r="AF217" s="2" t="s">
        <v>65</v>
      </c>
      <c r="AK217" s="2" t="s">
        <v>4769</v>
      </c>
    </row>
    <row r="218" hidden="1">
      <c r="A218" s="2" t="s">
        <v>4771</v>
      </c>
      <c r="B218" s="2" t="s">
        <v>4771</v>
      </c>
      <c r="C218" s="6">
        <v>44411.07869212963</v>
      </c>
      <c r="D218" s="2">
        <v>1.627955599E9</v>
      </c>
      <c r="E218" s="8" t="s">
        <v>4773</v>
      </c>
      <c r="F218" s="2" t="s">
        <v>4777</v>
      </c>
      <c r="G218" s="2" t="s">
        <v>2321</v>
      </c>
      <c r="H218" s="2" t="s">
        <v>2438</v>
      </c>
      <c r="I218" s="2" t="s">
        <v>2440</v>
      </c>
      <c r="J218" s="8" t="s">
        <v>2441</v>
      </c>
      <c r="K218" s="8" t="s">
        <v>2444</v>
      </c>
      <c r="L218" s="2" t="b">
        <v>0</v>
      </c>
      <c r="M218" s="2" t="s">
        <v>85</v>
      </c>
      <c r="N218" s="2" t="s">
        <v>68</v>
      </c>
      <c r="O218" s="2" t="s">
        <v>65</v>
      </c>
      <c r="P218" s="2">
        <v>16.0</v>
      </c>
      <c r="Q218" s="2">
        <v>9.0</v>
      </c>
      <c r="R218" s="2">
        <v>209.0</v>
      </c>
      <c r="S218" s="2">
        <v>7.0</v>
      </c>
      <c r="U218" s="2" t="s">
        <v>65</v>
      </c>
      <c r="W218" s="2" t="s">
        <v>65</v>
      </c>
      <c r="AC218" s="2" t="s">
        <v>65</v>
      </c>
      <c r="AD218" s="2" t="s">
        <v>65</v>
      </c>
      <c r="AF218" s="2" t="s">
        <v>65</v>
      </c>
    </row>
    <row r="219" hidden="1">
      <c r="A219" s="2" t="s">
        <v>4781</v>
      </c>
      <c r="B219" s="2" t="s">
        <v>4781</v>
      </c>
      <c r="C219" s="6">
        <v>44201.4530787037</v>
      </c>
      <c r="D219" s="2">
        <v>1.609843946E9</v>
      </c>
      <c r="E219" s="8" t="s">
        <v>4782</v>
      </c>
      <c r="F219" s="2" t="s">
        <v>4788</v>
      </c>
      <c r="G219" s="2" t="s">
        <v>4789</v>
      </c>
      <c r="H219" s="2" t="s">
        <v>4790</v>
      </c>
      <c r="I219" s="2" t="s">
        <v>4791</v>
      </c>
      <c r="J219" s="8" t="s">
        <v>4792</v>
      </c>
      <c r="K219" s="8" t="s">
        <v>4799</v>
      </c>
      <c r="L219" s="2" t="b">
        <v>0</v>
      </c>
      <c r="M219" s="2" t="s">
        <v>85</v>
      </c>
      <c r="N219" s="2" t="s">
        <v>68</v>
      </c>
      <c r="O219" s="2" t="s">
        <v>65</v>
      </c>
      <c r="P219" s="2">
        <v>1.0</v>
      </c>
      <c r="Q219" s="2">
        <v>26.0</v>
      </c>
      <c r="R219" s="2">
        <v>340.0</v>
      </c>
      <c r="S219" s="2">
        <v>5.0</v>
      </c>
      <c r="U219" s="2" t="s">
        <v>65</v>
      </c>
      <c r="W219" s="2" t="s">
        <v>65</v>
      </c>
      <c r="AC219" s="2" t="s">
        <v>65</v>
      </c>
      <c r="AD219" s="2" t="s">
        <v>65</v>
      </c>
      <c r="AF219" s="2" t="s">
        <v>65</v>
      </c>
    </row>
    <row r="220" hidden="1">
      <c r="A220" s="2" t="s">
        <v>4802</v>
      </c>
      <c r="B220" s="2" t="s">
        <v>4802</v>
      </c>
      <c r="C220" s="6">
        <v>44624.95474537037</v>
      </c>
      <c r="D220" s="2">
        <v>1.64643449E9</v>
      </c>
      <c r="E220" s="8" t="s">
        <v>4803</v>
      </c>
      <c r="F220" s="2" t="s">
        <v>4805</v>
      </c>
      <c r="G220" s="2" t="s">
        <v>4806</v>
      </c>
      <c r="H220" s="2" t="s">
        <v>4808</v>
      </c>
      <c r="I220" s="2" t="s">
        <v>4810</v>
      </c>
      <c r="J220" s="8" t="s">
        <v>4811</v>
      </c>
      <c r="K220" s="8" t="s">
        <v>4819</v>
      </c>
      <c r="L220" s="2" t="b">
        <v>0</v>
      </c>
      <c r="M220" s="2" t="s">
        <v>67</v>
      </c>
      <c r="N220" s="2" t="s">
        <v>68</v>
      </c>
      <c r="O220" s="2" t="s">
        <v>65</v>
      </c>
      <c r="P220" s="2">
        <v>28.0</v>
      </c>
      <c r="Q220" s="2">
        <v>4.0</v>
      </c>
      <c r="R220" s="2">
        <v>287.0</v>
      </c>
      <c r="S220" s="2">
        <v>4.0</v>
      </c>
      <c r="U220" s="2" t="s">
        <v>65</v>
      </c>
      <c r="W220" s="2" t="s">
        <v>71</v>
      </c>
      <c r="X220" s="2" t="s">
        <v>4827</v>
      </c>
      <c r="Y220" s="2" t="s">
        <v>4828</v>
      </c>
      <c r="Z220" s="2" t="s">
        <v>4829</v>
      </c>
      <c r="AC220" s="2" t="s">
        <v>65</v>
      </c>
      <c r="AD220" s="2" t="s">
        <v>65</v>
      </c>
      <c r="AF220" s="2" t="s">
        <v>65</v>
      </c>
    </row>
    <row r="221" hidden="1">
      <c r="A221" s="2" t="s">
        <v>4831</v>
      </c>
      <c r="B221" s="2" t="s">
        <v>4832</v>
      </c>
      <c r="C221" s="6">
        <v>44624.929502314815</v>
      </c>
      <c r="D221" s="2">
        <v>1.646432309E9</v>
      </c>
      <c r="E221" s="8" t="s">
        <v>4834</v>
      </c>
      <c r="F221" s="2" t="s">
        <v>4840</v>
      </c>
      <c r="G221" s="2" t="s">
        <v>4828</v>
      </c>
      <c r="H221" s="2" t="s">
        <v>4841</v>
      </c>
      <c r="I221" s="2" t="s">
        <v>4842</v>
      </c>
      <c r="J221" s="8" t="s">
        <v>4843</v>
      </c>
      <c r="K221" s="8" t="s">
        <v>4847</v>
      </c>
      <c r="L221" s="2" t="b">
        <v>0</v>
      </c>
      <c r="M221" s="2" t="s">
        <v>67</v>
      </c>
      <c r="N221" s="2" t="s">
        <v>68</v>
      </c>
      <c r="O221" s="2" t="s">
        <v>65</v>
      </c>
      <c r="P221" s="2">
        <v>87.0</v>
      </c>
      <c r="Q221" s="2">
        <v>3.0</v>
      </c>
      <c r="R221" s="2">
        <v>1923.0</v>
      </c>
      <c r="S221" s="2">
        <v>22.0</v>
      </c>
      <c r="U221" s="2" t="s">
        <v>65</v>
      </c>
      <c r="W221" s="2" t="s">
        <v>65</v>
      </c>
      <c r="AC221" s="2" t="s">
        <v>65</v>
      </c>
      <c r="AD221" s="2" t="s">
        <v>71</v>
      </c>
      <c r="AE221" s="2" t="s">
        <v>4828</v>
      </c>
      <c r="AF221" s="2" t="s">
        <v>65</v>
      </c>
      <c r="AI221" s="8" t="s">
        <v>4854</v>
      </c>
    </row>
    <row r="222">
      <c r="A222" s="2" t="s">
        <v>4858</v>
      </c>
      <c r="B222" s="2" t="s">
        <v>4859</v>
      </c>
      <c r="C222" s="6">
        <v>45599.68565972222</v>
      </c>
      <c r="D222" s="2">
        <v>1.730651241E9</v>
      </c>
      <c r="E222" s="8" t="s">
        <v>4862</v>
      </c>
      <c r="F222" s="2" t="s">
        <v>4866</v>
      </c>
      <c r="G222" s="2" t="s">
        <v>477</v>
      </c>
      <c r="H222" s="2" t="s">
        <v>4867</v>
      </c>
      <c r="I222" s="2" t="s">
        <v>4868</v>
      </c>
      <c r="J222" s="8" t="s">
        <v>4869</v>
      </c>
      <c r="K222" s="8" t="s">
        <v>4872</v>
      </c>
      <c r="L222" s="2" t="b">
        <v>1</v>
      </c>
      <c r="M222" s="2" t="s">
        <v>4874</v>
      </c>
      <c r="N222" s="2" t="s">
        <v>64</v>
      </c>
      <c r="O222" s="2" t="s">
        <v>65</v>
      </c>
      <c r="P222" s="2">
        <v>89.0</v>
      </c>
      <c r="Q222" s="2">
        <v>3.0</v>
      </c>
      <c r="R222" s="2">
        <v>763.0</v>
      </c>
      <c r="S222" s="2">
        <v>0.0</v>
      </c>
      <c r="T222" s="2">
        <v>123159.0</v>
      </c>
      <c r="U222" s="2" t="s">
        <v>65</v>
      </c>
      <c r="W222" s="2" t="s">
        <v>65</v>
      </c>
      <c r="AC222" s="2" t="s">
        <v>65</v>
      </c>
      <c r="AD222" s="2" t="s">
        <v>71</v>
      </c>
      <c r="AE222" s="2" t="s">
        <v>477</v>
      </c>
      <c r="AF222" s="2" t="s">
        <v>65</v>
      </c>
      <c r="AI222" s="8" t="s">
        <v>4875</v>
      </c>
      <c r="AJ222" s="8" t="s">
        <v>4876</v>
      </c>
    </row>
    <row r="223">
      <c r="A223" s="2" t="s">
        <v>4877</v>
      </c>
      <c r="B223" s="2" t="s">
        <v>4877</v>
      </c>
      <c r="C223" s="6">
        <v>45937.715787037036</v>
      </c>
      <c r="D223" s="2">
        <v>1.759857044E9</v>
      </c>
      <c r="E223" s="8" t="s">
        <v>4878</v>
      </c>
      <c r="F223" s="2" t="s">
        <v>4879</v>
      </c>
      <c r="G223" s="2" t="s">
        <v>219</v>
      </c>
      <c r="H223" s="2" t="s">
        <v>221</v>
      </c>
      <c r="I223" s="2" t="s">
        <v>222</v>
      </c>
      <c r="J223" s="8" t="s">
        <v>223</v>
      </c>
      <c r="K223" s="8" t="s">
        <v>226</v>
      </c>
      <c r="L223" s="2" t="b">
        <v>0</v>
      </c>
      <c r="M223" s="2" t="s">
        <v>67</v>
      </c>
      <c r="N223" s="2" t="s">
        <v>64</v>
      </c>
      <c r="O223" s="2" t="s">
        <v>65</v>
      </c>
      <c r="P223" s="2">
        <v>1.0</v>
      </c>
      <c r="Q223" s="2">
        <v>1.0</v>
      </c>
      <c r="R223" s="2">
        <v>1.0</v>
      </c>
      <c r="S223" s="2">
        <v>0.0</v>
      </c>
      <c r="T223" s="2">
        <v>10.0</v>
      </c>
      <c r="U223" s="2" t="s">
        <v>65</v>
      </c>
      <c r="W223" s="2" t="s">
        <v>65</v>
      </c>
      <c r="AC223" s="2" t="s">
        <v>65</v>
      </c>
      <c r="AD223" s="2" t="s">
        <v>65</v>
      </c>
      <c r="AF223" s="2" t="s">
        <v>65</v>
      </c>
      <c r="AG223" s="2" t="s">
        <v>4882</v>
      </c>
      <c r="AI223" s="8" t="s">
        <v>4883</v>
      </c>
    </row>
    <row r="224" hidden="1">
      <c r="A224" s="2" t="s">
        <v>4884</v>
      </c>
      <c r="B224" s="2" t="s">
        <v>4884</v>
      </c>
      <c r="C224" s="6">
        <v>43479.05019675926</v>
      </c>
      <c r="D224" s="2">
        <v>1.547428337E9</v>
      </c>
      <c r="E224" s="8" t="s">
        <v>4885</v>
      </c>
      <c r="F224" s="2" t="s">
        <v>4886</v>
      </c>
      <c r="G224" s="2" t="s">
        <v>4887</v>
      </c>
      <c r="H224" s="2" t="s">
        <v>4888</v>
      </c>
      <c r="I224" s="2">
        <v>4.686145476E9</v>
      </c>
      <c r="J224" s="8" t="s">
        <v>4889</v>
      </c>
      <c r="K224" s="8" t="s">
        <v>4893</v>
      </c>
      <c r="L224" s="2" t="b">
        <v>0</v>
      </c>
      <c r="M224" s="2" t="s">
        <v>85</v>
      </c>
      <c r="N224" s="2" t="s">
        <v>68</v>
      </c>
      <c r="O224" s="2" t="s">
        <v>65</v>
      </c>
      <c r="P224" s="2">
        <v>1444.0</v>
      </c>
      <c r="Q224" s="2">
        <v>18.0</v>
      </c>
      <c r="R224" s="2">
        <v>2917.0</v>
      </c>
      <c r="S224" s="2">
        <v>80.0</v>
      </c>
      <c r="U224" s="2" t="s">
        <v>65</v>
      </c>
      <c r="W224" s="2" t="s">
        <v>65</v>
      </c>
      <c r="AC224" s="2" t="s">
        <v>65</v>
      </c>
      <c r="AD224" s="2" t="s">
        <v>65</v>
      </c>
      <c r="AF224" s="2" t="s">
        <v>65</v>
      </c>
      <c r="AI224" s="8" t="s">
        <v>4896</v>
      </c>
      <c r="AJ224" s="8" t="s">
        <v>4901</v>
      </c>
    </row>
    <row r="225" hidden="1">
      <c r="A225" s="2" t="s">
        <v>4903</v>
      </c>
      <c r="B225" s="2" t="s">
        <v>4903</v>
      </c>
      <c r="C225" s="6">
        <v>42666.78009259259</v>
      </c>
      <c r="D225" s="2">
        <v>1.4772482E9</v>
      </c>
      <c r="E225" s="8" t="s">
        <v>4904</v>
      </c>
      <c r="F225" s="2" t="s">
        <v>4905</v>
      </c>
      <c r="G225" s="2" t="s">
        <v>4906</v>
      </c>
      <c r="H225" s="2" t="s">
        <v>4907</v>
      </c>
      <c r="I225" s="2">
        <v>2.613362535E9</v>
      </c>
      <c r="J225" s="8" t="s">
        <v>4908</v>
      </c>
      <c r="K225" s="8" t="s">
        <v>4910</v>
      </c>
      <c r="L225" s="2" t="b">
        <v>0</v>
      </c>
      <c r="M225" s="2" t="s">
        <v>85</v>
      </c>
      <c r="N225" s="2" t="s">
        <v>68</v>
      </c>
      <c r="O225" s="2" t="s">
        <v>65</v>
      </c>
      <c r="P225" s="2">
        <v>8562.0</v>
      </c>
      <c r="Q225" s="2">
        <v>43.0</v>
      </c>
      <c r="R225" s="2">
        <v>7054.0</v>
      </c>
      <c r="S225" s="2">
        <v>734.0</v>
      </c>
      <c r="U225" s="2" t="s">
        <v>65</v>
      </c>
      <c r="W225" s="2" t="s">
        <v>65</v>
      </c>
      <c r="AC225" s="2" t="s">
        <v>65</v>
      </c>
      <c r="AD225" s="2" t="s">
        <v>65</v>
      </c>
      <c r="AF225" s="2" t="s">
        <v>65</v>
      </c>
    </row>
    <row r="226">
      <c r="A226" s="2" t="s">
        <v>2340</v>
      </c>
      <c r="B226" s="2" t="s">
        <v>2341</v>
      </c>
      <c r="C226" s="6">
        <v>45921.45060185185</v>
      </c>
      <c r="D226" s="2">
        <v>1.758451732E9</v>
      </c>
      <c r="E226" s="8" t="s">
        <v>2342</v>
      </c>
      <c r="F226" s="2" t="s">
        <v>2347</v>
      </c>
      <c r="G226" s="2" t="s">
        <v>2348</v>
      </c>
      <c r="H226" s="2" t="s">
        <v>2350</v>
      </c>
      <c r="I226" s="2">
        <v>1.32699884E9</v>
      </c>
      <c r="J226" s="8" t="s">
        <v>2351</v>
      </c>
      <c r="K226" s="8" t="s">
        <v>2358</v>
      </c>
      <c r="L226" s="2" t="b">
        <v>0</v>
      </c>
      <c r="M226" s="2" t="s">
        <v>66</v>
      </c>
      <c r="N226" s="2" t="s">
        <v>64</v>
      </c>
      <c r="O226" s="2" t="s">
        <v>65</v>
      </c>
      <c r="P226" s="2">
        <v>1.0</v>
      </c>
      <c r="Q226" s="2">
        <v>0.0</v>
      </c>
      <c r="R226" s="2">
        <v>1.0</v>
      </c>
      <c r="S226" s="2">
        <v>0.0</v>
      </c>
      <c r="T226" s="2">
        <v>26.0</v>
      </c>
      <c r="U226" s="2" t="s">
        <v>65</v>
      </c>
      <c r="W226" s="2" t="s">
        <v>65</v>
      </c>
      <c r="AC226" s="2" t="s">
        <v>65</v>
      </c>
      <c r="AD226" s="2" t="s">
        <v>71</v>
      </c>
      <c r="AE226" s="2" t="s">
        <v>2348</v>
      </c>
      <c r="AF226" s="2" t="s">
        <v>65</v>
      </c>
      <c r="AH226" s="8" t="s">
        <v>2364</v>
      </c>
      <c r="AI226" s="8" t="s">
        <v>2376</v>
      </c>
      <c r="AK226" s="2" t="s">
        <v>2388</v>
      </c>
    </row>
    <row r="227" hidden="1">
      <c r="A227" s="2" t="s">
        <v>4925</v>
      </c>
      <c r="B227" s="2" t="s">
        <v>4925</v>
      </c>
      <c r="C227" s="6">
        <v>44319.50954861111</v>
      </c>
      <c r="D227" s="2">
        <v>1.620044025E9</v>
      </c>
      <c r="E227" s="8" t="s">
        <v>4927</v>
      </c>
      <c r="F227" s="2" t="s">
        <v>4930</v>
      </c>
      <c r="G227" s="2" t="s">
        <v>2321</v>
      </c>
      <c r="H227" s="2" t="s">
        <v>2438</v>
      </c>
      <c r="I227" s="2" t="s">
        <v>2440</v>
      </c>
      <c r="J227" s="8" t="s">
        <v>2441</v>
      </c>
      <c r="K227" s="8" t="s">
        <v>2444</v>
      </c>
      <c r="L227" s="2" t="b">
        <v>0</v>
      </c>
      <c r="M227" s="2" t="s">
        <v>85</v>
      </c>
      <c r="N227" s="2" t="s">
        <v>68</v>
      </c>
      <c r="O227" s="2" t="s">
        <v>65</v>
      </c>
      <c r="P227" s="2">
        <v>44.0</v>
      </c>
      <c r="Q227" s="2">
        <v>3.0</v>
      </c>
      <c r="R227" s="2">
        <v>210.0</v>
      </c>
      <c r="S227" s="2">
        <v>7.0</v>
      </c>
      <c r="U227" s="2" t="s">
        <v>65</v>
      </c>
      <c r="W227" s="2" t="s">
        <v>65</v>
      </c>
      <c r="AC227" s="2" t="s">
        <v>65</v>
      </c>
      <c r="AD227" s="2" t="s">
        <v>65</v>
      </c>
      <c r="AF227" s="2" t="s">
        <v>65</v>
      </c>
    </row>
    <row r="228">
      <c r="A228" s="2" t="s">
        <v>4932</v>
      </c>
      <c r="B228" s="2" t="s">
        <v>4932</v>
      </c>
      <c r="C228" s="6">
        <v>45724.6812037037</v>
      </c>
      <c r="D228" s="2">
        <v>1.741450856E9</v>
      </c>
      <c r="E228" s="8" t="s">
        <v>4934</v>
      </c>
      <c r="F228" s="2" t="s">
        <v>4937</v>
      </c>
      <c r="G228" s="2" t="s">
        <v>4938</v>
      </c>
      <c r="H228" s="2" t="s">
        <v>4939</v>
      </c>
      <c r="I228" s="2" t="s">
        <v>4940</v>
      </c>
      <c r="J228" s="8" t="s">
        <v>4941</v>
      </c>
      <c r="K228" s="8" t="s">
        <v>4943</v>
      </c>
      <c r="L228" s="2" t="b">
        <v>1</v>
      </c>
      <c r="M228" s="2" t="s">
        <v>67</v>
      </c>
      <c r="N228" s="2" t="s">
        <v>64</v>
      </c>
      <c r="O228" s="2" t="s">
        <v>65</v>
      </c>
      <c r="P228" s="2">
        <v>129.0</v>
      </c>
      <c r="Q228" s="2">
        <v>38.0</v>
      </c>
      <c r="R228" s="2">
        <v>1296.0</v>
      </c>
      <c r="S228" s="2">
        <v>23.0</v>
      </c>
      <c r="T228" s="2">
        <v>48957.0</v>
      </c>
      <c r="U228" s="2" t="s">
        <v>65</v>
      </c>
      <c r="W228" s="2" t="s">
        <v>65</v>
      </c>
      <c r="AC228" s="2" t="s">
        <v>65</v>
      </c>
      <c r="AD228" s="2" t="s">
        <v>65</v>
      </c>
      <c r="AF228" s="2" t="s">
        <v>65</v>
      </c>
      <c r="AG228" s="2" t="s">
        <v>4946</v>
      </c>
      <c r="AI228" s="8" t="s">
        <v>4947</v>
      </c>
      <c r="AJ228" s="8" t="s">
        <v>4949</v>
      </c>
    </row>
    <row r="229">
      <c r="A229" s="2" t="s">
        <v>1083</v>
      </c>
      <c r="B229" s="2" t="s">
        <v>1083</v>
      </c>
      <c r="C229" s="6">
        <v>45959.805555555555</v>
      </c>
      <c r="D229" s="2">
        <v>1.7617656E9</v>
      </c>
      <c r="E229" s="8" t="s">
        <v>1084</v>
      </c>
      <c r="F229" s="2" t="s">
        <v>1087</v>
      </c>
      <c r="G229" s="2" t="s">
        <v>1088</v>
      </c>
      <c r="H229" s="2" t="s">
        <v>1090</v>
      </c>
      <c r="I229" s="2">
        <v>8.2608449E7</v>
      </c>
      <c r="J229" s="8" t="s">
        <v>1092</v>
      </c>
      <c r="K229" s="8" t="s">
        <v>1094</v>
      </c>
      <c r="L229" s="2" t="b">
        <v>0</v>
      </c>
      <c r="M229" s="2" t="s">
        <v>66</v>
      </c>
      <c r="N229" s="2" t="s">
        <v>64</v>
      </c>
      <c r="O229" s="2" t="s">
        <v>65</v>
      </c>
      <c r="P229" s="2">
        <v>1.0</v>
      </c>
      <c r="Q229" s="2">
        <v>0.0</v>
      </c>
      <c r="R229" s="2">
        <v>0.0</v>
      </c>
      <c r="S229" s="2">
        <v>0.0</v>
      </c>
      <c r="T229" s="2">
        <v>170.0</v>
      </c>
      <c r="U229" s="2" t="s">
        <v>65</v>
      </c>
      <c r="W229" s="2" t="s">
        <v>65</v>
      </c>
      <c r="AC229" s="2" t="s">
        <v>65</v>
      </c>
      <c r="AD229" s="2" t="s">
        <v>65</v>
      </c>
      <c r="AF229" s="2" t="s">
        <v>65</v>
      </c>
      <c r="AG229" s="2" t="s">
        <v>1096</v>
      </c>
      <c r="AH229" s="8" t="s">
        <v>1097</v>
      </c>
      <c r="AI229" s="8" t="s">
        <v>1102</v>
      </c>
    </row>
    <row r="230" hidden="1">
      <c r="A230" s="2" t="s">
        <v>4970</v>
      </c>
      <c r="B230" s="2" t="s">
        <v>4970</v>
      </c>
      <c r="C230" s="6">
        <v>44517.76189814815</v>
      </c>
      <c r="D230" s="2">
        <v>1.637173028E9</v>
      </c>
      <c r="E230" s="8" t="s">
        <v>4971</v>
      </c>
      <c r="F230" s="2" t="s">
        <v>4975</v>
      </c>
      <c r="G230" s="2" t="s">
        <v>2321</v>
      </c>
      <c r="H230" s="2" t="s">
        <v>2438</v>
      </c>
      <c r="I230" s="2" t="s">
        <v>2440</v>
      </c>
      <c r="J230" s="8" t="s">
        <v>2441</v>
      </c>
      <c r="K230" s="8" t="s">
        <v>2444</v>
      </c>
      <c r="L230" s="2" t="b">
        <v>0</v>
      </c>
      <c r="M230" s="2" t="s">
        <v>85</v>
      </c>
      <c r="N230" s="2" t="s">
        <v>68</v>
      </c>
      <c r="O230" s="2" t="s">
        <v>65</v>
      </c>
      <c r="P230" s="2">
        <v>51.0</v>
      </c>
      <c r="Q230" s="2">
        <v>14.0</v>
      </c>
      <c r="R230" s="2">
        <v>357.0</v>
      </c>
      <c r="S230" s="2">
        <v>11.0</v>
      </c>
      <c r="U230" s="2" t="s">
        <v>65</v>
      </c>
      <c r="W230" s="2" t="s">
        <v>65</v>
      </c>
      <c r="AC230" s="2" t="s">
        <v>65</v>
      </c>
      <c r="AD230" s="2" t="s">
        <v>65</v>
      </c>
      <c r="AF230" s="2" t="s">
        <v>65</v>
      </c>
    </row>
    <row r="231">
      <c r="A231" s="2" t="s">
        <v>1565</v>
      </c>
      <c r="B231" s="2" t="s">
        <v>1565</v>
      </c>
      <c r="C231" s="6">
        <v>45944.19679398148</v>
      </c>
      <c r="D231" s="2">
        <v>1.760417003E9</v>
      </c>
      <c r="E231" s="8" t="s">
        <v>1567</v>
      </c>
      <c r="F231" s="2" t="s">
        <v>1569</v>
      </c>
      <c r="G231" s="2" t="s">
        <v>1570</v>
      </c>
      <c r="H231" s="2" t="s">
        <v>1571</v>
      </c>
      <c r="I231" s="2">
        <v>1.4121418E8</v>
      </c>
      <c r="J231" s="8" t="s">
        <v>1572</v>
      </c>
      <c r="K231" s="8" t="s">
        <v>1577</v>
      </c>
      <c r="L231" s="2" t="b">
        <v>0</v>
      </c>
      <c r="M231" s="2" t="s">
        <v>66</v>
      </c>
      <c r="N231" s="2" t="s">
        <v>64</v>
      </c>
      <c r="O231" s="2" t="s">
        <v>65</v>
      </c>
      <c r="P231" s="2">
        <v>0.0</v>
      </c>
      <c r="Q231" s="2">
        <v>0.0</v>
      </c>
      <c r="R231" s="2">
        <v>0.0</v>
      </c>
      <c r="S231" s="2">
        <v>0.0</v>
      </c>
      <c r="T231" s="2">
        <v>7.0</v>
      </c>
      <c r="U231" s="2" t="s">
        <v>65</v>
      </c>
      <c r="W231" s="2" t="s">
        <v>65</v>
      </c>
      <c r="AC231" s="2" t="s">
        <v>65</v>
      </c>
      <c r="AD231" s="2" t="s">
        <v>65</v>
      </c>
      <c r="AF231" s="2" t="s">
        <v>65</v>
      </c>
      <c r="AG231" s="2" t="s">
        <v>1582</v>
      </c>
      <c r="AH231" s="8" t="s">
        <v>1583</v>
      </c>
    </row>
    <row r="232">
      <c r="A232" s="2" t="s">
        <v>2307</v>
      </c>
      <c r="B232" s="2" t="s">
        <v>2307</v>
      </c>
      <c r="C232" s="6">
        <v>45922.73684027778</v>
      </c>
      <c r="D232" s="2">
        <v>1.758562863E9</v>
      </c>
      <c r="E232" s="8" t="s">
        <v>2308</v>
      </c>
      <c r="F232" s="2" t="s">
        <v>2312</v>
      </c>
      <c r="G232" s="2" t="s">
        <v>2313</v>
      </c>
      <c r="H232" s="2" t="s">
        <v>2314</v>
      </c>
      <c r="I232" s="2" t="s">
        <v>2315</v>
      </c>
      <c r="J232" s="8" t="s">
        <v>2316</v>
      </c>
      <c r="L232" s="2" t="b">
        <v>0</v>
      </c>
      <c r="M232" s="2" t="s">
        <v>66</v>
      </c>
      <c r="N232" s="2" t="s">
        <v>64</v>
      </c>
      <c r="O232" s="2" t="s">
        <v>65</v>
      </c>
      <c r="P232" s="2">
        <v>0.0</v>
      </c>
      <c r="Q232" s="2">
        <v>0.0</v>
      </c>
      <c r="R232" s="2">
        <v>0.0</v>
      </c>
      <c r="S232" s="2">
        <v>0.0</v>
      </c>
      <c r="T232" s="2">
        <v>16.0</v>
      </c>
      <c r="U232" s="2" t="s">
        <v>65</v>
      </c>
      <c r="W232" s="2" t="s">
        <v>65</v>
      </c>
      <c r="AC232" s="2" t="s">
        <v>65</v>
      </c>
      <c r="AD232" s="2" t="s">
        <v>65</v>
      </c>
      <c r="AF232" s="2" t="s">
        <v>65</v>
      </c>
      <c r="AH232" s="8" t="s">
        <v>2328</v>
      </c>
      <c r="AI232" s="8" t="s">
        <v>2337</v>
      </c>
    </row>
    <row r="233">
      <c r="A233" s="2" t="s">
        <v>5016</v>
      </c>
      <c r="B233" s="2" t="s">
        <v>5016</v>
      </c>
      <c r="C233" s="6">
        <v>44004.14160879629</v>
      </c>
      <c r="D233" s="2">
        <v>1.592796235E9</v>
      </c>
      <c r="E233" s="8" t="s">
        <v>5018</v>
      </c>
      <c r="F233" s="2" t="s">
        <v>5023</v>
      </c>
      <c r="G233" s="2" t="s">
        <v>5024</v>
      </c>
      <c r="H233" s="2" t="s">
        <v>5025</v>
      </c>
      <c r="I233" s="2" t="s">
        <v>5026</v>
      </c>
      <c r="J233" s="8" t="s">
        <v>5027</v>
      </c>
      <c r="K233" s="8" t="s">
        <v>5033</v>
      </c>
      <c r="L233" s="2" t="b">
        <v>1</v>
      </c>
      <c r="M233" s="2" t="s">
        <v>85</v>
      </c>
      <c r="N233" s="2" t="s">
        <v>64</v>
      </c>
      <c r="O233" s="2" t="s">
        <v>65</v>
      </c>
      <c r="P233" s="2">
        <v>890.0</v>
      </c>
      <c r="Q233" s="2">
        <v>87.0</v>
      </c>
      <c r="R233" s="2">
        <v>4489.0</v>
      </c>
      <c r="S233" s="2">
        <v>127.0</v>
      </c>
      <c r="U233" s="2" t="s">
        <v>65</v>
      </c>
      <c r="W233" s="2" t="s">
        <v>65</v>
      </c>
      <c r="AC233" s="2" t="s">
        <v>65</v>
      </c>
      <c r="AD233" s="2" t="s">
        <v>65</v>
      </c>
      <c r="AF233" s="2" t="s">
        <v>65</v>
      </c>
    </row>
    <row r="234" hidden="1">
      <c r="A234" s="2" t="s">
        <v>5037</v>
      </c>
      <c r="B234" s="2" t="s">
        <v>5037</v>
      </c>
      <c r="C234" s="6">
        <v>44396.075833333336</v>
      </c>
      <c r="D234" s="2">
        <v>1.626659352E9</v>
      </c>
      <c r="E234" s="8" t="s">
        <v>5038</v>
      </c>
      <c r="F234" s="2" t="s">
        <v>5041</v>
      </c>
      <c r="G234" s="2" t="s">
        <v>5042</v>
      </c>
      <c r="H234" s="2" t="s">
        <v>5043</v>
      </c>
      <c r="I234" s="2" t="s">
        <v>5044</v>
      </c>
      <c r="J234" s="8" t="s">
        <v>5045</v>
      </c>
      <c r="K234" s="8" t="s">
        <v>5048</v>
      </c>
      <c r="L234" s="2" t="b">
        <v>0</v>
      </c>
      <c r="M234" s="2" t="s">
        <v>66</v>
      </c>
      <c r="N234" s="2" t="s">
        <v>68</v>
      </c>
      <c r="O234" s="2" t="s">
        <v>65</v>
      </c>
      <c r="P234" s="2">
        <v>29.0</v>
      </c>
      <c r="Q234" s="2">
        <v>1.0</v>
      </c>
      <c r="R234" s="2">
        <v>215.0</v>
      </c>
      <c r="S234" s="2">
        <v>7.0</v>
      </c>
      <c r="U234" s="2" t="s">
        <v>65</v>
      </c>
      <c r="W234" s="2" t="s">
        <v>65</v>
      </c>
      <c r="AC234" s="2" t="s">
        <v>65</v>
      </c>
      <c r="AD234" s="2" t="s">
        <v>65</v>
      </c>
      <c r="AF234" s="2" t="s">
        <v>65</v>
      </c>
    </row>
    <row r="235" hidden="1">
      <c r="A235" s="2" t="s">
        <v>5049</v>
      </c>
      <c r="B235" s="2" t="s">
        <v>5049</v>
      </c>
      <c r="C235" s="6">
        <v>44547.95943287037</v>
      </c>
      <c r="D235" s="2">
        <v>1.639782095E9</v>
      </c>
      <c r="E235" s="8" t="s">
        <v>5051</v>
      </c>
      <c r="F235" s="2" t="s">
        <v>5053</v>
      </c>
      <c r="G235" s="2" t="s">
        <v>2321</v>
      </c>
      <c r="H235" s="2" t="s">
        <v>2438</v>
      </c>
      <c r="I235" s="2" t="s">
        <v>2440</v>
      </c>
      <c r="J235" s="8" t="s">
        <v>2441</v>
      </c>
      <c r="K235" s="8" t="s">
        <v>2444</v>
      </c>
      <c r="L235" s="2" t="b">
        <v>0</v>
      </c>
      <c r="M235" s="2" t="s">
        <v>85</v>
      </c>
      <c r="N235" s="2" t="s">
        <v>68</v>
      </c>
      <c r="O235" s="2" t="s">
        <v>65</v>
      </c>
      <c r="P235" s="2">
        <v>34.0</v>
      </c>
      <c r="Q235" s="2">
        <v>5.0</v>
      </c>
      <c r="R235" s="2">
        <v>235.0</v>
      </c>
      <c r="S235" s="2">
        <v>0.0</v>
      </c>
      <c r="U235" s="2" t="s">
        <v>65</v>
      </c>
      <c r="W235" s="2" t="s">
        <v>65</v>
      </c>
      <c r="AC235" s="2" t="s">
        <v>65</v>
      </c>
      <c r="AD235" s="2" t="s">
        <v>65</v>
      </c>
      <c r="AF235" s="2" t="s">
        <v>65</v>
      </c>
    </row>
    <row r="236" hidden="1">
      <c r="A236" s="2" t="s">
        <v>5054</v>
      </c>
      <c r="B236" s="2" t="s">
        <v>5054</v>
      </c>
      <c r="C236" s="6">
        <v>44491.564733796295</v>
      </c>
      <c r="D236" s="2">
        <v>1.634909593E9</v>
      </c>
      <c r="E236" s="8" t="s">
        <v>5055</v>
      </c>
      <c r="F236" s="2" t="s">
        <v>5058</v>
      </c>
      <c r="G236" s="2" t="s">
        <v>2321</v>
      </c>
      <c r="H236" s="2" t="s">
        <v>2438</v>
      </c>
      <c r="I236" s="2" t="s">
        <v>2440</v>
      </c>
      <c r="J236" s="8" t="s">
        <v>2441</v>
      </c>
      <c r="K236" s="8" t="s">
        <v>2444</v>
      </c>
      <c r="L236" s="2" t="b">
        <v>0</v>
      </c>
      <c r="M236" s="2" t="s">
        <v>85</v>
      </c>
      <c r="N236" s="2" t="s">
        <v>68</v>
      </c>
      <c r="O236" s="2" t="s">
        <v>65</v>
      </c>
      <c r="P236" s="2">
        <v>141.0</v>
      </c>
      <c r="Q236" s="2">
        <v>38.0</v>
      </c>
      <c r="R236" s="2">
        <v>1011.0</v>
      </c>
      <c r="S236" s="2">
        <v>85.0</v>
      </c>
      <c r="U236" s="2" t="s">
        <v>65</v>
      </c>
      <c r="W236" s="2" t="s">
        <v>65</v>
      </c>
      <c r="AC236" s="2" t="s">
        <v>65</v>
      </c>
      <c r="AD236" s="2" t="s">
        <v>65</v>
      </c>
      <c r="AF236" s="2" t="s">
        <v>65</v>
      </c>
    </row>
    <row r="237">
      <c r="A237" s="2" t="s">
        <v>2150</v>
      </c>
      <c r="B237" s="2" t="s">
        <v>2150</v>
      </c>
      <c r="C237" s="6">
        <v>45923.66364583333</v>
      </c>
      <c r="D237" s="2">
        <v>1.758642939E9</v>
      </c>
      <c r="E237" s="8" t="s">
        <v>2151</v>
      </c>
      <c r="F237" s="2" t="s">
        <v>2156</v>
      </c>
      <c r="G237" s="2" t="s">
        <v>2157</v>
      </c>
      <c r="H237" s="2" t="s">
        <v>2158</v>
      </c>
      <c r="I237" s="2" t="s">
        <v>2159</v>
      </c>
      <c r="J237" s="8" t="s">
        <v>2160</v>
      </c>
      <c r="K237" s="8" t="s">
        <v>2172</v>
      </c>
      <c r="L237" s="2" t="b">
        <v>0</v>
      </c>
      <c r="M237" s="2" t="s">
        <v>2076</v>
      </c>
      <c r="N237" s="2" t="s">
        <v>64</v>
      </c>
      <c r="O237" s="2" t="s">
        <v>65</v>
      </c>
      <c r="P237" s="2">
        <v>0.0</v>
      </c>
      <c r="Q237" s="2">
        <v>0.0</v>
      </c>
      <c r="R237" s="2">
        <v>1.0</v>
      </c>
      <c r="S237" s="2">
        <v>0.0</v>
      </c>
      <c r="T237" s="2">
        <v>48.0</v>
      </c>
      <c r="U237" s="2" t="s">
        <v>65</v>
      </c>
      <c r="W237" s="2" t="s">
        <v>65</v>
      </c>
      <c r="AC237" s="2" t="s">
        <v>65</v>
      </c>
      <c r="AD237" s="2" t="s">
        <v>65</v>
      </c>
      <c r="AF237" s="2" t="s">
        <v>65</v>
      </c>
      <c r="AH237" s="8" t="s">
        <v>2186</v>
      </c>
    </row>
    <row r="238" hidden="1">
      <c r="A238" s="2" t="s">
        <v>5068</v>
      </c>
      <c r="B238" s="2" t="s">
        <v>5068</v>
      </c>
      <c r="C238" s="6">
        <v>44667.012766203705</v>
      </c>
      <c r="D238" s="2">
        <v>1.650068303E9</v>
      </c>
      <c r="E238" s="8" t="s">
        <v>5069</v>
      </c>
      <c r="F238" s="2" t="s">
        <v>5073</v>
      </c>
      <c r="G238" s="2" t="s">
        <v>2321</v>
      </c>
      <c r="H238" s="2" t="s">
        <v>2438</v>
      </c>
      <c r="I238" s="2" t="s">
        <v>2440</v>
      </c>
      <c r="J238" s="8" t="s">
        <v>2441</v>
      </c>
      <c r="K238" s="8" t="s">
        <v>2444</v>
      </c>
      <c r="L238" s="2" t="b">
        <v>0</v>
      </c>
      <c r="M238" s="2" t="s">
        <v>85</v>
      </c>
      <c r="N238" s="2" t="s">
        <v>68</v>
      </c>
      <c r="O238" s="2" t="s">
        <v>65</v>
      </c>
      <c r="P238" s="2">
        <v>59.0</v>
      </c>
      <c r="Q238" s="2">
        <v>9.0</v>
      </c>
      <c r="R238" s="2">
        <v>441.0</v>
      </c>
      <c r="S238" s="2">
        <v>26.0</v>
      </c>
      <c r="U238" s="2" t="s">
        <v>65</v>
      </c>
      <c r="W238" s="2" t="s">
        <v>71</v>
      </c>
      <c r="X238" s="2" t="s">
        <v>5077</v>
      </c>
      <c r="Y238" s="2" t="s">
        <v>5078</v>
      </c>
      <c r="Z238" s="2" t="s">
        <v>5079</v>
      </c>
      <c r="AC238" s="2" t="s">
        <v>65</v>
      </c>
      <c r="AD238" s="2" t="s">
        <v>65</v>
      </c>
      <c r="AF238" s="2" t="s">
        <v>65</v>
      </c>
    </row>
    <row r="239" hidden="1">
      <c r="A239" s="2" t="s">
        <v>5080</v>
      </c>
      <c r="B239" s="2" t="s">
        <v>5080</v>
      </c>
      <c r="C239" s="6">
        <v>44775.75996527778</v>
      </c>
      <c r="D239" s="2">
        <v>1.659464061E9</v>
      </c>
      <c r="E239" s="8" t="s">
        <v>5081</v>
      </c>
      <c r="F239" s="2" t="s">
        <v>5083</v>
      </c>
      <c r="G239" s="2" t="s">
        <v>2321</v>
      </c>
      <c r="H239" s="2" t="s">
        <v>2438</v>
      </c>
      <c r="I239" s="2" t="s">
        <v>2440</v>
      </c>
      <c r="J239" s="8" t="s">
        <v>2441</v>
      </c>
      <c r="K239" s="8" t="s">
        <v>2444</v>
      </c>
      <c r="L239" s="2" t="b">
        <v>0</v>
      </c>
      <c r="M239" s="2" t="s">
        <v>85</v>
      </c>
      <c r="N239" s="2" t="s">
        <v>68</v>
      </c>
      <c r="O239" s="2" t="s">
        <v>65</v>
      </c>
      <c r="P239" s="2">
        <v>93.0</v>
      </c>
      <c r="Q239" s="2">
        <v>4.0</v>
      </c>
      <c r="R239" s="2">
        <v>307.0</v>
      </c>
      <c r="S239" s="2">
        <v>7.0</v>
      </c>
      <c r="U239" s="2" t="s">
        <v>65</v>
      </c>
      <c r="W239" s="2" t="s">
        <v>65</v>
      </c>
      <c r="AC239" s="2" t="s">
        <v>65</v>
      </c>
      <c r="AD239" s="2" t="s">
        <v>65</v>
      </c>
      <c r="AF239" s="2" t="s">
        <v>65</v>
      </c>
      <c r="AI239" s="8" t="s">
        <v>5089</v>
      </c>
    </row>
    <row r="240">
      <c r="A240" s="2" t="s">
        <v>5092</v>
      </c>
      <c r="B240" s="2" t="s">
        <v>5092</v>
      </c>
      <c r="C240" s="6">
        <v>45333.825150462966</v>
      </c>
      <c r="D240" s="2">
        <v>1.707680893E9</v>
      </c>
      <c r="E240" s="8" t="s">
        <v>5094</v>
      </c>
      <c r="F240" s="2" t="s">
        <v>5095</v>
      </c>
      <c r="G240" s="2" t="s">
        <v>5097</v>
      </c>
      <c r="H240" s="2" t="s">
        <v>5098</v>
      </c>
      <c r="I240" s="2">
        <v>2.2950807E8</v>
      </c>
      <c r="J240" s="8" t="s">
        <v>5099</v>
      </c>
      <c r="K240" s="8" t="s">
        <v>5101</v>
      </c>
      <c r="L240" s="2" t="b">
        <v>0</v>
      </c>
      <c r="M240" s="2" t="s">
        <v>85</v>
      </c>
      <c r="N240" s="2" t="s">
        <v>64</v>
      </c>
      <c r="O240" s="2" t="s">
        <v>65</v>
      </c>
      <c r="P240" s="2">
        <v>333.0</v>
      </c>
      <c r="Q240" s="2">
        <v>26.0</v>
      </c>
      <c r="R240" s="2">
        <v>1477.0</v>
      </c>
      <c r="S240" s="2">
        <v>42.0</v>
      </c>
      <c r="T240" s="2">
        <v>78470.0</v>
      </c>
      <c r="U240" s="2" t="s">
        <v>65</v>
      </c>
      <c r="W240" s="2" t="s">
        <v>65</v>
      </c>
      <c r="AC240" s="2" t="s">
        <v>65</v>
      </c>
      <c r="AD240" s="2" t="s">
        <v>65</v>
      </c>
      <c r="AF240" s="2" t="s">
        <v>65</v>
      </c>
    </row>
    <row r="241" hidden="1">
      <c r="A241" s="2" t="s">
        <v>5106</v>
      </c>
      <c r="B241" s="2" t="s">
        <v>5107</v>
      </c>
      <c r="C241" s="6">
        <v>45496.59479166667</v>
      </c>
      <c r="D241" s="2">
        <v>1.72174419E9</v>
      </c>
      <c r="E241" s="8" t="s">
        <v>5109</v>
      </c>
      <c r="F241" s="2" t="s">
        <v>5110</v>
      </c>
      <c r="G241" s="2" t="s">
        <v>5111</v>
      </c>
      <c r="H241" s="2" t="s">
        <v>5112</v>
      </c>
      <c r="I241" s="2">
        <v>2.193494682E9</v>
      </c>
      <c r="J241" s="8" t="s">
        <v>5113</v>
      </c>
      <c r="K241" s="8" t="s">
        <v>5115</v>
      </c>
      <c r="L241" s="2" t="b">
        <v>0</v>
      </c>
      <c r="M241" s="2" t="s">
        <v>67</v>
      </c>
      <c r="N241" s="2" t="s">
        <v>68</v>
      </c>
      <c r="O241" s="2" t="s">
        <v>65</v>
      </c>
      <c r="P241" s="2">
        <v>20.0</v>
      </c>
      <c r="Q241" s="2">
        <v>10.0</v>
      </c>
      <c r="R241" s="2">
        <v>1504.0</v>
      </c>
      <c r="S241" s="2">
        <v>0.0</v>
      </c>
      <c r="T241" s="2">
        <v>26469.0</v>
      </c>
      <c r="U241" s="2" t="s">
        <v>65</v>
      </c>
      <c r="W241" s="2" t="s">
        <v>65</v>
      </c>
      <c r="AC241" s="2" t="s">
        <v>65</v>
      </c>
      <c r="AD241" s="2" t="s">
        <v>71</v>
      </c>
      <c r="AE241" s="2" t="s">
        <v>5123</v>
      </c>
      <c r="AF241" s="2" t="s">
        <v>65</v>
      </c>
      <c r="AK241" s="2" t="s">
        <v>5123</v>
      </c>
    </row>
    <row r="242" hidden="1">
      <c r="A242" s="2" t="s">
        <v>5124</v>
      </c>
      <c r="B242" s="2" t="s">
        <v>5124</v>
      </c>
      <c r="C242" s="6">
        <v>44818.967777777776</v>
      </c>
      <c r="D242" s="2">
        <v>1.663197216E9</v>
      </c>
      <c r="E242" s="8" t="s">
        <v>5125</v>
      </c>
      <c r="F242" s="2" t="s">
        <v>5126</v>
      </c>
      <c r="G242" s="2" t="s">
        <v>5127</v>
      </c>
      <c r="H242" s="2" t="s">
        <v>5128</v>
      </c>
      <c r="I242" s="2" t="s">
        <v>5129</v>
      </c>
      <c r="J242" s="8" t="s">
        <v>5130</v>
      </c>
      <c r="K242" s="8" t="s">
        <v>5133</v>
      </c>
      <c r="L242" s="2" t="b">
        <v>0</v>
      </c>
      <c r="M242" s="2" t="s">
        <v>66</v>
      </c>
      <c r="N242" s="2" t="s">
        <v>68</v>
      </c>
      <c r="O242" s="2" t="s">
        <v>65</v>
      </c>
      <c r="P242" s="2">
        <v>146.0</v>
      </c>
      <c r="Q242" s="2">
        <v>9.0</v>
      </c>
      <c r="R242" s="2">
        <v>712.0</v>
      </c>
      <c r="S242" s="2">
        <v>28.0</v>
      </c>
      <c r="U242" s="2" t="s">
        <v>65</v>
      </c>
      <c r="W242" s="2" t="s">
        <v>65</v>
      </c>
      <c r="AC242" s="2" t="s">
        <v>65</v>
      </c>
      <c r="AD242" s="2" t="s">
        <v>65</v>
      </c>
      <c r="AF242" s="2" t="s">
        <v>65</v>
      </c>
    </row>
    <row r="243" hidden="1">
      <c r="A243" s="2" t="s">
        <v>5138</v>
      </c>
      <c r="B243" s="2" t="s">
        <v>5139</v>
      </c>
      <c r="C243" s="6">
        <v>44459.06280092592</v>
      </c>
      <c r="D243" s="2">
        <v>1.632101426E9</v>
      </c>
      <c r="E243" s="8" t="s">
        <v>5140</v>
      </c>
      <c r="F243" s="2" t="s">
        <v>5141</v>
      </c>
      <c r="G243" s="2" t="s">
        <v>5143</v>
      </c>
      <c r="H243" s="2" t="s">
        <v>5144</v>
      </c>
      <c r="I243" s="2">
        <v>8.4368406E7</v>
      </c>
      <c r="J243" s="8" t="s">
        <v>5145</v>
      </c>
      <c r="K243" s="8" t="s">
        <v>5146</v>
      </c>
      <c r="L243" s="2" t="b">
        <v>0</v>
      </c>
      <c r="M243" s="2" t="s">
        <v>66</v>
      </c>
      <c r="N243" s="2" t="s">
        <v>68</v>
      </c>
      <c r="O243" s="2" t="s">
        <v>65</v>
      </c>
      <c r="P243" s="2">
        <v>26.0</v>
      </c>
      <c r="Q243" s="2">
        <v>2.0</v>
      </c>
      <c r="R243" s="2">
        <v>346.0</v>
      </c>
      <c r="S243" s="2">
        <v>5.0</v>
      </c>
      <c r="U243" s="2" t="s">
        <v>65</v>
      </c>
      <c r="W243" s="2" t="s">
        <v>65</v>
      </c>
      <c r="AC243" s="2" t="s">
        <v>65</v>
      </c>
      <c r="AD243" s="2" t="s">
        <v>71</v>
      </c>
      <c r="AE243" s="2" t="s">
        <v>5143</v>
      </c>
      <c r="AF243" s="2" t="s">
        <v>65</v>
      </c>
    </row>
    <row r="244" hidden="1">
      <c r="A244" s="2" t="s">
        <v>5151</v>
      </c>
      <c r="B244" s="2" t="s">
        <v>5151</v>
      </c>
      <c r="C244" s="6">
        <v>44595.500613425924</v>
      </c>
      <c r="D244" s="2">
        <v>1.643889653E9</v>
      </c>
      <c r="E244" s="8" t="s">
        <v>5152</v>
      </c>
      <c r="F244" s="2" t="s">
        <v>5157</v>
      </c>
      <c r="G244" s="2" t="s">
        <v>5158</v>
      </c>
      <c r="H244" s="2" t="s">
        <v>5159</v>
      </c>
      <c r="I244" s="2">
        <v>1.54753595E8</v>
      </c>
      <c r="J244" s="8" t="s">
        <v>5160</v>
      </c>
      <c r="K244" s="8" t="s">
        <v>5163</v>
      </c>
      <c r="L244" s="2" t="b">
        <v>0</v>
      </c>
      <c r="M244" s="2" t="s">
        <v>66</v>
      </c>
      <c r="N244" s="2" t="s">
        <v>68</v>
      </c>
      <c r="O244" s="2" t="s">
        <v>65</v>
      </c>
      <c r="P244" s="2">
        <v>96.0</v>
      </c>
      <c r="Q244" s="2">
        <v>14.0</v>
      </c>
      <c r="R244" s="2">
        <v>743.0</v>
      </c>
      <c r="S244" s="2">
        <v>26.0</v>
      </c>
      <c r="U244" s="2" t="s">
        <v>65</v>
      </c>
      <c r="W244" s="2" t="s">
        <v>71</v>
      </c>
      <c r="X244" s="2" t="s">
        <v>5169</v>
      </c>
      <c r="Y244" s="2" t="s">
        <v>5170</v>
      </c>
      <c r="Z244" s="2" t="s">
        <v>5171</v>
      </c>
      <c r="AC244" s="2" t="s">
        <v>65</v>
      </c>
      <c r="AD244" s="2" t="s">
        <v>65</v>
      </c>
      <c r="AF244" s="2" t="s">
        <v>65</v>
      </c>
    </row>
    <row r="245" hidden="1">
      <c r="A245" s="2" t="s">
        <v>5172</v>
      </c>
      <c r="B245" s="2" t="s">
        <v>5172</v>
      </c>
      <c r="C245" s="6">
        <v>45971.974178240744</v>
      </c>
      <c r="D245" s="2">
        <v>1.762816969E9</v>
      </c>
      <c r="E245" s="8" t="s">
        <v>5173</v>
      </c>
      <c r="F245" s="2" t="s">
        <v>5175</v>
      </c>
      <c r="G245" s="2" t="s">
        <v>5176</v>
      </c>
      <c r="H245" s="2" t="s">
        <v>5177</v>
      </c>
      <c r="I245" s="2" t="s">
        <v>5178</v>
      </c>
      <c r="J245" s="8" t="s">
        <v>5179</v>
      </c>
      <c r="K245" s="8" t="s">
        <v>5181</v>
      </c>
      <c r="L245" s="2" t="b">
        <v>0</v>
      </c>
      <c r="M245" s="2" t="s">
        <v>85</v>
      </c>
      <c r="N245" s="2" t="s">
        <v>68</v>
      </c>
      <c r="O245" s="2" t="s">
        <v>65</v>
      </c>
      <c r="P245" s="2">
        <v>0.0</v>
      </c>
      <c r="Q245" s="2">
        <v>0.0</v>
      </c>
      <c r="R245" s="2">
        <v>0.0</v>
      </c>
      <c r="S245" s="2">
        <v>0.0</v>
      </c>
      <c r="T245" s="2">
        <v>63.0</v>
      </c>
      <c r="U245" s="2" t="s">
        <v>65</v>
      </c>
      <c r="W245" s="2" t="s">
        <v>71</v>
      </c>
      <c r="X245" s="2" t="s">
        <v>5185</v>
      </c>
      <c r="Y245" s="2" t="s">
        <v>5186</v>
      </c>
      <c r="Z245" s="2" t="s">
        <v>5187</v>
      </c>
      <c r="AB245" s="8" t="s">
        <v>5189</v>
      </c>
      <c r="AC245" s="2" t="s">
        <v>65</v>
      </c>
      <c r="AD245" s="2" t="s">
        <v>65</v>
      </c>
      <c r="AF245" s="2" t="s">
        <v>65</v>
      </c>
    </row>
    <row r="246" hidden="1">
      <c r="A246" s="2" t="s">
        <v>5198</v>
      </c>
      <c r="B246" s="2" t="s">
        <v>5199</v>
      </c>
      <c r="C246" s="6">
        <v>44785.15530092592</v>
      </c>
      <c r="D246" s="2">
        <v>1.660275818E9</v>
      </c>
      <c r="E246" s="8" t="s">
        <v>5200</v>
      </c>
      <c r="F246" s="2" t="s">
        <v>5203</v>
      </c>
      <c r="G246" s="2" t="s">
        <v>2321</v>
      </c>
      <c r="H246" s="2" t="s">
        <v>2438</v>
      </c>
      <c r="I246" s="2" t="s">
        <v>2440</v>
      </c>
      <c r="J246" s="8" t="s">
        <v>2441</v>
      </c>
      <c r="K246" s="8" t="s">
        <v>2444</v>
      </c>
      <c r="L246" s="2" t="b">
        <v>0</v>
      </c>
      <c r="M246" s="2" t="s">
        <v>85</v>
      </c>
      <c r="N246" s="2" t="s">
        <v>68</v>
      </c>
      <c r="O246" s="2" t="s">
        <v>65</v>
      </c>
      <c r="P246" s="2">
        <v>25.0</v>
      </c>
      <c r="Q246" s="2">
        <v>5.0</v>
      </c>
      <c r="R246" s="2">
        <v>369.0</v>
      </c>
      <c r="S246" s="2">
        <v>6.0</v>
      </c>
      <c r="U246" s="2" t="s">
        <v>65</v>
      </c>
      <c r="W246" s="2" t="s">
        <v>65</v>
      </c>
      <c r="AC246" s="2" t="s">
        <v>65</v>
      </c>
      <c r="AD246" s="2" t="s">
        <v>71</v>
      </c>
      <c r="AE246" s="2" t="s">
        <v>2321</v>
      </c>
      <c r="AF246" s="2" t="s">
        <v>65</v>
      </c>
    </row>
    <row r="247" hidden="1">
      <c r="A247" s="2" t="s">
        <v>5204</v>
      </c>
      <c r="B247" s="2" t="s">
        <v>5204</v>
      </c>
      <c r="C247" s="6">
        <v>41886.445023148146</v>
      </c>
      <c r="D247" s="2">
        <v>1.40982725E9</v>
      </c>
      <c r="E247" s="8" t="s">
        <v>5206</v>
      </c>
      <c r="F247" s="2" t="s">
        <v>5207</v>
      </c>
      <c r="G247" s="2" t="s">
        <v>5208</v>
      </c>
      <c r="H247" s="2" t="s">
        <v>5209</v>
      </c>
      <c r="I247" s="2">
        <v>9.4573648E7</v>
      </c>
      <c r="J247" s="8" t="s">
        <v>5210</v>
      </c>
      <c r="K247" s="8" t="s">
        <v>5216</v>
      </c>
      <c r="L247" s="2" t="b">
        <v>0</v>
      </c>
      <c r="M247" s="2" t="s">
        <v>67</v>
      </c>
      <c r="N247" s="2" t="s">
        <v>68</v>
      </c>
      <c r="O247" s="2" t="s">
        <v>65</v>
      </c>
      <c r="P247" s="2">
        <v>779.0</v>
      </c>
      <c r="Q247" s="2">
        <v>9.0</v>
      </c>
      <c r="R247" s="2">
        <v>516.0</v>
      </c>
      <c r="S247" s="2">
        <v>0.0</v>
      </c>
      <c r="U247" s="2" t="s">
        <v>65</v>
      </c>
      <c r="W247" s="2" t="s">
        <v>65</v>
      </c>
      <c r="AC247" s="2" t="s">
        <v>65</v>
      </c>
      <c r="AD247" s="2" t="s">
        <v>65</v>
      </c>
      <c r="AF247" s="2" t="s">
        <v>65</v>
      </c>
    </row>
    <row r="248" hidden="1">
      <c r="A248" s="2" t="s">
        <v>5218</v>
      </c>
      <c r="B248" s="2" t="s">
        <v>3720</v>
      </c>
      <c r="C248" s="6">
        <v>44452.67369212963</v>
      </c>
      <c r="D248" s="2">
        <v>1.631549407E9</v>
      </c>
      <c r="E248" s="8" t="s">
        <v>5220</v>
      </c>
      <c r="F248" s="2" t="s">
        <v>5228</v>
      </c>
      <c r="G248" s="2" t="s">
        <v>2321</v>
      </c>
      <c r="H248" s="2" t="s">
        <v>2438</v>
      </c>
      <c r="I248" s="2" t="s">
        <v>2440</v>
      </c>
      <c r="J248" s="8" t="s">
        <v>2441</v>
      </c>
      <c r="K248" s="8" t="s">
        <v>2444</v>
      </c>
      <c r="L248" s="2" t="b">
        <v>0</v>
      </c>
      <c r="M248" s="2" t="s">
        <v>85</v>
      </c>
      <c r="N248" s="2" t="s">
        <v>68</v>
      </c>
      <c r="O248" s="2" t="s">
        <v>65</v>
      </c>
      <c r="P248" s="2">
        <v>108.0</v>
      </c>
      <c r="Q248" s="2">
        <v>3.0</v>
      </c>
      <c r="R248" s="2">
        <v>887.0</v>
      </c>
      <c r="S248" s="2">
        <v>13.0</v>
      </c>
      <c r="U248" s="2" t="s">
        <v>65</v>
      </c>
      <c r="W248" s="2" t="s">
        <v>65</v>
      </c>
      <c r="AC248" s="2" t="s">
        <v>65</v>
      </c>
      <c r="AD248" s="2" t="s">
        <v>71</v>
      </c>
      <c r="AE248" s="2" t="s">
        <v>2321</v>
      </c>
      <c r="AF248" s="2" t="s">
        <v>65</v>
      </c>
    </row>
    <row r="249">
      <c r="A249" s="2" t="s">
        <v>5229</v>
      </c>
      <c r="B249" s="2" t="s">
        <v>5229</v>
      </c>
      <c r="C249" s="6">
        <v>45968.84104166667</v>
      </c>
      <c r="D249" s="2">
        <v>1.762546266E9</v>
      </c>
      <c r="E249" s="8" t="s">
        <v>5230</v>
      </c>
      <c r="F249" s="2" t="s">
        <v>5237</v>
      </c>
      <c r="G249" s="2" t="s">
        <v>5238</v>
      </c>
      <c r="H249" s="2" t="s">
        <v>5239</v>
      </c>
      <c r="I249" s="2">
        <v>2.9916336E7</v>
      </c>
      <c r="J249" s="8" t="s">
        <v>5240</v>
      </c>
      <c r="K249" s="8" t="s">
        <v>5241</v>
      </c>
      <c r="L249" s="2" t="b">
        <v>0</v>
      </c>
      <c r="M249" s="2" t="s">
        <v>85</v>
      </c>
      <c r="N249" s="2" t="s">
        <v>64</v>
      </c>
      <c r="O249" s="2" t="s">
        <v>65</v>
      </c>
      <c r="P249" s="2">
        <v>0.0</v>
      </c>
      <c r="Q249" s="2">
        <v>1.0</v>
      </c>
      <c r="R249" s="2">
        <v>5.0</v>
      </c>
      <c r="S249" s="2">
        <v>0.0</v>
      </c>
      <c r="T249" s="2">
        <v>188.0</v>
      </c>
      <c r="U249" s="2" t="s">
        <v>65</v>
      </c>
      <c r="W249" s="2" t="s">
        <v>71</v>
      </c>
      <c r="X249" s="2" t="s">
        <v>5244</v>
      </c>
      <c r="Y249" s="2" t="s">
        <v>5245</v>
      </c>
      <c r="Z249" s="2" t="s">
        <v>5246</v>
      </c>
      <c r="AC249" s="2" t="s">
        <v>65</v>
      </c>
      <c r="AD249" s="2" t="s">
        <v>65</v>
      </c>
      <c r="AF249" s="2" t="s">
        <v>65</v>
      </c>
    </row>
    <row r="250">
      <c r="A250" s="2" t="s">
        <v>5248</v>
      </c>
      <c r="B250" s="2" t="s">
        <v>5248</v>
      </c>
      <c r="C250" s="6">
        <v>45968.74087962963</v>
      </c>
      <c r="D250" s="2">
        <v>1.762537612E9</v>
      </c>
      <c r="E250" s="8" t="s">
        <v>5249</v>
      </c>
      <c r="F250" s="2" t="s">
        <v>5250</v>
      </c>
      <c r="G250" s="2" t="s">
        <v>5252</v>
      </c>
      <c r="H250" s="2" t="s">
        <v>5253</v>
      </c>
      <c r="I250" s="2">
        <v>5.6418466E7</v>
      </c>
      <c r="J250" s="8" t="s">
        <v>5254</v>
      </c>
      <c r="K250" s="8" t="s">
        <v>5256</v>
      </c>
      <c r="L250" s="2" t="b">
        <v>0</v>
      </c>
      <c r="M250" s="2" t="s">
        <v>85</v>
      </c>
      <c r="N250" s="2" t="s">
        <v>64</v>
      </c>
      <c r="O250" s="2" t="s">
        <v>65</v>
      </c>
      <c r="P250" s="2">
        <v>1.0</v>
      </c>
      <c r="Q250" s="2">
        <v>1.0</v>
      </c>
      <c r="R250" s="2">
        <v>10.0</v>
      </c>
      <c r="S250" s="2">
        <v>0.0</v>
      </c>
      <c r="T250" s="2">
        <v>198.0</v>
      </c>
      <c r="U250" s="2" t="s">
        <v>65</v>
      </c>
      <c r="W250" s="2" t="s">
        <v>65</v>
      </c>
      <c r="AC250" s="2" t="s">
        <v>65</v>
      </c>
      <c r="AD250" s="2" t="s">
        <v>65</v>
      </c>
      <c r="AF250" s="2" t="s">
        <v>65</v>
      </c>
    </row>
    <row r="251" hidden="1">
      <c r="A251" s="2" t="s">
        <v>1820</v>
      </c>
      <c r="B251" s="2" t="s">
        <v>1820</v>
      </c>
      <c r="C251" s="6">
        <v>45935.12918981481</v>
      </c>
      <c r="D251" s="2">
        <v>1.759633562E9</v>
      </c>
      <c r="E251" s="8" t="s">
        <v>1821</v>
      </c>
      <c r="F251" s="2" t="s">
        <v>1824</v>
      </c>
      <c r="G251" s="2" t="s">
        <v>1825</v>
      </c>
      <c r="H251" s="2" t="s">
        <v>1827</v>
      </c>
      <c r="I251" s="2" t="s">
        <v>1828</v>
      </c>
      <c r="J251" s="8" t="s">
        <v>1829</v>
      </c>
      <c r="K251" s="8" t="s">
        <v>1833</v>
      </c>
      <c r="L251" s="2" t="b">
        <v>0</v>
      </c>
      <c r="M251" s="2" t="s">
        <v>67</v>
      </c>
      <c r="N251" s="2" t="s">
        <v>68</v>
      </c>
      <c r="O251" s="2" t="s">
        <v>65</v>
      </c>
      <c r="P251" s="2">
        <v>0.0</v>
      </c>
      <c r="Q251" s="2">
        <v>0.0</v>
      </c>
      <c r="R251" s="2">
        <v>0.0</v>
      </c>
      <c r="S251" s="2">
        <v>0.0</v>
      </c>
      <c r="T251" s="2">
        <v>19.0</v>
      </c>
      <c r="U251" s="2" t="s">
        <v>65</v>
      </c>
      <c r="W251" s="2" t="s">
        <v>65</v>
      </c>
      <c r="AC251" s="2" t="s">
        <v>65</v>
      </c>
      <c r="AD251" s="2" t="s">
        <v>65</v>
      </c>
      <c r="AF251" s="2" t="s">
        <v>65</v>
      </c>
    </row>
    <row r="252" hidden="1">
      <c r="A252" s="2" t="s">
        <v>5261</v>
      </c>
      <c r="B252" s="2" t="s">
        <v>4519</v>
      </c>
      <c r="C252" s="6">
        <v>44595.74998842592</v>
      </c>
      <c r="D252" s="2">
        <v>1.643911199E9</v>
      </c>
      <c r="E252" s="8" t="s">
        <v>5262</v>
      </c>
      <c r="F252" s="2" t="s">
        <v>5266</v>
      </c>
      <c r="G252" s="2" t="s">
        <v>2321</v>
      </c>
      <c r="H252" s="2" t="s">
        <v>2438</v>
      </c>
      <c r="I252" s="2" t="s">
        <v>2440</v>
      </c>
      <c r="J252" s="8" t="s">
        <v>2441</v>
      </c>
      <c r="K252" s="8" t="s">
        <v>2444</v>
      </c>
      <c r="L252" s="2" t="b">
        <v>0</v>
      </c>
      <c r="M252" s="2" t="s">
        <v>85</v>
      </c>
      <c r="N252" s="2" t="s">
        <v>68</v>
      </c>
      <c r="O252" s="2" t="s">
        <v>65</v>
      </c>
      <c r="P252" s="2">
        <v>190.0</v>
      </c>
      <c r="Q252" s="2">
        <v>4.0</v>
      </c>
      <c r="R252" s="2">
        <v>2456.0</v>
      </c>
      <c r="S252" s="2">
        <v>5.0</v>
      </c>
      <c r="U252" s="2" t="s">
        <v>65</v>
      </c>
      <c r="W252" s="2" t="s">
        <v>65</v>
      </c>
      <c r="AC252" s="2" t="s">
        <v>65</v>
      </c>
      <c r="AD252" s="2" t="s">
        <v>71</v>
      </c>
      <c r="AE252" s="2" t="s">
        <v>2321</v>
      </c>
      <c r="AF252" s="2" t="s">
        <v>65</v>
      </c>
    </row>
    <row r="253" hidden="1">
      <c r="A253" s="2" t="s">
        <v>5267</v>
      </c>
      <c r="B253" s="2" t="s">
        <v>5268</v>
      </c>
      <c r="C253" s="6">
        <v>44224.06371527778</v>
      </c>
      <c r="D253" s="2">
        <v>1.611797505E9</v>
      </c>
      <c r="E253" s="8" t="s">
        <v>5269</v>
      </c>
      <c r="F253" s="2" t="s">
        <v>5270</v>
      </c>
      <c r="G253" s="2" t="s">
        <v>2321</v>
      </c>
      <c r="H253" s="2" t="s">
        <v>2438</v>
      </c>
      <c r="I253" s="2" t="s">
        <v>2440</v>
      </c>
      <c r="J253" s="8" t="s">
        <v>2441</v>
      </c>
      <c r="K253" s="8" t="s">
        <v>2444</v>
      </c>
      <c r="L253" s="2" t="b">
        <v>0</v>
      </c>
      <c r="M253" s="2" t="s">
        <v>85</v>
      </c>
      <c r="N253" s="2" t="s">
        <v>68</v>
      </c>
      <c r="O253" s="2" t="s">
        <v>65</v>
      </c>
      <c r="P253" s="2">
        <v>19.0</v>
      </c>
      <c r="Q253" s="2">
        <v>8.0</v>
      </c>
      <c r="R253" s="2">
        <v>263.0</v>
      </c>
      <c r="S253" s="2">
        <v>5.0</v>
      </c>
      <c r="U253" s="2" t="s">
        <v>65</v>
      </c>
      <c r="W253" s="2" t="s">
        <v>65</v>
      </c>
      <c r="AC253" s="2" t="s">
        <v>65</v>
      </c>
      <c r="AD253" s="2" t="s">
        <v>71</v>
      </c>
      <c r="AE253" s="2" t="s">
        <v>2321</v>
      </c>
      <c r="AF253" s="2" t="s">
        <v>65</v>
      </c>
    </row>
    <row r="254" hidden="1">
      <c r="A254" s="2" t="s">
        <v>5272</v>
      </c>
      <c r="B254" s="2" t="s">
        <v>5272</v>
      </c>
      <c r="C254" s="6">
        <v>44481.98451388889</v>
      </c>
      <c r="D254" s="2">
        <v>1.634081862E9</v>
      </c>
      <c r="E254" s="8" t="s">
        <v>5274</v>
      </c>
      <c r="F254" s="2" t="s">
        <v>5275</v>
      </c>
      <c r="G254" s="2" t="s">
        <v>5276</v>
      </c>
      <c r="H254" s="2" t="s">
        <v>5278</v>
      </c>
      <c r="I254" s="2" t="s">
        <v>5279</v>
      </c>
      <c r="J254" s="8" t="s">
        <v>5280</v>
      </c>
      <c r="K254" s="8" t="s">
        <v>5282</v>
      </c>
      <c r="L254" s="2" t="b">
        <v>0</v>
      </c>
      <c r="M254" s="2" t="s">
        <v>85</v>
      </c>
      <c r="N254" s="2" t="s">
        <v>68</v>
      </c>
      <c r="O254" s="2" t="s">
        <v>65</v>
      </c>
      <c r="P254" s="2">
        <v>103.0</v>
      </c>
      <c r="Q254" s="2">
        <v>14.0</v>
      </c>
      <c r="R254" s="2">
        <v>522.0</v>
      </c>
      <c r="S254" s="2">
        <v>47.0</v>
      </c>
      <c r="U254" s="2" t="s">
        <v>65</v>
      </c>
      <c r="W254" s="2" t="s">
        <v>65</v>
      </c>
      <c r="AC254" s="2" t="s">
        <v>65</v>
      </c>
      <c r="AD254" s="2" t="s">
        <v>65</v>
      </c>
      <c r="AF254" s="2" t="s">
        <v>65</v>
      </c>
    </row>
    <row r="255" hidden="1">
      <c r="A255" s="2" t="s">
        <v>5285</v>
      </c>
      <c r="B255" s="2" t="s">
        <v>5285</v>
      </c>
      <c r="C255" s="6">
        <v>44626.14380787037</v>
      </c>
      <c r="D255" s="2">
        <v>1.646537225E9</v>
      </c>
      <c r="E255" s="8" t="s">
        <v>5286</v>
      </c>
      <c r="F255" s="2" t="s">
        <v>5288</v>
      </c>
      <c r="G255" s="2" t="s">
        <v>5289</v>
      </c>
      <c r="H255" s="2" t="s">
        <v>5290</v>
      </c>
      <c r="I255" s="2">
        <v>6.6538465E7</v>
      </c>
      <c r="J255" s="8" t="s">
        <v>5291</v>
      </c>
      <c r="K255" s="8" t="s">
        <v>5292</v>
      </c>
      <c r="L255" s="2" t="b">
        <v>0</v>
      </c>
      <c r="M255" s="2" t="s">
        <v>67</v>
      </c>
      <c r="N255" s="2" t="s">
        <v>68</v>
      </c>
      <c r="O255" s="2" t="s">
        <v>65</v>
      </c>
      <c r="P255" s="2">
        <v>322.0</v>
      </c>
      <c r="Q255" s="2">
        <v>13.0</v>
      </c>
      <c r="R255" s="2">
        <v>2203.0</v>
      </c>
      <c r="S255" s="2">
        <v>46.0</v>
      </c>
      <c r="U255" s="2" t="s">
        <v>65</v>
      </c>
      <c r="W255" s="2" t="s">
        <v>65</v>
      </c>
      <c r="AC255" s="2" t="s">
        <v>65</v>
      </c>
      <c r="AD255" s="2" t="s">
        <v>65</v>
      </c>
      <c r="AF255" s="2" t="s">
        <v>65</v>
      </c>
    </row>
    <row r="256" hidden="1">
      <c r="A256" s="2" t="s">
        <v>5307</v>
      </c>
      <c r="B256" s="2" t="s">
        <v>5307</v>
      </c>
      <c r="C256" s="6">
        <v>45972.55788194444</v>
      </c>
      <c r="D256" s="2">
        <v>1.762867401E9</v>
      </c>
      <c r="E256" s="8" t="s">
        <v>5308</v>
      </c>
      <c r="F256" s="2" t="s">
        <v>5310</v>
      </c>
      <c r="G256" s="2" t="s">
        <v>5311</v>
      </c>
      <c r="H256" s="2" t="s">
        <v>5312</v>
      </c>
      <c r="I256" s="2">
        <v>2.58484356E8</v>
      </c>
      <c r="J256" s="8" t="s">
        <v>5313</v>
      </c>
      <c r="K256" s="8" t="s">
        <v>5315</v>
      </c>
      <c r="L256" s="2" t="b">
        <v>0</v>
      </c>
      <c r="M256" s="2" t="s">
        <v>67</v>
      </c>
      <c r="N256" s="2" t="s">
        <v>68</v>
      </c>
      <c r="O256" s="2" t="s">
        <v>65</v>
      </c>
      <c r="P256" s="2">
        <v>0.0</v>
      </c>
      <c r="Q256" s="2">
        <v>0.0</v>
      </c>
      <c r="R256" s="2">
        <v>0.0</v>
      </c>
      <c r="S256" s="2">
        <v>0.0</v>
      </c>
      <c r="T256" s="2">
        <v>12.0</v>
      </c>
      <c r="U256" s="2" t="s">
        <v>65</v>
      </c>
      <c r="W256" s="2" t="s">
        <v>65</v>
      </c>
      <c r="AC256" s="2" t="s">
        <v>65</v>
      </c>
      <c r="AD256" s="2" t="s">
        <v>65</v>
      </c>
      <c r="AF256" s="2" t="s">
        <v>65</v>
      </c>
    </row>
    <row r="257">
      <c r="A257" s="2" t="s">
        <v>5320</v>
      </c>
      <c r="B257" s="2" t="s">
        <v>5320</v>
      </c>
      <c r="C257" s="6">
        <v>45668.878796296296</v>
      </c>
      <c r="D257" s="2">
        <v>1.736629528E9</v>
      </c>
      <c r="E257" s="8" t="s">
        <v>5321</v>
      </c>
      <c r="F257" s="2" t="s">
        <v>5327</v>
      </c>
      <c r="G257" s="2" t="s">
        <v>5328</v>
      </c>
      <c r="H257" s="2" t="s">
        <v>5329</v>
      </c>
      <c r="I257" s="2" t="s">
        <v>5330</v>
      </c>
      <c r="J257" s="8" t="s">
        <v>5331</v>
      </c>
      <c r="K257" s="8" t="s">
        <v>5336</v>
      </c>
      <c r="L257" s="2" t="b">
        <v>1</v>
      </c>
      <c r="M257" s="2" t="s">
        <v>67</v>
      </c>
      <c r="N257" s="2" t="s">
        <v>64</v>
      </c>
      <c r="O257" s="2" t="s">
        <v>65</v>
      </c>
      <c r="P257" s="2">
        <v>38.0</v>
      </c>
      <c r="Q257" s="2">
        <v>9.0</v>
      </c>
      <c r="R257" s="2">
        <v>335.0</v>
      </c>
      <c r="S257" s="2">
        <v>1.0</v>
      </c>
      <c r="T257" s="2">
        <v>9972.0</v>
      </c>
      <c r="U257" s="2" t="s">
        <v>65</v>
      </c>
      <c r="W257" s="2" t="s">
        <v>65</v>
      </c>
      <c r="AC257" s="2" t="s">
        <v>65</v>
      </c>
      <c r="AD257" s="2" t="s">
        <v>65</v>
      </c>
      <c r="AF257" s="2" t="s">
        <v>65</v>
      </c>
      <c r="AG257" s="2" t="s">
        <v>5341</v>
      </c>
    </row>
    <row r="258" hidden="1">
      <c r="A258" s="2" t="s">
        <v>5342</v>
      </c>
      <c r="B258" s="2" t="s">
        <v>5343</v>
      </c>
      <c r="C258" s="6">
        <v>44747.88925925926</v>
      </c>
      <c r="D258" s="2">
        <v>1.657056032E9</v>
      </c>
      <c r="E258" s="8" t="s">
        <v>5344</v>
      </c>
      <c r="F258" s="2" t="s">
        <v>5348</v>
      </c>
      <c r="G258" s="2" t="s">
        <v>2321</v>
      </c>
      <c r="H258" s="2" t="s">
        <v>2438</v>
      </c>
      <c r="I258" s="2" t="s">
        <v>2440</v>
      </c>
      <c r="J258" s="8" t="s">
        <v>2441</v>
      </c>
      <c r="K258" s="8" t="s">
        <v>2444</v>
      </c>
      <c r="L258" s="2" t="b">
        <v>0</v>
      </c>
      <c r="M258" s="2" t="s">
        <v>85</v>
      </c>
      <c r="N258" s="2" t="s">
        <v>68</v>
      </c>
      <c r="O258" s="2" t="s">
        <v>65</v>
      </c>
      <c r="P258" s="2">
        <v>28.0</v>
      </c>
      <c r="Q258" s="2">
        <v>2.0</v>
      </c>
      <c r="R258" s="2">
        <v>168.0</v>
      </c>
      <c r="S258" s="2">
        <v>1.0</v>
      </c>
      <c r="U258" s="2" t="s">
        <v>65</v>
      </c>
      <c r="W258" s="2" t="s">
        <v>65</v>
      </c>
      <c r="AC258" s="2" t="s">
        <v>65</v>
      </c>
      <c r="AD258" s="2" t="s">
        <v>71</v>
      </c>
      <c r="AE258" s="2" t="s">
        <v>2321</v>
      </c>
      <c r="AF258" s="2" t="s">
        <v>65</v>
      </c>
    </row>
    <row r="259">
      <c r="A259" s="2" t="s">
        <v>5351</v>
      </c>
      <c r="B259" s="2" t="s">
        <v>5351</v>
      </c>
      <c r="C259" s="6">
        <v>45764.404652777775</v>
      </c>
      <c r="D259" s="2">
        <v>1.744882962E9</v>
      </c>
      <c r="E259" s="8" t="s">
        <v>5354</v>
      </c>
      <c r="F259" s="2" t="s">
        <v>5358</v>
      </c>
      <c r="G259" s="2" t="s">
        <v>5359</v>
      </c>
      <c r="H259" s="2" t="s">
        <v>5360</v>
      </c>
      <c r="I259" s="2">
        <v>3.37047403E8</v>
      </c>
      <c r="J259" s="8" t="s">
        <v>5361</v>
      </c>
      <c r="K259" s="8" t="s">
        <v>5364</v>
      </c>
      <c r="L259" s="2" t="b">
        <v>0</v>
      </c>
      <c r="M259" s="2" t="s">
        <v>67</v>
      </c>
      <c r="N259" s="2" t="s">
        <v>64</v>
      </c>
      <c r="O259" s="2" t="s">
        <v>65</v>
      </c>
      <c r="P259" s="2">
        <v>0.0</v>
      </c>
      <c r="Q259" s="2">
        <v>0.0</v>
      </c>
      <c r="R259" s="2">
        <v>3.0</v>
      </c>
      <c r="S259" s="2">
        <v>0.0</v>
      </c>
      <c r="T259" s="2">
        <v>202.0</v>
      </c>
      <c r="U259" s="2" t="s">
        <v>65</v>
      </c>
      <c r="W259" s="2" t="s">
        <v>71</v>
      </c>
      <c r="X259" s="2" t="s">
        <v>5367</v>
      </c>
      <c r="Y259" s="2" t="s">
        <v>5368</v>
      </c>
      <c r="Z259" s="2" t="s">
        <v>5369</v>
      </c>
      <c r="AB259" s="8" t="s">
        <v>5370</v>
      </c>
      <c r="AC259" s="2" t="s">
        <v>65</v>
      </c>
      <c r="AD259" s="2" t="s">
        <v>65</v>
      </c>
      <c r="AF259" s="2" t="s">
        <v>65</v>
      </c>
    </row>
    <row r="260" hidden="1">
      <c r="A260" s="2" t="s">
        <v>5374</v>
      </c>
      <c r="B260" s="2" t="s">
        <v>5375</v>
      </c>
      <c r="C260" s="6">
        <v>44224.96925925926</v>
      </c>
      <c r="D260" s="2">
        <v>1.611875744E9</v>
      </c>
      <c r="E260" s="8" t="s">
        <v>5376</v>
      </c>
      <c r="F260" s="2" t="s">
        <v>5378</v>
      </c>
      <c r="G260" s="2" t="s">
        <v>2321</v>
      </c>
      <c r="H260" s="2" t="s">
        <v>2438</v>
      </c>
      <c r="I260" s="2" t="s">
        <v>2440</v>
      </c>
      <c r="J260" s="8" t="s">
        <v>2441</v>
      </c>
      <c r="K260" s="8" t="s">
        <v>2444</v>
      </c>
      <c r="L260" s="2" t="b">
        <v>0</v>
      </c>
      <c r="M260" s="2" t="s">
        <v>85</v>
      </c>
      <c r="N260" s="2" t="s">
        <v>68</v>
      </c>
      <c r="O260" s="2" t="s">
        <v>65</v>
      </c>
      <c r="P260" s="2">
        <v>30.0</v>
      </c>
      <c r="Q260" s="2">
        <v>2.0</v>
      </c>
      <c r="R260" s="2">
        <v>228.0</v>
      </c>
      <c r="S260" s="2">
        <v>6.0</v>
      </c>
      <c r="U260" s="2" t="s">
        <v>65</v>
      </c>
      <c r="W260" s="2" t="s">
        <v>65</v>
      </c>
      <c r="AC260" s="2" t="s">
        <v>65</v>
      </c>
      <c r="AD260" s="2" t="s">
        <v>71</v>
      </c>
      <c r="AE260" s="2" t="s">
        <v>2321</v>
      </c>
      <c r="AF260" s="2" t="s">
        <v>65</v>
      </c>
    </row>
    <row r="261" hidden="1">
      <c r="A261" s="2" t="s">
        <v>5382</v>
      </c>
      <c r="B261" s="2" t="s">
        <v>5382</v>
      </c>
      <c r="C261" s="6">
        <v>44886.333657407406</v>
      </c>
      <c r="D261" s="2">
        <v>1.669017628E9</v>
      </c>
      <c r="E261" s="8" t="s">
        <v>5383</v>
      </c>
      <c r="F261" s="2" t="s">
        <v>5385</v>
      </c>
      <c r="G261" s="2" t="s">
        <v>5386</v>
      </c>
      <c r="H261" s="2" t="s">
        <v>5387</v>
      </c>
      <c r="I261" s="2" t="s">
        <v>5388</v>
      </c>
      <c r="J261" s="8" t="s">
        <v>5390</v>
      </c>
      <c r="K261" s="8" t="s">
        <v>5393</v>
      </c>
      <c r="L261" s="2" t="b">
        <v>0</v>
      </c>
      <c r="M261" s="2" t="s">
        <v>67</v>
      </c>
      <c r="N261" s="2" t="s">
        <v>68</v>
      </c>
      <c r="O261" s="2" t="s">
        <v>65</v>
      </c>
      <c r="P261" s="2">
        <v>48.0</v>
      </c>
      <c r="Q261" s="2">
        <v>4.0</v>
      </c>
      <c r="R261" s="2">
        <v>225.0</v>
      </c>
      <c r="S261" s="2">
        <v>4.0</v>
      </c>
      <c r="U261" s="2" t="s">
        <v>65</v>
      </c>
      <c r="W261" s="2" t="s">
        <v>65</v>
      </c>
      <c r="AC261" s="2" t="s">
        <v>65</v>
      </c>
      <c r="AD261" s="2" t="s">
        <v>65</v>
      </c>
      <c r="AF261" s="2" t="s">
        <v>65</v>
      </c>
    </row>
    <row r="262">
      <c r="A262" s="2" t="s">
        <v>5395</v>
      </c>
      <c r="B262" s="2" t="s">
        <v>5395</v>
      </c>
      <c r="C262" s="6">
        <v>45207.7212037037</v>
      </c>
      <c r="D262" s="2">
        <v>1.696785512E9</v>
      </c>
      <c r="E262" s="8" t="s">
        <v>5397</v>
      </c>
      <c r="F262" s="2" t="s">
        <v>5398</v>
      </c>
      <c r="G262" s="2" t="s">
        <v>5399</v>
      </c>
      <c r="H262" s="2" t="s">
        <v>5401</v>
      </c>
      <c r="I262" s="2">
        <v>8.1388703E7</v>
      </c>
      <c r="J262" s="8" t="s">
        <v>5402</v>
      </c>
      <c r="K262" s="8" t="s">
        <v>5403</v>
      </c>
      <c r="L262" s="2" t="b">
        <v>0</v>
      </c>
      <c r="M262" s="2" t="s">
        <v>67</v>
      </c>
      <c r="N262" s="2" t="s">
        <v>64</v>
      </c>
      <c r="O262" s="2" t="s">
        <v>65</v>
      </c>
      <c r="P262" s="2">
        <v>65.0</v>
      </c>
      <c r="Q262" s="2">
        <v>2.0</v>
      </c>
      <c r="R262" s="2">
        <v>299.0</v>
      </c>
      <c r="S262" s="2">
        <v>6.0</v>
      </c>
      <c r="T262" s="2">
        <v>18705.0</v>
      </c>
      <c r="U262" s="2" t="s">
        <v>65</v>
      </c>
      <c r="W262" s="2" t="s">
        <v>65</v>
      </c>
      <c r="AC262" s="2" t="s">
        <v>65</v>
      </c>
      <c r="AD262" s="2" t="s">
        <v>65</v>
      </c>
      <c r="AF262" s="2" t="s">
        <v>65</v>
      </c>
    </row>
    <row r="263">
      <c r="A263" s="2" t="s">
        <v>5405</v>
      </c>
      <c r="B263" s="2" t="s">
        <v>5405</v>
      </c>
      <c r="C263" s="6">
        <v>44538.94761574074</v>
      </c>
      <c r="D263" s="2">
        <v>1.639003474E9</v>
      </c>
      <c r="E263" s="8" t="s">
        <v>5406</v>
      </c>
      <c r="F263" s="2" t="s">
        <v>5407</v>
      </c>
      <c r="G263" s="2" t="s">
        <v>5408</v>
      </c>
      <c r="H263" s="2" t="s">
        <v>5409</v>
      </c>
      <c r="I263" s="2">
        <v>1.056562694E9</v>
      </c>
      <c r="J263" s="8" t="s">
        <v>5410</v>
      </c>
      <c r="K263" s="8" t="s">
        <v>5414</v>
      </c>
      <c r="L263" s="2" t="b">
        <v>0</v>
      </c>
      <c r="M263" s="2" t="s">
        <v>67</v>
      </c>
      <c r="N263" s="2" t="s">
        <v>64</v>
      </c>
      <c r="O263" s="2" t="s">
        <v>65</v>
      </c>
      <c r="P263" s="2">
        <v>54.0</v>
      </c>
      <c r="Q263" s="2">
        <v>11.0</v>
      </c>
      <c r="R263" s="2">
        <v>410.0</v>
      </c>
      <c r="S263" s="2">
        <v>7.0</v>
      </c>
      <c r="U263" s="2" t="s">
        <v>65</v>
      </c>
      <c r="W263" s="2" t="s">
        <v>65</v>
      </c>
      <c r="AC263" s="2" t="s">
        <v>65</v>
      </c>
      <c r="AD263" s="2" t="s">
        <v>65</v>
      </c>
      <c r="AF263" s="2" t="s">
        <v>65</v>
      </c>
    </row>
    <row r="264">
      <c r="A264" s="2" t="s">
        <v>5421</v>
      </c>
      <c r="B264" s="2" t="s">
        <v>5421</v>
      </c>
      <c r="C264" s="6">
        <v>44864.00434027778</v>
      </c>
      <c r="D264" s="2">
        <v>1.667088375E9</v>
      </c>
      <c r="E264" s="8" t="s">
        <v>5422</v>
      </c>
      <c r="F264" s="2" t="s">
        <v>5424</v>
      </c>
      <c r="G264" s="2" t="s">
        <v>5425</v>
      </c>
      <c r="H264" s="2" t="s">
        <v>5426</v>
      </c>
      <c r="I264" s="2">
        <v>6.9527804E7</v>
      </c>
      <c r="J264" s="8" t="s">
        <v>5427</v>
      </c>
      <c r="K264" s="8" t="s">
        <v>5430</v>
      </c>
      <c r="L264" s="2" t="b">
        <v>0</v>
      </c>
      <c r="M264" s="2" t="s">
        <v>67</v>
      </c>
      <c r="N264" s="2" t="s">
        <v>64</v>
      </c>
      <c r="O264" s="2" t="s">
        <v>65</v>
      </c>
      <c r="P264" s="2">
        <v>46.0</v>
      </c>
      <c r="Q264" s="2">
        <v>57.0</v>
      </c>
      <c r="R264" s="2">
        <v>379.0</v>
      </c>
      <c r="S264" s="2">
        <v>8.0</v>
      </c>
      <c r="U264" s="2" t="s">
        <v>65</v>
      </c>
      <c r="W264" s="2" t="s">
        <v>65</v>
      </c>
      <c r="AC264" s="2" t="s">
        <v>65</v>
      </c>
      <c r="AD264" s="2" t="s">
        <v>65</v>
      </c>
      <c r="AF264" s="2" t="s">
        <v>65</v>
      </c>
    </row>
    <row r="265">
      <c r="A265" s="2" t="s">
        <v>5438</v>
      </c>
      <c r="B265" s="2" t="s">
        <v>5438</v>
      </c>
      <c r="C265" s="6">
        <v>44447.82034722222</v>
      </c>
      <c r="D265" s="2">
        <v>1.631130078E9</v>
      </c>
      <c r="E265" s="8" t="s">
        <v>5439</v>
      </c>
      <c r="F265" s="2" t="s">
        <v>5442</v>
      </c>
      <c r="G265" s="2" t="s">
        <v>5443</v>
      </c>
      <c r="H265" s="2" t="s">
        <v>5444</v>
      </c>
      <c r="I265" s="2">
        <v>2.486452603E9</v>
      </c>
      <c r="J265" s="8" t="s">
        <v>5445</v>
      </c>
      <c r="K265" s="8" t="s">
        <v>5452</v>
      </c>
      <c r="L265" s="2" t="b">
        <v>0</v>
      </c>
      <c r="M265" s="2" t="s">
        <v>85</v>
      </c>
      <c r="N265" s="2" t="s">
        <v>64</v>
      </c>
      <c r="O265" s="2" t="s">
        <v>65</v>
      </c>
      <c r="P265" s="2">
        <v>32.0</v>
      </c>
      <c r="Q265" s="2">
        <v>1.0</v>
      </c>
      <c r="R265" s="2">
        <v>356.0</v>
      </c>
      <c r="S265" s="2">
        <v>3.0</v>
      </c>
      <c r="U265" s="2" t="s">
        <v>65</v>
      </c>
      <c r="W265" s="2" t="s">
        <v>65</v>
      </c>
      <c r="AC265" s="2" t="s">
        <v>65</v>
      </c>
      <c r="AD265" s="2" t="s">
        <v>65</v>
      </c>
      <c r="AF265" s="2" t="s">
        <v>65</v>
      </c>
    </row>
    <row r="266">
      <c r="A266" s="2" t="s">
        <v>5457</v>
      </c>
      <c r="B266" s="2" t="s">
        <v>5457</v>
      </c>
      <c r="C266" s="6">
        <v>44279.96037037037</v>
      </c>
      <c r="D266" s="2">
        <v>1.616626976E9</v>
      </c>
      <c r="E266" s="8" t="s">
        <v>5458</v>
      </c>
      <c r="F266" s="2" t="s">
        <v>5459</v>
      </c>
      <c r="G266" s="2" t="s">
        <v>5460</v>
      </c>
      <c r="H266" s="2" t="s">
        <v>5461</v>
      </c>
      <c r="I266" s="2">
        <v>2.5591482E7</v>
      </c>
      <c r="J266" s="8" t="s">
        <v>5462</v>
      </c>
      <c r="K266" s="8" t="s">
        <v>5470</v>
      </c>
      <c r="L266" s="2" t="b">
        <v>0</v>
      </c>
      <c r="M266" s="2" t="s">
        <v>66</v>
      </c>
      <c r="N266" s="2" t="s">
        <v>64</v>
      </c>
      <c r="O266" s="2" t="s">
        <v>65</v>
      </c>
      <c r="P266" s="2">
        <v>29.0</v>
      </c>
      <c r="Q266" s="2">
        <v>11.0</v>
      </c>
      <c r="R266" s="2">
        <v>381.0</v>
      </c>
      <c r="S266" s="2">
        <v>2.0</v>
      </c>
      <c r="U266" s="2" t="s">
        <v>65</v>
      </c>
      <c r="W266" s="2" t="s">
        <v>65</v>
      </c>
      <c r="AC266" s="2" t="s">
        <v>65</v>
      </c>
      <c r="AD266" s="2" t="s">
        <v>65</v>
      </c>
      <c r="AF266" s="2" t="s">
        <v>65</v>
      </c>
      <c r="AI266" s="8" t="s">
        <v>5473</v>
      </c>
    </row>
    <row r="267">
      <c r="A267" s="2" t="s">
        <v>5479</v>
      </c>
      <c r="B267" s="2" t="s">
        <v>5479</v>
      </c>
      <c r="C267" s="6">
        <v>44698.59862268518</v>
      </c>
      <c r="D267" s="2">
        <v>1.652797321E9</v>
      </c>
      <c r="E267" s="8" t="s">
        <v>5483</v>
      </c>
      <c r="F267" s="2" t="s">
        <v>5487</v>
      </c>
      <c r="G267" s="2" t="s">
        <v>5488</v>
      </c>
      <c r="H267" s="2" t="s">
        <v>5489</v>
      </c>
      <c r="I267" s="2">
        <v>5.41976167E8</v>
      </c>
      <c r="J267" s="8" t="s">
        <v>5491</v>
      </c>
      <c r="K267" s="8" t="s">
        <v>5493</v>
      </c>
      <c r="L267" s="2" t="b">
        <v>1</v>
      </c>
      <c r="M267" s="2" t="s">
        <v>66</v>
      </c>
      <c r="N267" s="2" t="s">
        <v>64</v>
      </c>
      <c r="O267" s="2" t="s">
        <v>65</v>
      </c>
      <c r="P267" s="2">
        <v>39.0</v>
      </c>
      <c r="Q267" s="2">
        <v>10.0</v>
      </c>
      <c r="R267" s="2">
        <v>197.0</v>
      </c>
      <c r="S267" s="2">
        <v>3.0</v>
      </c>
      <c r="U267" s="2" t="s">
        <v>65</v>
      </c>
      <c r="W267" s="2" t="s">
        <v>65</v>
      </c>
      <c r="AC267" s="2" t="s">
        <v>65</v>
      </c>
      <c r="AD267" s="2" t="s">
        <v>65</v>
      </c>
      <c r="AF267" s="2" t="s">
        <v>65</v>
      </c>
    </row>
    <row r="268">
      <c r="A268" s="2" t="s">
        <v>5500</v>
      </c>
      <c r="B268" s="2" t="s">
        <v>5500</v>
      </c>
      <c r="C268" s="6">
        <v>44679.144212962965</v>
      </c>
      <c r="D268" s="2">
        <v>1.65111646E9</v>
      </c>
      <c r="E268" s="8" t="s">
        <v>5503</v>
      </c>
      <c r="F268" s="2" t="s">
        <v>5507</v>
      </c>
      <c r="G268" s="2" t="s">
        <v>5509</v>
      </c>
      <c r="H268" s="2" t="s">
        <v>5510</v>
      </c>
      <c r="I268" s="2">
        <v>4.32422185E8</v>
      </c>
      <c r="J268" s="8" t="s">
        <v>5513</v>
      </c>
      <c r="K268" s="8" t="s">
        <v>5515</v>
      </c>
      <c r="L268" s="2" t="b">
        <v>0</v>
      </c>
      <c r="M268" s="2" t="s">
        <v>67</v>
      </c>
      <c r="N268" s="2" t="s">
        <v>64</v>
      </c>
      <c r="O268" s="2" t="s">
        <v>65</v>
      </c>
      <c r="P268" s="2">
        <v>72.0</v>
      </c>
      <c r="Q268" s="2">
        <v>24.0</v>
      </c>
      <c r="R268" s="2">
        <v>282.0</v>
      </c>
      <c r="S268" s="2">
        <v>5.0</v>
      </c>
      <c r="U268" s="2" t="s">
        <v>65</v>
      </c>
      <c r="W268" s="2" t="s">
        <v>65</v>
      </c>
      <c r="AC268" s="2" t="s">
        <v>65</v>
      </c>
      <c r="AD268" s="2" t="s">
        <v>65</v>
      </c>
      <c r="AF268" s="2" t="s">
        <v>65</v>
      </c>
    </row>
    <row r="269">
      <c r="A269" s="2" t="s">
        <v>5517</v>
      </c>
      <c r="B269" s="2" t="s">
        <v>5518</v>
      </c>
      <c r="C269" s="6">
        <v>45971.70545138889</v>
      </c>
      <c r="D269" s="2">
        <v>1.762793751E9</v>
      </c>
      <c r="E269" s="8" t="s">
        <v>5519</v>
      </c>
      <c r="F269" s="2" t="s">
        <v>5521</v>
      </c>
      <c r="G269" s="2" t="s">
        <v>5522</v>
      </c>
      <c r="H269" s="2" t="s">
        <v>5523</v>
      </c>
      <c r="I269" s="2">
        <v>1.495650193E9</v>
      </c>
      <c r="J269" s="8" t="s">
        <v>5525</v>
      </c>
      <c r="K269" s="8" t="s">
        <v>5527</v>
      </c>
      <c r="L269" s="2" t="b">
        <v>0</v>
      </c>
      <c r="M269" s="2" t="s">
        <v>85</v>
      </c>
      <c r="N269" s="2" t="s">
        <v>64</v>
      </c>
      <c r="O269" s="2" t="s">
        <v>65</v>
      </c>
      <c r="P269" s="2">
        <v>0.0</v>
      </c>
      <c r="Q269" s="2">
        <v>1.0</v>
      </c>
      <c r="R269" s="2">
        <v>0.0</v>
      </c>
      <c r="S269" s="2">
        <v>0.0</v>
      </c>
      <c r="T269" s="2">
        <v>24.0</v>
      </c>
      <c r="U269" s="2" t="s">
        <v>65</v>
      </c>
      <c r="W269" s="2" t="s">
        <v>65</v>
      </c>
      <c r="AC269" s="2" t="s">
        <v>65</v>
      </c>
      <c r="AD269" s="2" t="s">
        <v>71</v>
      </c>
      <c r="AE269" s="2" t="s">
        <v>5535</v>
      </c>
      <c r="AF269" s="2" t="s">
        <v>65</v>
      </c>
      <c r="AK269" s="2" t="s">
        <v>5536</v>
      </c>
    </row>
    <row r="270">
      <c r="A270" s="2" t="s">
        <v>5537</v>
      </c>
      <c r="B270" s="2" t="s">
        <v>5537</v>
      </c>
      <c r="C270" s="6">
        <v>45446.77506944445</v>
      </c>
      <c r="D270" s="2">
        <v>1.717439766E9</v>
      </c>
      <c r="E270" s="8" t="s">
        <v>5538</v>
      </c>
      <c r="F270" s="2" t="s">
        <v>5542</v>
      </c>
      <c r="G270" s="2" t="s">
        <v>5543</v>
      </c>
      <c r="H270" s="2" t="s">
        <v>5545</v>
      </c>
      <c r="I270" s="2" t="s">
        <v>5546</v>
      </c>
      <c r="J270" s="8" t="s">
        <v>5547</v>
      </c>
      <c r="K270" s="8" t="s">
        <v>5551</v>
      </c>
      <c r="L270" s="2" t="b">
        <v>0</v>
      </c>
      <c r="M270" s="2" t="s">
        <v>85</v>
      </c>
      <c r="N270" s="2" t="s">
        <v>64</v>
      </c>
      <c r="O270" s="2" t="s">
        <v>65</v>
      </c>
      <c r="P270" s="2">
        <v>31.0</v>
      </c>
      <c r="Q270" s="2">
        <v>1.0</v>
      </c>
      <c r="R270" s="2">
        <v>247.0</v>
      </c>
      <c r="S270" s="2">
        <v>2.0</v>
      </c>
      <c r="T270" s="2">
        <v>5007.0</v>
      </c>
      <c r="U270" s="2" t="s">
        <v>65</v>
      </c>
      <c r="W270" s="2" t="s">
        <v>65</v>
      </c>
      <c r="AC270" s="2" t="s">
        <v>65</v>
      </c>
      <c r="AD270" s="2" t="s">
        <v>65</v>
      </c>
      <c r="AF270" s="2" t="s">
        <v>65</v>
      </c>
    </row>
    <row r="271">
      <c r="A271" s="2" t="s">
        <v>679</v>
      </c>
      <c r="B271" s="2" t="s">
        <v>680</v>
      </c>
      <c r="C271" s="6">
        <v>45972.4731712963</v>
      </c>
      <c r="D271" s="2">
        <v>1.762860082E9</v>
      </c>
      <c r="E271" s="8" t="s">
        <v>681</v>
      </c>
      <c r="F271" s="2" t="s">
        <v>688</v>
      </c>
      <c r="G271" s="2" t="s">
        <v>689</v>
      </c>
      <c r="H271" s="2" t="s">
        <v>690</v>
      </c>
      <c r="I271" s="2" t="s">
        <v>691</v>
      </c>
      <c r="J271" s="8" t="s">
        <v>692</v>
      </c>
      <c r="K271" s="8" t="s">
        <v>693</v>
      </c>
      <c r="L271" s="2" t="b">
        <v>0</v>
      </c>
      <c r="M271" s="2" t="s">
        <v>66</v>
      </c>
      <c r="N271" s="2" t="s">
        <v>64</v>
      </c>
      <c r="O271" s="2" t="s">
        <v>65</v>
      </c>
      <c r="P271" s="2">
        <v>0.0</v>
      </c>
      <c r="Q271" s="2">
        <v>1.0</v>
      </c>
      <c r="R271" s="2">
        <v>2.0</v>
      </c>
      <c r="S271" s="2">
        <v>0.0</v>
      </c>
      <c r="T271" s="2">
        <v>512.0</v>
      </c>
      <c r="U271" s="2" t="s">
        <v>65</v>
      </c>
      <c r="W271" s="2" t="s">
        <v>65</v>
      </c>
      <c r="AC271" s="2" t="s">
        <v>65</v>
      </c>
      <c r="AD271" s="2" t="s">
        <v>71</v>
      </c>
      <c r="AE271" s="2" t="s">
        <v>697</v>
      </c>
      <c r="AF271" s="2" t="s">
        <v>65</v>
      </c>
      <c r="AK271" s="2" t="s">
        <v>697</v>
      </c>
    </row>
    <row r="272">
      <c r="A272" s="2" t="s">
        <v>5573</v>
      </c>
      <c r="B272" s="2" t="s">
        <v>5573</v>
      </c>
      <c r="C272" s="6">
        <v>45967.573483796295</v>
      </c>
      <c r="D272" s="2">
        <v>1.762436749E9</v>
      </c>
      <c r="E272" s="8" t="s">
        <v>5574</v>
      </c>
      <c r="F272" s="2" t="s">
        <v>5577</v>
      </c>
      <c r="G272" s="2" t="s">
        <v>5579</v>
      </c>
      <c r="H272" s="2" t="s">
        <v>5581</v>
      </c>
      <c r="I272" s="2" t="s">
        <v>5582</v>
      </c>
      <c r="J272" s="8" t="s">
        <v>5584</v>
      </c>
      <c r="K272" s="8" t="s">
        <v>5587</v>
      </c>
      <c r="L272" s="2" t="b">
        <v>0</v>
      </c>
      <c r="M272" s="2" t="s">
        <v>67</v>
      </c>
      <c r="N272" s="2" t="s">
        <v>64</v>
      </c>
      <c r="O272" s="2" t="s">
        <v>65</v>
      </c>
      <c r="P272" s="2">
        <v>0.0</v>
      </c>
      <c r="Q272" s="2">
        <v>0.0</v>
      </c>
      <c r="R272" s="2">
        <v>1.0</v>
      </c>
      <c r="S272" s="2">
        <v>0.0</v>
      </c>
      <c r="T272" s="2">
        <v>32.0</v>
      </c>
      <c r="U272" s="2" t="s">
        <v>65</v>
      </c>
      <c r="W272" s="2" t="s">
        <v>71</v>
      </c>
      <c r="X272" s="2" t="s">
        <v>5594</v>
      </c>
      <c r="Y272" s="2" t="s">
        <v>5595</v>
      </c>
      <c r="Z272" s="2" t="s">
        <v>5597</v>
      </c>
      <c r="AA272" s="8" t="s">
        <v>5599</v>
      </c>
      <c r="AC272" s="2" t="s">
        <v>65</v>
      </c>
      <c r="AD272" s="2" t="s">
        <v>65</v>
      </c>
      <c r="AF272" s="2" t="s">
        <v>65</v>
      </c>
    </row>
    <row r="273">
      <c r="A273" s="2" t="s">
        <v>5606</v>
      </c>
      <c r="B273" s="2" t="s">
        <v>5606</v>
      </c>
      <c r="C273" s="6">
        <v>44428.98232638889</v>
      </c>
      <c r="D273" s="2">
        <v>1.629502473E9</v>
      </c>
      <c r="E273" s="8" t="s">
        <v>5607</v>
      </c>
      <c r="F273" s="2" t="s">
        <v>5611</v>
      </c>
      <c r="G273" s="2" t="s">
        <v>5612</v>
      </c>
      <c r="H273" s="2" t="s">
        <v>5613</v>
      </c>
      <c r="I273" s="2">
        <v>6.37143339E8</v>
      </c>
      <c r="J273" s="8" t="s">
        <v>5614</v>
      </c>
      <c r="K273" s="8" t="s">
        <v>5620</v>
      </c>
      <c r="L273" s="2" t="b">
        <v>0</v>
      </c>
      <c r="M273" s="2" t="s">
        <v>67</v>
      </c>
      <c r="N273" s="2" t="s">
        <v>64</v>
      </c>
      <c r="O273" s="2" t="s">
        <v>65</v>
      </c>
      <c r="P273" s="2">
        <v>142.0</v>
      </c>
      <c r="Q273" s="2">
        <v>0.0</v>
      </c>
      <c r="R273" s="2">
        <v>678.0</v>
      </c>
      <c r="S273" s="2">
        <v>15.0</v>
      </c>
      <c r="U273" s="2" t="s">
        <v>65</v>
      </c>
      <c r="W273" s="2" t="s">
        <v>65</v>
      </c>
      <c r="AC273" s="2" t="s">
        <v>65</v>
      </c>
      <c r="AD273" s="2" t="s">
        <v>65</v>
      </c>
      <c r="AF273" s="2" t="s">
        <v>65</v>
      </c>
    </row>
    <row r="274">
      <c r="A274" s="2" t="s">
        <v>5626</v>
      </c>
      <c r="B274" s="2" t="s">
        <v>5626</v>
      </c>
      <c r="C274" s="6">
        <v>45968.587175925924</v>
      </c>
      <c r="D274" s="2">
        <v>1.762524332E9</v>
      </c>
      <c r="E274" s="8" t="s">
        <v>5629</v>
      </c>
      <c r="F274" s="2" t="s">
        <v>5631</v>
      </c>
      <c r="G274" s="2" t="s">
        <v>5632</v>
      </c>
      <c r="H274" s="2" t="s">
        <v>5633</v>
      </c>
      <c r="I274" s="2" t="s">
        <v>5634</v>
      </c>
      <c r="J274" s="8" t="s">
        <v>5635</v>
      </c>
      <c r="K274" s="8" t="s">
        <v>5639</v>
      </c>
      <c r="L274" s="2" t="b">
        <v>0</v>
      </c>
      <c r="M274" s="2" t="s">
        <v>5647</v>
      </c>
      <c r="N274" s="2" t="s">
        <v>64</v>
      </c>
      <c r="O274" s="2" t="s">
        <v>65</v>
      </c>
      <c r="P274" s="2">
        <v>0.0</v>
      </c>
      <c r="Q274" s="2">
        <v>0.0</v>
      </c>
      <c r="R274" s="2">
        <v>1.0</v>
      </c>
      <c r="S274" s="2">
        <v>0.0</v>
      </c>
      <c r="T274" s="2">
        <v>328.0</v>
      </c>
      <c r="U274" s="2" t="s">
        <v>65</v>
      </c>
      <c r="W274" s="2" t="s">
        <v>65</v>
      </c>
      <c r="AC274" s="2" t="s">
        <v>65</v>
      </c>
      <c r="AD274" s="2" t="s">
        <v>65</v>
      </c>
      <c r="AF274" s="2" t="s">
        <v>65</v>
      </c>
      <c r="AH274" s="8" t="s">
        <v>5651</v>
      </c>
      <c r="AI274" s="8" t="s">
        <v>5654</v>
      </c>
    </row>
    <row r="275" hidden="1">
      <c r="A275" s="2" t="s">
        <v>5658</v>
      </c>
      <c r="B275" s="2" t="s">
        <v>5658</v>
      </c>
      <c r="C275" s="6">
        <v>43944.7721875</v>
      </c>
      <c r="D275" s="2">
        <v>1.587666717E9</v>
      </c>
      <c r="E275" s="8" t="s">
        <v>5659</v>
      </c>
      <c r="F275" s="2" t="s">
        <v>5661</v>
      </c>
      <c r="G275" s="2" t="s">
        <v>5662</v>
      </c>
      <c r="H275" s="2" t="s">
        <v>5663</v>
      </c>
      <c r="I275" s="2">
        <v>7.3368315E7</v>
      </c>
      <c r="J275" s="8" t="s">
        <v>5664</v>
      </c>
      <c r="K275" s="8" t="s">
        <v>5667</v>
      </c>
      <c r="L275" s="2" t="b">
        <v>1</v>
      </c>
      <c r="M275" s="2" t="s">
        <v>66</v>
      </c>
      <c r="N275" s="2" t="s">
        <v>68</v>
      </c>
      <c r="O275" s="2" t="s">
        <v>65</v>
      </c>
      <c r="P275" s="2">
        <v>869.0</v>
      </c>
      <c r="Q275" s="2">
        <v>6.0</v>
      </c>
      <c r="R275" s="2">
        <v>2286.0</v>
      </c>
      <c r="S275" s="2">
        <v>22.0</v>
      </c>
      <c r="U275" s="2" t="s">
        <v>65</v>
      </c>
      <c r="W275" s="2" t="s">
        <v>65</v>
      </c>
      <c r="AC275" s="2" t="s">
        <v>65</v>
      </c>
      <c r="AD275" s="2" t="s">
        <v>65</v>
      </c>
      <c r="AF275" s="2" t="s">
        <v>65</v>
      </c>
    </row>
    <row r="276" hidden="1">
      <c r="A276" s="2" t="s">
        <v>5668</v>
      </c>
      <c r="B276" s="2" t="s">
        <v>5668</v>
      </c>
      <c r="C276" s="6">
        <v>44459.018229166664</v>
      </c>
      <c r="D276" s="2">
        <v>1.632097575E9</v>
      </c>
      <c r="E276" s="8" t="s">
        <v>5669</v>
      </c>
      <c r="F276" s="2" t="s">
        <v>5672</v>
      </c>
      <c r="G276" s="2" t="s">
        <v>2321</v>
      </c>
      <c r="H276" s="2" t="s">
        <v>2438</v>
      </c>
      <c r="I276" s="2" t="s">
        <v>2440</v>
      </c>
      <c r="J276" s="8" t="s">
        <v>2441</v>
      </c>
      <c r="K276" s="8" t="s">
        <v>2444</v>
      </c>
      <c r="L276" s="2" t="b">
        <v>0</v>
      </c>
      <c r="M276" s="2" t="s">
        <v>85</v>
      </c>
      <c r="N276" s="2" t="s">
        <v>68</v>
      </c>
      <c r="O276" s="2" t="s">
        <v>65</v>
      </c>
      <c r="P276" s="2">
        <v>75.0</v>
      </c>
      <c r="Q276" s="2">
        <v>2.0</v>
      </c>
      <c r="R276" s="2">
        <v>380.0</v>
      </c>
      <c r="S276" s="2">
        <v>2.0</v>
      </c>
      <c r="U276" s="2" t="s">
        <v>65</v>
      </c>
      <c r="W276" s="2" t="s">
        <v>71</v>
      </c>
      <c r="X276" s="2" t="s">
        <v>3720</v>
      </c>
      <c r="Y276" s="2" t="s">
        <v>2321</v>
      </c>
      <c r="Z276" s="2" t="s">
        <v>3724</v>
      </c>
      <c r="AC276" s="2" t="s">
        <v>65</v>
      </c>
      <c r="AD276" s="2" t="s">
        <v>65</v>
      </c>
      <c r="AF276" s="2" t="s">
        <v>65</v>
      </c>
      <c r="AG276" s="2" t="s">
        <v>5673</v>
      </c>
      <c r="AK276" s="2" t="s">
        <v>5143</v>
      </c>
    </row>
    <row r="277" hidden="1">
      <c r="A277" s="2" t="s">
        <v>5674</v>
      </c>
      <c r="B277" s="2" t="s">
        <v>5674</v>
      </c>
      <c r="C277" s="6">
        <v>45807.701469907406</v>
      </c>
      <c r="D277" s="2">
        <v>1.748623807E9</v>
      </c>
      <c r="E277" s="8" t="s">
        <v>5676</v>
      </c>
      <c r="F277" s="2" t="s">
        <v>5677</v>
      </c>
      <c r="G277" s="2" t="s">
        <v>5678</v>
      </c>
      <c r="H277" s="2" t="s">
        <v>5679</v>
      </c>
      <c r="I277" s="2">
        <v>1.525686386E9</v>
      </c>
      <c r="J277" s="8" t="s">
        <v>5680</v>
      </c>
      <c r="K277" s="8" t="s">
        <v>5686</v>
      </c>
      <c r="L277" s="2" t="b">
        <v>0</v>
      </c>
      <c r="M277" s="2" t="s">
        <v>67</v>
      </c>
      <c r="N277" s="2" t="s">
        <v>68</v>
      </c>
      <c r="O277" s="2" t="s">
        <v>65</v>
      </c>
      <c r="P277" s="2">
        <v>0.0</v>
      </c>
      <c r="Q277" s="2">
        <v>0.0</v>
      </c>
      <c r="R277" s="2">
        <v>6.0</v>
      </c>
      <c r="S277" s="2">
        <v>0.0</v>
      </c>
      <c r="T277" s="2">
        <v>327.0</v>
      </c>
      <c r="U277" s="2" t="s">
        <v>65</v>
      </c>
      <c r="W277" s="2" t="s">
        <v>71</v>
      </c>
      <c r="X277" s="2" t="s">
        <v>5691</v>
      </c>
      <c r="Y277" s="2" t="s">
        <v>5692</v>
      </c>
      <c r="Z277" s="2" t="s">
        <v>5693</v>
      </c>
      <c r="AA277" s="8" t="s">
        <v>5695</v>
      </c>
      <c r="AC277" s="2" t="s">
        <v>65</v>
      </c>
      <c r="AD277" s="2" t="s">
        <v>65</v>
      </c>
      <c r="AF277" s="2" t="s">
        <v>65</v>
      </c>
    </row>
    <row r="278">
      <c r="A278" s="2" t="s">
        <v>5698</v>
      </c>
      <c r="B278" s="2" t="s">
        <v>5699</v>
      </c>
      <c r="C278" s="6">
        <v>45973.94825231482</v>
      </c>
      <c r="D278" s="2">
        <v>1.762987529E9</v>
      </c>
      <c r="E278" s="8" t="s">
        <v>5700</v>
      </c>
      <c r="F278" s="2" t="s">
        <v>5706</v>
      </c>
      <c r="G278" s="2" t="s">
        <v>5707</v>
      </c>
      <c r="H278" s="2" t="s">
        <v>5708</v>
      </c>
      <c r="I278" s="2" t="s">
        <v>5709</v>
      </c>
      <c r="J278" s="8" t="s">
        <v>5710</v>
      </c>
      <c r="K278" s="8" t="s">
        <v>5711</v>
      </c>
      <c r="L278" s="2" t="b">
        <v>0</v>
      </c>
      <c r="M278" s="2" t="s">
        <v>67</v>
      </c>
      <c r="N278" s="2" t="s">
        <v>64</v>
      </c>
      <c r="O278" s="2" t="s">
        <v>65</v>
      </c>
      <c r="P278" s="2">
        <v>0.0</v>
      </c>
      <c r="Q278" s="2">
        <v>0.0</v>
      </c>
      <c r="R278" s="2">
        <v>0.0</v>
      </c>
      <c r="S278" s="2">
        <v>0.0</v>
      </c>
      <c r="T278" s="2">
        <v>7.0</v>
      </c>
      <c r="U278" s="2" t="s">
        <v>65</v>
      </c>
      <c r="W278" s="2" t="s">
        <v>65</v>
      </c>
      <c r="AC278" s="2" t="s">
        <v>65</v>
      </c>
      <c r="AD278" s="2" t="s">
        <v>71</v>
      </c>
      <c r="AE278" s="2" t="s">
        <v>5716</v>
      </c>
      <c r="AF278" s="2" t="s">
        <v>65</v>
      </c>
      <c r="AK278" s="2" t="s">
        <v>5716</v>
      </c>
    </row>
    <row r="279">
      <c r="A279" s="2" t="s">
        <v>5717</v>
      </c>
      <c r="B279" s="2" t="s">
        <v>5717</v>
      </c>
      <c r="C279" s="6">
        <v>45971.64877314815</v>
      </c>
      <c r="D279" s="2">
        <v>1.762788854E9</v>
      </c>
      <c r="E279" s="8" t="s">
        <v>5718</v>
      </c>
      <c r="F279" s="2" t="s">
        <v>5721</v>
      </c>
      <c r="G279" s="2" t="s">
        <v>5722</v>
      </c>
      <c r="H279" s="2" t="s">
        <v>5723</v>
      </c>
      <c r="I279" s="2" t="s">
        <v>5724</v>
      </c>
      <c r="J279" s="8" t="s">
        <v>5725</v>
      </c>
      <c r="K279" s="8" t="s">
        <v>5728</v>
      </c>
      <c r="L279" s="2" t="b">
        <v>0</v>
      </c>
      <c r="M279" s="2" t="s">
        <v>67</v>
      </c>
      <c r="N279" s="2" t="s">
        <v>64</v>
      </c>
      <c r="O279" s="2" t="s">
        <v>65</v>
      </c>
      <c r="P279" s="2">
        <v>0.0</v>
      </c>
      <c r="Q279" s="2">
        <v>0.0</v>
      </c>
      <c r="R279" s="2">
        <v>0.0</v>
      </c>
      <c r="S279" s="2">
        <v>0.0</v>
      </c>
      <c r="T279" s="2">
        <v>16.0</v>
      </c>
      <c r="U279" s="2" t="s">
        <v>65</v>
      </c>
      <c r="W279" s="2" t="s">
        <v>65</v>
      </c>
      <c r="AC279" s="2" t="s">
        <v>65</v>
      </c>
      <c r="AD279" s="2" t="s">
        <v>65</v>
      </c>
      <c r="AF279" s="2" t="s">
        <v>65</v>
      </c>
    </row>
    <row r="280">
      <c r="A280" s="2" t="s">
        <v>5731</v>
      </c>
      <c r="B280" s="2" t="s">
        <v>5731</v>
      </c>
      <c r="C280" s="6">
        <v>43631.636469907404</v>
      </c>
      <c r="D280" s="2">
        <v>1.560611791E9</v>
      </c>
      <c r="E280" s="8" t="s">
        <v>5732</v>
      </c>
      <c r="F280" s="2" t="s">
        <v>5734</v>
      </c>
      <c r="G280" s="2" t="s">
        <v>5735</v>
      </c>
      <c r="H280" s="2" t="s">
        <v>5736</v>
      </c>
      <c r="I280" s="2">
        <v>3.4396735E7</v>
      </c>
      <c r="J280" s="8" t="s">
        <v>5737</v>
      </c>
      <c r="K280" s="8" t="s">
        <v>5739</v>
      </c>
      <c r="L280" s="2" t="b">
        <v>0</v>
      </c>
      <c r="M280" s="2" t="s">
        <v>85</v>
      </c>
      <c r="N280" s="2" t="s">
        <v>64</v>
      </c>
      <c r="O280" s="2" t="s">
        <v>65</v>
      </c>
      <c r="P280" s="2">
        <v>229.0</v>
      </c>
      <c r="Q280" s="2">
        <v>3.0</v>
      </c>
      <c r="R280" s="2">
        <v>1910.0</v>
      </c>
      <c r="S280" s="2">
        <v>26.0</v>
      </c>
      <c r="U280" s="2" t="s">
        <v>65</v>
      </c>
      <c r="W280" s="2" t="s">
        <v>65</v>
      </c>
      <c r="AC280" s="2" t="s">
        <v>65</v>
      </c>
      <c r="AD280" s="2" t="s">
        <v>65</v>
      </c>
      <c r="AF280" s="2" t="s">
        <v>65</v>
      </c>
    </row>
    <row r="281">
      <c r="A281" s="2" t="s">
        <v>5741</v>
      </c>
      <c r="B281" s="2" t="s">
        <v>5741</v>
      </c>
      <c r="C281" s="6">
        <v>44506.66509259259</v>
      </c>
      <c r="D281" s="2">
        <v>1.636214264E9</v>
      </c>
      <c r="E281" s="8" t="s">
        <v>5742</v>
      </c>
      <c r="F281" s="2" t="s">
        <v>5745</v>
      </c>
      <c r="G281" s="2" t="s">
        <v>5746</v>
      </c>
      <c r="H281" s="2" t="s">
        <v>5746</v>
      </c>
      <c r="I281" s="2" t="s">
        <v>5747</v>
      </c>
      <c r="J281" s="8" t="s">
        <v>5748</v>
      </c>
      <c r="K281" s="8" t="s">
        <v>5755</v>
      </c>
      <c r="L281" s="2" t="b">
        <v>1</v>
      </c>
      <c r="M281" s="2" t="s">
        <v>85</v>
      </c>
      <c r="N281" s="2" t="s">
        <v>64</v>
      </c>
      <c r="O281" s="2" t="s">
        <v>65</v>
      </c>
      <c r="P281" s="2">
        <v>68.0</v>
      </c>
      <c r="Q281" s="2">
        <v>50.0</v>
      </c>
      <c r="R281" s="2">
        <v>563.0</v>
      </c>
      <c r="S281" s="2">
        <v>13.0</v>
      </c>
      <c r="U281" s="2" t="s">
        <v>65</v>
      </c>
      <c r="W281" s="2" t="s">
        <v>65</v>
      </c>
      <c r="AC281" s="2" t="s">
        <v>65</v>
      </c>
      <c r="AD281" s="2" t="s">
        <v>65</v>
      </c>
      <c r="AF281" s="2" t="s">
        <v>65</v>
      </c>
    </row>
    <row r="282" hidden="1">
      <c r="A282" s="2" t="s">
        <v>5757</v>
      </c>
      <c r="B282" s="2" t="s">
        <v>5758</v>
      </c>
      <c r="C282" s="6">
        <v>45264.6183912037</v>
      </c>
      <c r="D282" s="2">
        <v>1.701701429E9</v>
      </c>
      <c r="E282" s="8" t="s">
        <v>5760</v>
      </c>
      <c r="F282" s="2" t="s">
        <v>5763</v>
      </c>
      <c r="G282" s="2" t="s">
        <v>5764</v>
      </c>
      <c r="H282" s="2" t="s">
        <v>5765</v>
      </c>
      <c r="I282" s="2" t="s">
        <v>5767</v>
      </c>
      <c r="J282" s="8" t="s">
        <v>5769</v>
      </c>
      <c r="K282" s="8" t="s">
        <v>5773</v>
      </c>
      <c r="L282" s="2" t="b">
        <v>0</v>
      </c>
      <c r="M282" s="2" t="s">
        <v>85</v>
      </c>
      <c r="N282" s="2" t="s">
        <v>4010</v>
      </c>
      <c r="O282" s="2" t="s">
        <v>65</v>
      </c>
      <c r="P282" s="2">
        <v>20.0</v>
      </c>
      <c r="Q282" s="2">
        <v>4.0</v>
      </c>
      <c r="R282" s="2">
        <v>189.0</v>
      </c>
      <c r="S282" s="2">
        <v>0.0</v>
      </c>
      <c r="T282" s="2">
        <v>6369.0</v>
      </c>
      <c r="U282" s="2" t="s">
        <v>65</v>
      </c>
      <c r="W282" s="2" t="s">
        <v>65</v>
      </c>
      <c r="AC282" s="2" t="s">
        <v>65</v>
      </c>
      <c r="AD282" s="2" t="s">
        <v>71</v>
      </c>
      <c r="AE282" s="2" t="s">
        <v>5777</v>
      </c>
      <c r="AF282" s="2" t="s">
        <v>65</v>
      </c>
      <c r="AK282" s="2" t="s">
        <v>5777</v>
      </c>
    </row>
    <row r="283" hidden="1">
      <c r="A283" s="2" t="s">
        <v>5778</v>
      </c>
      <c r="B283" s="2" t="s">
        <v>5779</v>
      </c>
      <c r="C283" s="6">
        <v>44452.578738425924</v>
      </c>
      <c r="D283" s="2">
        <v>1.631541203E9</v>
      </c>
      <c r="E283" s="8" t="s">
        <v>5780</v>
      </c>
      <c r="F283" s="2" t="s">
        <v>5787</v>
      </c>
      <c r="G283" s="2" t="s">
        <v>2321</v>
      </c>
      <c r="H283" s="2" t="s">
        <v>2438</v>
      </c>
      <c r="I283" s="2" t="s">
        <v>2440</v>
      </c>
      <c r="J283" s="8" t="s">
        <v>2441</v>
      </c>
      <c r="K283" s="8" t="s">
        <v>2444</v>
      </c>
      <c r="L283" s="2" t="b">
        <v>0</v>
      </c>
      <c r="M283" s="2" t="s">
        <v>85</v>
      </c>
      <c r="N283" s="2" t="s">
        <v>68</v>
      </c>
      <c r="O283" s="2" t="s">
        <v>65</v>
      </c>
      <c r="P283" s="2">
        <v>45.0</v>
      </c>
      <c r="Q283" s="2">
        <v>3.0</v>
      </c>
      <c r="R283" s="2">
        <v>279.0</v>
      </c>
      <c r="S283" s="2">
        <v>6.0</v>
      </c>
      <c r="U283" s="2" t="s">
        <v>65</v>
      </c>
      <c r="W283" s="2" t="s">
        <v>65</v>
      </c>
      <c r="AC283" s="2" t="s">
        <v>65</v>
      </c>
      <c r="AD283" s="2" t="s">
        <v>71</v>
      </c>
      <c r="AE283" s="2" t="s">
        <v>2321</v>
      </c>
      <c r="AF283" s="2" t="s">
        <v>65</v>
      </c>
    </row>
    <row r="284" hidden="1">
      <c r="A284" s="2" t="s">
        <v>5789</v>
      </c>
      <c r="B284" s="2" t="s">
        <v>5789</v>
      </c>
      <c r="C284" s="6">
        <v>44533.78613425926</v>
      </c>
      <c r="D284" s="2">
        <v>1.638557522E9</v>
      </c>
      <c r="E284" s="8" t="s">
        <v>5790</v>
      </c>
      <c r="F284" s="2" t="s">
        <v>5792</v>
      </c>
      <c r="G284" s="2" t="s">
        <v>2321</v>
      </c>
      <c r="H284" s="2" t="s">
        <v>2438</v>
      </c>
      <c r="I284" s="2" t="s">
        <v>2440</v>
      </c>
      <c r="J284" s="8" t="s">
        <v>2441</v>
      </c>
      <c r="K284" s="8" t="s">
        <v>2444</v>
      </c>
      <c r="L284" s="2" t="b">
        <v>0</v>
      </c>
      <c r="M284" s="2" t="s">
        <v>85</v>
      </c>
      <c r="N284" s="2" t="s">
        <v>68</v>
      </c>
      <c r="O284" s="2" t="s">
        <v>65</v>
      </c>
      <c r="P284" s="2">
        <v>134.0</v>
      </c>
      <c r="Q284" s="2">
        <v>24.0</v>
      </c>
      <c r="R284" s="2">
        <v>851.0</v>
      </c>
      <c r="S284" s="2">
        <v>29.0</v>
      </c>
      <c r="U284" s="2" t="s">
        <v>65</v>
      </c>
      <c r="W284" s="2" t="s">
        <v>71</v>
      </c>
      <c r="X284" s="2" t="s">
        <v>5797</v>
      </c>
      <c r="Y284" s="2" t="s">
        <v>5798</v>
      </c>
      <c r="Z284" s="2" t="s">
        <v>5799</v>
      </c>
      <c r="AC284" s="2" t="s">
        <v>65</v>
      </c>
      <c r="AD284" s="2" t="s">
        <v>65</v>
      </c>
      <c r="AF284" s="2" t="s">
        <v>65</v>
      </c>
    </row>
    <row r="285" hidden="1">
      <c r="A285" s="2" t="s">
        <v>5800</v>
      </c>
      <c r="B285" s="2" t="s">
        <v>2432</v>
      </c>
      <c r="C285" s="6">
        <v>44466.03291666666</v>
      </c>
      <c r="D285" s="2">
        <v>1.632703644E9</v>
      </c>
      <c r="E285" s="8" t="s">
        <v>5801</v>
      </c>
      <c r="F285" s="2" t="s">
        <v>5802</v>
      </c>
      <c r="G285" s="2" t="s">
        <v>2321</v>
      </c>
      <c r="H285" s="2" t="s">
        <v>2438</v>
      </c>
      <c r="I285" s="2" t="s">
        <v>2440</v>
      </c>
      <c r="J285" s="8" t="s">
        <v>2441</v>
      </c>
      <c r="K285" s="8" t="s">
        <v>2444</v>
      </c>
      <c r="L285" s="2" t="b">
        <v>0</v>
      </c>
      <c r="M285" s="2" t="s">
        <v>85</v>
      </c>
      <c r="N285" s="2" t="s">
        <v>68</v>
      </c>
      <c r="O285" s="2" t="s">
        <v>65</v>
      </c>
      <c r="P285" s="2">
        <v>15.0</v>
      </c>
      <c r="Q285" s="2">
        <v>1.0</v>
      </c>
      <c r="R285" s="2">
        <v>244.0</v>
      </c>
      <c r="S285" s="2">
        <v>0.0</v>
      </c>
      <c r="U285" s="2" t="s">
        <v>65</v>
      </c>
      <c r="W285" s="2" t="s">
        <v>65</v>
      </c>
      <c r="AC285" s="2" t="s">
        <v>65</v>
      </c>
      <c r="AD285" s="2" t="s">
        <v>71</v>
      </c>
      <c r="AE285" s="2" t="s">
        <v>2321</v>
      </c>
      <c r="AF285" s="2" t="s">
        <v>65</v>
      </c>
    </row>
    <row r="286" hidden="1">
      <c r="A286" s="2" t="s">
        <v>5808</v>
      </c>
      <c r="B286" s="2" t="s">
        <v>2432</v>
      </c>
      <c r="C286" s="6">
        <v>44466.03292824074</v>
      </c>
      <c r="D286" s="2">
        <v>1.632703645E9</v>
      </c>
      <c r="E286" s="8" t="s">
        <v>5809</v>
      </c>
      <c r="F286" s="2" t="s">
        <v>5819</v>
      </c>
      <c r="G286" s="2" t="s">
        <v>2321</v>
      </c>
      <c r="H286" s="2" t="s">
        <v>2438</v>
      </c>
      <c r="I286" s="2" t="s">
        <v>2440</v>
      </c>
      <c r="J286" s="8" t="s">
        <v>2441</v>
      </c>
      <c r="K286" s="8" t="s">
        <v>2444</v>
      </c>
      <c r="L286" s="2" t="b">
        <v>0</v>
      </c>
      <c r="M286" s="2" t="s">
        <v>85</v>
      </c>
      <c r="N286" s="2" t="s">
        <v>68</v>
      </c>
      <c r="O286" s="2" t="s">
        <v>65</v>
      </c>
      <c r="P286" s="2">
        <v>28.0</v>
      </c>
      <c r="Q286" s="2">
        <v>1.0</v>
      </c>
      <c r="R286" s="2">
        <v>279.0</v>
      </c>
      <c r="S286" s="2">
        <v>7.0</v>
      </c>
      <c r="U286" s="2" t="s">
        <v>65</v>
      </c>
      <c r="W286" s="2" t="s">
        <v>65</v>
      </c>
      <c r="AC286" s="2" t="s">
        <v>65</v>
      </c>
      <c r="AD286" s="2" t="s">
        <v>71</v>
      </c>
      <c r="AE286" s="2" t="s">
        <v>2321</v>
      </c>
      <c r="AF286" s="2" t="s">
        <v>65</v>
      </c>
    </row>
    <row r="287">
      <c r="A287" s="2" t="s">
        <v>5820</v>
      </c>
      <c r="B287" s="2" t="s">
        <v>1666</v>
      </c>
      <c r="C287" s="6">
        <v>44887.69347222222</v>
      </c>
      <c r="D287" s="2">
        <v>1.669135116E9</v>
      </c>
      <c r="E287" s="8" t="s">
        <v>5821</v>
      </c>
      <c r="F287" s="2" t="s">
        <v>5824</v>
      </c>
      <c r="G287" s="2" t="s">
        <v>1670</v>
      </c>
      <c r="H287" s="2" t="s">
        <v>1671</v>
      </c>
      <c r="I287" s="2" t="s">
        <v>1672</v>
      </c>
      <c r="J287" s="8" t="s">
        <v>1673</v>
      </c>
      <c r="K287" s="8" t="s">
        <v>1675</v>
      </c>
      <c r="L287" s="2" t="b">
        <v>1</v>
      </c>
      <c r="M287" s="2" t="s">
        <v>85</v>
      </c>
      <c r="N287" s="2" t="s">
        <v>64</v>
      </c>
      <c r="O287" s="2" t="s">
        <v>65</v>
      </c>
      <c r="P287" s="2">
        <v>8.0</v>
      </c>
      <c r="Q287" s="2">
        <v>1.0</v>
      </c>
      <c r="R287" s="2">
        <v>232.0</v>
      </c>
      <c r="S287" s="2">
        <v>3.0</v>
      </c>
      <c r="U287" s="2" t="s">
        <v>65</v>
      </c>
      <c r="W287" s="2" t="s">
        <v>65</v>
      </c>
      <c r="AC287" s="2" t="s">
        <v>65</v>
      </c>
      <c r="AD287" s="2" t="s">
        <v>71</v>
      </c>
      <c r="AE287" s="2" t="s">
        <v>1670</v>
      </c>
      <c r="AF287" s="2" t="s">
        <v>65</v>
      </c>
    </row>
    <row r="288">
      <c r="A288" s="2" t="s">
        <v>5825</v>
      </c>
      <c r="B288" s="2" t="s">
        <v>5826</v>
      </c>
      <c r="C288" s="6">
        <v>45970.13010416667</v>
      </c>
      <c r="D288" s="2">
        <v>1.762657641E9</v>
      </c>
      <c r="E288" s="8" t="s">
        <v>5827</v>
      </c>
      <c r="F288" s="2" t="s">
        <v>5830</v>
      </c>
      <c r="G288" s="2" t="s">
        <v>5831</v>
      </c>
      <c r="H288" s="2" t="s">
        <v>5832</v>
      </c>
      <c r="I288" s="2" t="s">
        <v>5833</v>
      </c>
      <c r="J288" s="8" t="s">
        <v>5835</v>
      </c>
      <c r="K288" s="8" t="s">
        <v>5838</v>
      </c>
      <c r="L288" s="2" t="b">
        <v>0</v>
      </c>
      <c r="M288" s="2" t="s">
        <v>67</v>
      </c>
      <c r="N288" s="2" t="s">
        <v>64</v>
      </c>
      <c r="O288" s="2" t="s">
        <v>65</v>
      </c>
      <c r="P288" s="2">
        <v>1.0</v>
      </c>
      <c r="Q288" s="2">
        <v>1.0</v>
      </c>
      <c r="R288" s="2">
        <v>6.0</v>
      </c>
      <c r="S288" s="2">
        <v>0.0</v>
      </c>
      <c r="T288" s="2">
        <v>100.0</v>
      </c>
      <c r="U288" s="2" t="s">
        <v>65</v>
      </c>
      <c r="W288" s="2" t="s">
        <v>65</v>
      </c>
      <c r="AC288" s="2" t="s">
        <v>65</v>
      </c>
      <c r="AD288" s="2" t="s">
        <v>71</v>
      </c>
      <c r="AE288" s="2" t="s">
        <v>5831</v>
      </c>
      <c r="AF288" s="2" t="s">
        <v>65</v>
      </c>
      <c r="AI288" s="8" t="s">
        <v>5844</v>
      </c>
    </row>
    <row r="289">
      <c r="A289" s="2" t="s">
        <v>5847</v>
      </c>
      <c r="B289" s="2" t="s">
        <v>5847</v>
      </c>
      <c r="C289" s="6">
        <v>44364.09201388889</v>
      </c>
      <c r="D289" s="2">
        <v>1.62389595E9</v>
      </c>
      <c r="E289" s="8" t="s">
        <v>5849</v>
      </c>
      <c r="F289" s="2" t="s">
        <v>5852</v>
      </c>
      <c r="G289" s="2" t="s">
        <v>5024</v>
      </c>
      <c r="H289" s="2" t="s">
        <v>5025</v>
      </c>
      <c r="I289" s="2" t="s">
        <v>5026</v>
      </c>
      <c r="J289" s="8" t="s">
        <v>5027</v>
      </c>
      <c r="K289" s="8" t="s">
        <v>5033</v>
      </c>
      <c r="L289" s="2" t="b">
        <v>1</v>
      </c>
      <c r="M289" s="2" t="s">
        <v>85</v>
      </c>
      <c r="N289" s="2" t="s">
        <v>64</v>
      </c>
      <c r="O289" s="2" t="s">
        <v>65</v>
      </c>
      <c r="P289" s="2">
        <v>25.0</v>
      </c>
      <c r="Q289" s="2">
        <v>35.0</v>
      </c>
      <c r="R289" s="2">
        <v>431.0</v>
      </c>
      <c r="S289" s="2">
        <v>6.0</v>
      </c>
      <c r="U289" s="2" t="s">
        <v>65</v>
      </c>
      <c r="W289" s="2" t="s">
        <v>65</v>
      </c>
      <c r="AC289" s="2" t="s">
        <v>65</v>
      </c>
      <c r="AD289" s="2" t="s">
        <v>65</v>
      </c>
      <c r="AF289" s="2" t="s">
        <v>65</v>
      </c>
    </row>
    <row r="290" hidden="1">
      <c r="A290" s="2" t="s">
        <v>5858</v>
      </c>
      <c r="B290" s="2" t="s">
        <v>5858</v>
      </c>
      <c r="C290" s="6">
        <v>43021.92501157407</v>
      </c>
      <c r="D290" s="2">
        <v>1.507932721E9</v>
      </c>
      <c r="E290" s="8" t="s">
        <v>5859</v>
      </c>
      <c r="F290" s="2" t="s">
        <v>5861</v>
      </c>
      <c r="G290" s="2" t="s">
        <v>5862</v>
      </c>
      <c r="H290" s="2" t="s">
        <v>5862</v>
      </c>
      <c r="I290" s="2">
        <v>1.5099384E7</v>
      </c>
      <c r="J290" s="8" t="s">
        <v>5863</v>
      </c>
      <c r="K290" s="8" t="s">
        <v>5864</v>
      </c>
      <c r="L290" s="2" t="b">
        <v>1</v>
      </c>
      <c r="M290" s="2" t="s">
        <v>5868</v>
      </c>
      <c r="N290" s="2" t="s">
        <v>4010</v>
      </c>
      <c r="O290" s="2" t="s">
        <v>65</v>
      </c>
      <c r="P290" s="2">
        <v>34.0</v>
      </c>
      <c r="Q290" s="2">
        <v>0.0</v>
      </c>
      <c r="R290" s="2">
        <v>77.0</v>
      </c>
      <c r="S290" s="2">
        <v>4.0</v>
      </c>
      <c r="U290" s="2" t="s">
        <v>65</v>
      </c>
      <c r="W290" s="2" t="s">
        <v>65</v>
      </c>
      <c r="AC290" s="2" t="s">
        <v>65</v>
      </c>
      <c r="AD290" s="2" t="s">
        <v>65</v>
      </c>
      <c r="AF290" s="2" t="s">
        <v>65</v>
      </c>
      <c r="AH290" s="8" t="s">
        <v>5869</v>
      </c>
    </row>
    <row r="291">
      <c r="A291" s="2" t="s">
        <v>2193</v>
      </c>
      <c r="B291" s="2" t="s">
        <v>2193</v>
      </c>
      <c r="C291" s="6">
        <v>45923.663622685184</v>
      </c>
      <c r="D291" s="2">
        <v>1.758642937E9</v>
      </c>
      <c r="E291" s="8" t="s">
        <v>2195</v>
      </c>
      <c r="F291" s="2" t="s">
        <v>2201</v>
      </c>
      <c r="G291" s="2" t="s">
        <v>2203</v>
      </c>
      <c r="H291" s="2" t="s">
        <v>2203</v>
      </c>
      <c r="I291" s="2">
        <v>9706822.0</v>
      </c>
      <c r="J291" s="8" t="s">
        <v>2204</v>
      </c>
      <c r="K291" s="8" t="s">
        <v>2211</v>
      </c>
      <c r="L291" s="2" t="b">
        <v>1</v>
      </c>
      <c r="M291" s="2" t="s">
        <v>2076</v>
      </c>
      <c r="N291" s="2" t="s">
        <v>64</v>
      </c>
      <c r="O291" s="2" t="s">
        <v>65</v>
      </c>
      <c r="P291" s="2">
        <v>0.0</v>
      </c>
      <c r="Q291" s="2">
        <v>0.0</v>
      </c>
      <c r="R291" s="2">
        <v>2.0</v>
      </c>
      <c r="S291" s="2">
        <v>0.0</v>
      </c>
      <c r="T291" s="2">
        <v>1639.0</v>
      </c>
      <c r="U291" s="2" t="s">
        <v>65</v>
      </c>
      <c r="W291" s="2" t="s">
        <v>65</v>
      </c>
      <c r="AC291" s="2" t="s">
        <v>65</v>
      </c>
      <c r="AD291" s="2" t="s">
        <v>65</v>
      </c>
      <c r="AF291" s="2" t="s">
        <v>65</v>
      </c>
      <c r="AH291" s="8" t="s">
        <v>2223</v>
      </c>
    </row>
    <row r="292">
      <c r="A292" s="2" t="s">
        <v>5890</v>
      </c>
      <c r="B292" s="2" t="s">
        <v>1666</v>
      </c>
      <c r="C292" s="6">
        <v>44887.69614583333</v>
      </c>
      <c r="D292" s="2">
        <v>1.669135347E9</v>
      </c>
      <c r="E292" s="8" t="s">
        <v>5891</v>
      </c>
      <c r="F292" s="2" t="s">
        <v>5892</v>
      </c>
      <c r="G292" s="2" t="s">
        <v>1670</v>
      </c>
      <c r="H292" s="2" t="s">
        <v>1671</v>
      </c>
      <c r="I292" s="2" t="s">
        <v>1672</v>
      </c>
      <c r="J292" s="8" t="s">
        <v>1673</v>
      </c>
      <c r="K292" s="8" t="s">
        <v>1675</v>
      </c>
      <c r="L292" s="2" t="b">
        <v>1</v>
      </c>
      <c r="M292" s="2" t="s">
        <v>85</v>
      </c>
      <c r="N292" s="2" t="s">
        <v>64</v>
      </c>
      <c r="O292" s="2" t="s">
        <v>65</v>
      </c>
      <c r="P292" s="2">
        <v>6.0</v>
      </c>
      <c r="Q292" s="2">
        <v>2.0</v>
      </c>
      <c r="R292" s="2">
        <v>189.0</v>
      </c>
      <c r="S292" s="2">
        <v>4.0</v>
      </c>
      <c r="U292" s="2" t="s">
        <v>65</v>
      </c>
      <c r="W292" s="2" t="s">
        <v>65</v>
      </c>
      <c r="AC292" s="2" t="s">
        <v>65</v>
      </c>
      <c r="AD292" s="2" t="s">
        <v>71</v>
      </c>
      <c r="AE292" s="2" t="s">
        <v>1670</v>
      </c>
      <c r="AF292" s="2" t="s">
        <v>65</v>
      </c>
    </row>
    <row r="293" hidden="1">
      <c r="A293" s="2" t="s">
        <v>5893</v>
      </c>
      <c r="B293" s="2" t="s">
        <v>5894</v>
      </c>
      <c r="C293" s="6">
        <v>45967.57381944444</v>
      </c>
      <c r="D293" s="2">
        <v>1.762436778E9</v>
      </c>
      <c r="E293" s="8" t="s">
        <v>5895</v>
      </c>
      <c r="F293" s="2" t="s">
        <v>5896</v>
      </c>
      <c r="G293" s="2" t="s">
        <v>5897</v>
      </c>
      <c r="H293" s="2" t="s">
        <v>5898</v>
      </c>
      <c r="I293" s="2" t="s">
        <v>5899</v>
      </c>
      <c r="J293" s="8" t="s">
        <v>5900</v>
      </c>
      <c r="K293" s="8" t="s">
        <v>5903</v>
      </c>
      <c r="L293" s="2" t="b">
        <v>0</v>
      </c>
      <c r="M293" s="2" t="s">
        <v>67</v>
      </c>
      <c r="N293" s="2" t="s">
        <v>68</v>
      </c>
      <c r="O293" s="2" t="s">
        <v>65</v>
      </c>
      <c r="P293" s="2">
        <v>0.0</v>
      </c>
      <c r="Q293" s="2">
        <v>1.0</v>
      </c>
      <c r="R293" s="2">
        <v>0.0</v>
      </c>
      <c r="S293" s="2">
        <v>0.0</v>
      </c>
      <c r="T293" s="2">
        <v>15.0</v>
      </c>
      <c r="U293" s="2" t="s">
        <v>65</v>
      </c>
      <c r="W293" s="2" t="s">
        <v>65</v>
      </c>
      <c r="AC293" s="2" t="s">
        <v>65</v>
      </c>
      <c r="AD293" s="2" t="s">
        <v>71</v>
      </c>
      <c r="AE293" s="2" t="s">
        <v>5908</v>
      </c>
      <c r="AF293" s="2" t="s">
        <v>65</v>
      </c>
      <c r="AK293" s="2" t="s">
        <v>5908</v>
      </c>
    </row>
    <row r="294">
      <c r="A294" s="2" t="s">
        <v>1610</v>
      </c>
      <c r="B294" s="2" t="s">
        <v>1610</v>
      </c>
      <c r="C294" s="6">
        <v>45941.750185185185</v>
      </c>
      <c r="D294" s="2">
        <v>1.760205616E9</v>
      </c>
      <c r="E294" s="8" t="s">
        <v>1611</v>
      </c>
      <c r="F294" s="2" t="s">
        <v>1618</v>
      </c>
      <c r="G294" s="2" t="s">
        <v>1619</v>
      </c>
      <c r="H294" s="2" t="s">
        <v>1620</v>
      </c>
      <c r="I294" s="2">
        <v>3.1093614E7</v>
      </c>
      <c r="J294" s="8" t="s">
        <v>1621</v>
      </c>
      <c r="K294" s="8" t="s">
        <v>1627</v>
      </c>
      <c r="L294" s="2" t="b">
        <v>0</v>
      </c>
      <c r="M294" s="2" t="s">
        <v>829</v>
      </c>
      <c r="N294" s="2" t="s">
        <v>64</v>
      </c>
      <c r="O294" s="2" t="s">
        <v>65</v>
      </c>
      <c r="P294" s="2">
        <v>0.0</v>
      </c>
      <c r="Q294" s="2">
        <v>0.0</v>
      </c>
      <c r="R294" s="2">
        <v>0.0</v>
      </c>
      <c r="S294" s="2">
        <v>0.0</v>
      </c>
      <c r="T294" s="2">
        <v>41.0</v>
      </c>
      <c r="U294" s="2" t="s">
        <v>65</v>
      </c>
      <c r="W294" s="2" t="s">
        <v>65</v>
      </c>
      <c r="AC294" s="2" t="s">
        <v>65</v>
      </c>
      <c r="AD294" s="2" t="s">
        <v>65</v>
      </c>
      <c r="AF294" s="2" t="s">
        <v>65</v>
      </c>
      <c r="AH294" s="8" t="s">
        <v>1630</v>
      </c>
      <c r="AI294" s="8" t="s">
        <v>1632</v>
      </c>
    </row>
    <row r="295" hidden="1">
      <c r="A295" s="2" t="s">
        <v>5925</v>
      </c>
      <c r="B295" s="2" t="s">
        <v>5925</v>
      </c>
      <c r="C295" s="6">
        <v>44440.57347222222</v>
      </c>
      <c r="D295" s="2">
        <v>1.630503948E9</v>
      </c>
      <c r="E295" s="8" t="s">
        <v>5930</v>
      </c>
      <c r="F295" s="2" t="s">
        <v>5932</v>
      </c>
      <c r="G295" s="2" t="s">
        <v>2321</v>
      </c>
      <c r="H295" s="2" t="s">
        <v>2438</v>
      </c>
      <c r="I295" s="2" t="s">
        <v>2440</v>
      </c>
      <c r="J295" s="8" t="s">
        <v>2441</v>
      </c>
      <c r="K295" s="8" t="s">
        <v>2444</v>
      </c>
      <c r="L295" s="2" t="b">
        <v>0</v>
      </c>
      <c r="M295" s="2" t="s">
        <v>85</v>
      </c>
      <c r="N295" s="2" t="s">
        <v>68</v>
      </c>
      <c r="O295" s="2" t="s">
        <v>65</v>
      </c>
      <c r="P295" s="2">
        <v>47.0</v>
      </c>
      <c r="Q295" s="2">
        <v>3.0</v>
      </c>
      <c r="R295" s="2">
        <v>293.0</v>
      </c>
      <c r="S295" s="2">
        <v>5.0</v>
      </c>
      <c r="U295" s="2" t="s">
        <v>65</v>
      </c>
      <c r="W295" s="2" t="s">
        <v>65</v>
      </c>
      <c r="AC295" s="2" t="s">
        <v>65</v>
      </c>
      <c r="AD295" s="2" t="s">
        <v>65</v>
      </c>
      <c r="AF295" s="2" t="s">
        <v>65</v>
      </c>
    </row>
    <row r="296" hidden="1">
      <c r="A296" s="2" t="s">
        <v>5933</v>
      </c>
      <c r="B296" s="2" t="s">
        <v>5933</v>
      </c>
      <c r="C296" s="6">
        <v>45970.799780092595</v>
      </c>
      <c r="D296" s="2">
        <v>1.762715501E9</v>
      </c>
      <c r="E296" s="8" t="s">
        <v>5934</v>
      </c>
      <c r="F296" s="2" t="s">
        <v>5936</v>
      </c>
      <c r="G296" s="2" t="s">
        <v>5937</v>
      </c>
      <c r="H296" s="2" t="s">
        <v>5938</v>
      </c>
      <c r="I296" s="2" t="s">
        <v>5939</v>
      </c>
      <c r="J296" s="8" t="s">
        <v>5940</v>
      </c>
      <c r="K296" s="8" t="s">
        <v>5941</v>
      </c>
      <c r="L296" s="2" t="b">
        <v>0</v>
      </c>
      <c r="M296" s="2" t="s">
        <v>67</v>
      </c>
      <c r="N296" s="2" t="s">
        <v>68</v>
      </c>
      <c r="O296" s="2" t="s">
        <v>65</v>
      </c>
      <c r="P296" s="2">
        <v>0.0</v>
      </c>
      <c r="Q296" s="2">
        <v>0.0</v>
      </c>
      <c r="R296" s="2">
        <v>1.0</v>
      </c>
      <c r="S296" s="2">
        <v>0.0</v>
      </c>
      <c r="T296" s="2">
        <v>37.0</v>
      </c>
      <c r="U296" s="2" t="s">
        <v>65</v>
      </c>
      <c r="W296" s="2" t="s">
        <v>65</v>
      </c>
      <c r="AC296" s="2" t="s">
        <v>65</v>
      </c>
      <c r="AD296" s="2" t="s">
        <v>65</v>
      </c>
      <c r="AF296" s="2" t="s">
        <v>65</v>
      </c>
    </row>
    <row r="297" hidden="1">
      <c r="A297" s="2" t="s">
        <v>5944</v>
      </c>
      <c r="B297" s="2" t="s">
        <v>5944</v>
      </c>
      <c r="C297" s="6">
        <v>44815.9378125</v>
      </c>
      <c r="D297" s="2">
        <v>1.662935427E9</v>
      </c>
      <c r="E297" s="8" t="s">
        <v>5945</v>
      </c>
      <c r="F297" s="2" t="s">
        <v>5946</v>
      </c>
      <c r="G297" s="2" t="s">
        <v>5947</v>
      </c>
      <c r="H297" s="2" t="s">
        <v>5949</v>
      </c>
      <c r="I297" s="2" t="s">
        <v>5950</v>
      </c>
      <c r="J297" s="8" t="s">
        <v>5951</v>
      </c>
      <c r="K297" s="8" t="s">
        <v>5953</v>
      </c>
      <c r="L297" s="2" t="b">
        <v>0</v>
      </c>
      <c r="M297" s="2" t="s">
        <v>67</v>
      </c>
      <c r="N297" s="2" t="s">
        <v>68</v>
      </c>
      <c r="O297" s="2" t="s">
        <v>65</v>
      </c>
      <c r="P297" s="2">
        <v>162.0</v>
      </c>
      <c r="Q297" s="2">
        <v>13.0</v>
      </c>
      <c r="R297" s="2">
        <v>673.0</v>
      </c>
      <c r="S297" s="2">
        <v>27.0</v>
      </c>
      <c r="U297" s="2" t="s">
        <v>65</v>
      </c>
      <c r="W297" s="2" t="s">
        <v>65</v>
      </c>
      <c r="AC297" s="2" t="s">
        <v>65</v>
      </c>
      <c r="AD297" s="2" t="s">
        <v>65</v>
      </c>
      <c r="AF297" s="2" t="s">
        <v>65</v>
      </c>
    </row>
    <row r="298" hidden="1">
      <c r="A298" s="2" t="s">
        <v>5957</v>
      </c>
      <c r="B298" s="2" t="s">
        <v>5957</v>
      </c>
      <c r="C298" s="6">
        <v>45971.606400462966</v>
      </c>
      <c r="D298" s="2">
        <v>1.762785193E9</v>
      </c>
      <c r="E298" s="8" t="s">
        <v>5960</v>
      </c>
      <c r="F298" s="2" t="s">
        <v>5962</v>
      </c>
      <c r="G298" s="2" t="s">
        <v>5963</v>
      </c>
      <c r="H298" s="2" t="s">
        <v>5964</v>
      </c>
      <c r="I298" s="2">
        <v>2.455362086E9</v>
      </c>
      <c r="J298" s="8" t="s">
        <v>5965</v>
      </c>
      <c r="K298" s="8" t="s">
        <v>5967</v>
      </c>
      <c r="L298" s="2" t="b">
        <v>0</v>
      </c>
      <c r="M298" s="2" t="s">
        <v>67</v>
      </c>
      <c r="N298" s="2" t="s">
        <v>68</v>
      </c>
      <c r="O298" s="2" t="s">
        <v>65</v>
      </c>
      <c r="P298" s="2">
        <v>0.0</v>
      </c>
      <c r="Q298" s="2">
        <v>0.0</v>
      </c>
      <c r="R298" s="2">
        <v>0.0</v>
      </c>
      <c r="S298" s="2">
        <v>0.0</v>
      </c>
      <c r="T298" s="2">
        <v>40.0</v>
      </c>
      <c r="U298" s="2" t="s">
        <v>65</v>
      </c>
      <c r="W298" s="2" t="s">
        <v>65</v>
      </c>
      <c r="AC298" s="2" t="s">
        <v>65</v>
      </c>
      <c r="AD298" s="2" t="s">
        <v>65</v>
      </c>
      <c r="AF298" s="2" t="s">
        <v>65</v>
      </c>
    </row>
    <row r="299" hidden="1">
      <c r="A299" s="2" t="s">
        <v>5970</v>
      </c>
      <c r="B299" s="2" t="s">
        <v>5789</v>
      </c>
      <c r="C299" s="6">
        <v>44533.79819444445</v>
      </c>
      <c r="D299" s="2">
        <v>1.638558564E9</v>
      </c>
      <c r="E299" s="8" t="s">
        <v>5971</v>
      </c>
      <c r="F299" s="2" t="s">
        <v>5972</v>
      </c>
      <c r="G299" s="2" t="s">
        <v>2321</v>
      </c>
      <c r="H299" s="2" t="s">
        <v>2438</v>
      </c>
      <c r="I299" s="2" t="s">
        <v>2440</v>
      </c>
      <c r="J299" s="8" t="s">
        <v>2441</v>
      </c>
      <c r="K299" s="8" t="s">
        <v>2444</v>
      </c>
      <c r="L299" s="2" t="b">
        <v>0</v>
      </c>
      <c r="M299" s="2" t="s">
        <v>85</v>
      </c>
      <c r="N299" s="2" t="s">
        <v>68</v>
      </c>
      <c r="O299" s="2" t="s">
        <v>65</v>
      </c>
      <c r="P299" s="2">
        <v>23.0</v>
      </c>
      <c r="Q299" s="2">
        <v>11.0</v>
      </c>
      <c r="R299" s="2">
        <v>215.0</v>
      </c>
      <c r="S299" s="2">
        <v>7.0</v>
      </c>
      <c r="U299" s="2" t="s">
        <v>65</v>
      </c>
      <c r="W299" s="2" t="s">
        <v>65</v>
      </c>
      <c r="AC299" s="2" t="s">
        <v>65</v>
      </c>
      <c r="AD299" s="2" t="s">
        <v>71</v>
      </c>
      <c r="AE299" s="2" t="s">
        <v>2321</v>
      </c>
      <c r="AF299" s="2" t="s">
        <v>65</v>
      </c>
    </row>
    <row r="300">
      <c r="A300" s="2" t="s">
        <v>5975</v>
      </c>
      <c r="B300" s="2" t="s">
        <v>5975</v>
      </c>
      <c r="C300" s="6">
        <v>45196.55194444444</v>
      </c>
      <c r="D300" s="2">
        <v>1.695820488E9</v>
      </c>
      <c r="E300" s="8" t="s">
        <v>5978</v>
      </c>
      <c r="F300" s="2" t="s">
        <v>5985</v>
      </c>
      <c r="G300" s="2" t="s">
        <v>5986</v>
      </c>
      <c r="H300" s="2" t="s">
        <v>5987</v>
      </c>
      <c r="I300" s="2" t="s">
        <v>5988</v>
      </c>
      <c r="J300" s="8" t="s">
        <v>5989</v>
      </c>
      <c r="K300" s="8" t="s">
        <v>5996</v>
      </c>
      <c r="L300" s="2" t="b">
        <v>1</v>
      </c>
      <c r="M300" s="2" t="s">
        <v>66</v>
      </c>
      <c r="N300" s="2" t="s">
        <v>64</v>
      </c>
      <c r="O300" s="2" t="s">
        <v>65</v>
      </c>
      <c r="P300" s="2">
        <v>26.0</v>
      </c>
      <c r="Q300" s="2">
        <v>6.0</v>
      </c>
      <c r="R300" s="2">
        <v>207.0</v>
      </c>
      <c r="S300" s="2">
        <v>6.0</v>
      </c>
      <c r="T300" s="2">
        <v>14749.0</v>
      </c>
      <c r="U300" s="2" t="s">
        <v>65</v>
      </c>
      <c r="W300" s="2" t="s">
        <v>65</v>
      </c>
      <c r="AC300" s="2" t="s">
        <v>65</v>
      </c>
      <c r="AD300" s="2" t="s">
        <v>65</v>
      </c>
      <c r="AF300" s="2" t="s">
        <v>65</v>
      </c>
      <c r="AI300" s="8" t="s">
        <v>6001</v>
      </c>
      <c r="AJ300" s="8" t="s">
        <v>6004</v>
      </c>
    </row>
    <row r="301" hidden="1">
      <c r="A301" s="2" t="s">
        <v>5139</v>
      </c>
      <c r="B301" s="2" t="s">
        <v>5139</v>
      </c>
      <c r="C301" s="6">
        <v>44459.06277777778</v>
      </c>
      <c r="D301" s="2">
        <v>1.632101424E9</v>
      </c>
      <c r="E301" s="8" t="s">
        <v>6008</v>
      </c>
      <c r="F301" s="2" t="s">
        <v>6011</v>
      </c>
      <c r="G301" s="2" t="s">
        <v>5143</v>
      </c>
      <c r="H301" s="2" t="s">
        <v>5144</v>
      </c>
      <c r="I301" s="2">
        <v>8.4368406E7</v>
      </c>
      <c r="J301" s="8" t="s">
        <v>5145</v>
      </c>
      <c r="K301" s="8" t="s">
        <v>5146</v>
      </c>
      <c r="L301" s="2" t="b">
        <v>0</v>
      </c>
      <c r="M301" s="2" t="s">
        <v>66</v>
      </c>
      <c r="N301" s="2" t="s">
        <v>68</v>
      </c>
      <c r="O301" s="2" t="s">
        <v>65</v>
      </c>
      <c r="P301" s="2">
        <v>444.0</v>
      </c>
      <c r="Q301" s="2">
        <v>21.0</v>
      </c>
      <c r="R301" s="2">
        <v>2501.0</v>
      </c>
      <c r="S301" s="2">
        <v>36.0</v>
      </c>
      <c r="U301" s="2" t="s">
        <v>65</v>
      </c>
      <c r="W301" s="2" t="s">
        <v>65</v>
      </c>
      <c r="AC301" s="2" t="s">
        <v>65</v>
      </c>
      <c r="AD301" s="2" t="s">
        <v>65</v>
      </c>
      <c r="AF301" s="2" t="s">
        <v>65</v>
      </c>
    </row>
    <row r="302">
      <c r="A302" s="2" t="s">
        <v>6012</v>
      </c>
      <c r="B302" s="2" t="s">
        <v>6012</v>
      </c>
      <c r="C302" s="6">
        <v>44566.32921296296</v>
      </c>
      <c r="D302" s="2">
        <v>1.641369244E9</v>
      </c>
      <c r="E302" s="8" t="s">
        <v>6013</v>
      </c>
      <c r="F302" s="2" t="s">
        <v>6016</v>
      </c>
      <c r="G302" s="2" t="s">
        <v>6017</v>
      </c>
      <c r="H302" s="2" t="s">
        <v>6018</v>
      </c>
      <c r="I302" s="2" t="s">
        <v>6019</v>
      </c>
      <c r="J302" s="8" t="s">
        <v>6020</v>
      </c>
      <c r="K302" s="8" t="s">
        <v>6022</v>
      </c>
      <c r="L302" s="2" t="b">
        <v>0</v>
      </c>
      <c r="M302" s="2" t="s">
        <v>67</v>
      </c>
      <c r="N302" s="2" t="s">
        <v>64</v>
      </c>
      <c r="O302" s="2" t="s">
        <v>65</v>
      </c>
      <c r="P302" s="2">
        <v>67.0</v>
      </c>
      <c r="Q302" s="2">
        <v>7.0</v>
      </c>
      <c r="R302" s="2">
        <v>651.0</v>
      </c>
      <c r="S302" s="2">
        <v>12.0</v>
      </c>
      <c r="U302" s="2" t="s">
        <v>65</v>
      </c>
      <c r="W302" s="2" t="s">
        <v>65</v>
      </c>
      <c r="AC302" s="2" t="s">
        <v>65</v>
      </c>
      <c r="AD302" s="2" t="s">
        <v>65</v>
      </c>
      <c r="AF302" s="2" t="s">
        <v>65</v>
      </c>
    </row>
    <row r="303">
      <c r="A303" s="2" t="s">
        <v>6028</v>
      </c>
      <c r="B303" s="2" t="s">
        <v>6028</v>
      </c>
      <c r="C303" s="6">
        <v>45331.2309837963</v>
      </c>
      <c r="D303" s="2">
        <v>1.707456757E9</v>
      </c>
      <c r="E303" s="8" t="s">
        <v>6031</v>
      </c>
      <c r="F303" s="2" t="s">
        <v>6033</v>
      </c>
      <c r="G303" s="2" t="s">
        <v>1516</v>
      </c>
      <c r="H303" s="2" t="s">
        <v>1517</v>
      </c>
      <c r="I303" s="2">
        <v>4.50310216E8</v>
      </c>
      <c r="J303" s="8" t="s">
        <v>1518</v>
      </c>
      <c r="K303" s="8" t="s">
        <v>1520</v>
      </c>
      <c r="L303" s="2" t="b">
        <v>0</v>
      </c>
      <c r="M303" s="2" t="s">
        <v>85</v>
      </c>
      <c r="N303" s="2" t="s">
        <v>64</v>
      </c>
      <c r="O303" s="2" t="s">
        <v>65</v>
      </c>
      <c r="P303" s="2">
        <v>102.0</v>
      </c>
      <c r="Q303" s="2">
        <v>5.0</v>
      </c>
      <c r="R303" s="2">
        <v>353.0</v>
      </c>
      <c r="S303" s="2">
        <v>5.0</v>
      </c>
      <c r="T303" s="2">
        <v>33478.0</v>
      </c>
      <c r="U303" s="2" t="s">
        <v>65</v>
      </c>
      <c r="W303" s="2" t="s">
        <v>65</v>
      </c>
      <c r="AC303" s="2" t="s">
        <v>65</v>
      </c>
      <c r="AD303" s="2" t="s">
        <v>65</v>
      </c>
      <c r="AF303" s="2" t="s">
        <v>65</v>
      </c>
    </row>
    <row r="304" hidden="1">
      <c r="A304" s="2" t="s">
        <v>6036</v>
      </c>
      <c r="B304" s="2" t="s">
        <v>6038</v>
      </c>
      <c r="C304" s="6">
        <v>44294.80511574074</v>
      </c>
      <c r="D304" s="2">
        <v>1.617909562E9</v>
      </c>
      <c r="E304" s="8" t="s">
        <v>6039</v>
      </c>
      <c r="F304" s="2" t="s">
        <v>6040</v>
      </c>
      <c r="G304" s="2" t="s">
        <v>6041</v>
      </c>
      <c r="H304" s="2" t="s">
        <v>6042</v>
      </c>
      <c r="I304" s="2" t="s">
        <v>6043</v>
      </c>
      <c r="J304" s="8" t="s">
        <v>6044</v>
      </c>
      <c r="K304" s="8" t="s">
        <v>6048</v>
      </c>
      <c r="L304" s="2" t="b">
        <v>0</v>
      </c>
      <c r="M304" s="2" t="s">
        <v>85</v>
      </c>
      <c r="N304" s="2" t="s">
        <v>68</v>
      </c>
      <c r="O304" s="2" t="s">
        <v>65</v>
      </c>
      <c r="P304" s="2">
        <v>31.0</v>
      </c>
      <c r="Q304" s="2">
        <v>2.0</v>
      </c>
      <c r="R304" s="2">
        <v>286.0</v>
      </c>
      <c r="S304" s="2">
        <v>5.0</v>
      </c>
      <c r="U304" s="2" t="s">
        <v>65</v>
      </c>
      <c r="W304" s="2" t="s">
        <v>65</v>
      </c>
      <c r="AC304" s="2" t="s">
        <v>65</v>
      </c>
      <c r="AD304" s="2" t="s">
        <v>71</v>
      </c>
      <c r="AE304" s="2" t="s">
        <v>6041</v>
      </c>
      <c r="AF304" s="2" t="s">
        <v>65</v>
      </c>
    </row>
    <row r="305" hidden="1">
      <c r="A305" s="2" t="s">
        <v>6049</v>
      </c>
      <c r="B305" s="2" t="s">
        <v>6049</v>
      </c>
      <c r="C305" s="6">
        <v>44594.549108796295</v>
      </c>
      <c r="D305" s="2">
        <v>1.643807443E9</v>
      </c>
      <c r="E305" s="8" t="s">
        <v>6050</v>
      </c>
      <c r="F305" s="2" t="s">
        <v>6054</v>
      </c>
      <c r="G305" s="2" t="s">
        <v>6055</v>
      </c>
      <c r="H305" s="2" t="s">
        <v>6056</v>
      </c>
      <c r="I305" s="2" t="s">
        <v>6057</v>
      </c>
      <c r="J305" s="8" t="s">
        <v>6058</v>
      </c>
      <c r="K305" s="8" t="s">
        <v>6062</v>
      </c>
      <c r="L305" s="2" t="b">
        <v>0</v>
      </c>
      <c r="M305" s="2" t="s">
        <v>67</v>
      </c>
      <c r="N305" s="2" t="s">
        <v>68</v>
      </c>
      <c r="O305" s="2" t="s">
        <v>65</v>
      </c>
      <c r="P305" s="2">
        <v>20.0</v>
      </c>
      <c r="Q305" s="2">
        <v>5.0</v>
      </c>
      <c r="R305" s="2">
        <v>213.0</v>
      </c>
      <c r="S305" s="2">
        <v>5.0</v>
      </c>
      <c r="U305" s="2" t="s">
        <v>65</v>
      </c>
      <c r="W305" s="2" t="s">
        <v>65</v>
      </c>
      <c r="AC305" s="2" t="s">
        <v>65</v>
      </c>
      <c r="AD305" s="2" t="s">
        <v>65</v>
      </c>
      <c r="AF305" s="2" t="s">
        <v>65</v>
      </c>
      <c r="AG305" s="2" t="s">
        <v>6067</v>
      </c>
    </row>
    <row r="306">
      <c r="A306" s="2" t="s">
        <v>6069</v>
      </c>
      <c r="B306" s="2" t="s">
        <v>6069</v>
      </c>
      <c r="C306" s="6">
        <v>42610.61800925926</v>
      </c>
      <c r="D306" s="2">
        <v>1.472395796E9</v>
      </c>
      <c r="E306" s="8" t="s">
        <v>6073</v>
      </c>
      <c r="F306" s="2" t="s">
        <v>6076</v>
      </c>
      <c r="G306" s="2" t="s">
        <v>6077</v>
      </c>
      <c r="H306" s="2" t="s">
        <v>6078</v>
      </c>
      <c r="I306" s="2">
        <v>8.47786501E8</v>
      </c>
      <c r="J306" s="8" t="s">
        <v>6079</v>
      </c>
      <c r="K306" s="8" t="s">
        <v>6085</v>
      </c>
      <c r="L306" s="2" t="b">
        <v>0</v>
      </c>
      <c r="M306" s="2" t="s">
        <v>67</v>
      </c>
      <c r="N306" s="2" t="s">
        <v>64</v>
      </c>
      <c r="O306" s="2" t="s">
        <v>65</v>
      </c>
      <c r="P306" s="2">
        <v>50.0</v>
      </c>
      <c r="Q306" s="2">
        <v>1.0</v>
      </c>
      <c r="R306" s="2">
        <v>97.0</v>
      </c>
      <c r="S306" s="2">
        <v>1.0</v>
      </c>
      <c r="U306" s="2" t="s">
        <v>65</v>
      </c>
      <c r="W306" s="2" t="s">
        <v>65</v>
      </c>
      <c r="AC306" s="2" t="s">
        <v>65</v>
      </c>
      <c r="AD306" s="2" t="s">
        <v>65</v>
      </c>
      <c r="AF306" s="2" t="s">
        <v>65</v>
      </c>
      <c r="AG306" s="2" t="s">
        <v>6092</v>
      </c>
      <c r="AI306" s="8" t="s">
        <v>6093</v>
      </c>
    </row>
    <row r="307">
      <c r="A307" s="2" t="s">
        <v>6095</v>
      </c>
      <c r="B307" s="2" t="s">
        <v>6095</v>
      </c>
      <c r="C307" s="6">
        <v>44464.062048611115</v>
      </c>
      <c r="D307" s="2">
        <v>1.632533361E9</v>
      </c>
      <c r="E307" s="8" t="s">
        <v>6098</v>
      </c>
      <c r="F307" s="2" t="s">
        <v>6100</v>
      </c>
      <c r="G307" s="2" t="s">
        <v>5735</v>
      </c>
      <c r="H307" s="2" t="s">
        <v>5736</v>
      </c>
      <c r="I307" s="2">
        <v>3.4396735E7</v>
      </c>
      <c r="J307" s="8" t="s">
        <v>5737</v>
      </c>
      <c r="K307" s="8" t="s">
        <v>5739</v>
      </c>
      <c r="L307" s="2" t="b">
        <v>0</v>
      </c>
      <c r="M307" s="2" t="s">
        <v>85</v>
      </c>
      <c r="N307" s="2" t="s">
        <v>64</v>
      </c>
      <c r="O307" s="2" t="s">
        <v>65</v>
      </c>
      <c r="P307" s="2">
        <v>158.0</v>
      </c>
      <c r="Q307" s="2">
        <v>7.0</v>
      </c>
      <c r="R307" s="2">
        <v>1091.0</v>
      </c>
      <c r="S307" s="2">
        <v>15.0</v>
      </c>
      <c r="U307" s="2" t="s">
        <v>65</v>
      </c>
      <c r="W307" s="2" t="s">
        <v>65</v>
      </c>
      <c r="AC307" s="2" t="s">
        <v>65</v>
      </c>
      <c r="AD307" s="2" t="s">
        <v>65</v>
      </c>
      <c r="AF307" s="2" t="s">
        <v>65</v>
      </c>
    </row>
    <row r="308">
      <c r="A308" s="2" t="s">
        <v>6106</v>
      </c>
      <c r="B308" s="2" t="s">
        <v>6106</v>
      </c>
      <c r="C308" s="6">
        <v>45185.07662037037</v>
      </c>
      <c r="D308" s="2">
        <v>1.69482902E9</v>
      </c>
      <c r="E308" s="8" t="s">
        <v>6107</v>
      </c>
      <c r="F308" s="2" t="s">
        <v>6110</v>
      </c>
      <c r="G308" s="2" t="s">
        <v>3906</v>
      </c>
      <c r="H308" s="2" t="s">
        <v>3908</v>
      </c>
      <c r="I308" s="2">
        <v>1.349849582E9</v>
      </c>
      <c r="J308" s="8" t="s">
        <v>3909</v>
      </c>
      <c r="K308" s="8" t="s">
        <v>3911</v>
      </c>
      <c r="L308" s="2" t="b">
        <v>1</v>
      </c>
      <c r="M308" s="2" t="s">
        <v>85</v>
      </c>
      <c r="N308" s="2" t="s">
        <v>64</v>
      </c>
      <c r="O308" s="2" t="s">
        <v>65</v>
      </c>
      <c r="P308" s="2">
        <v>7.0</v>
      </c>
      <c r="Q308" s="2">
        <v>11.0</v>
      </c>
      <c r="R308" s="2">
        <v>500.0</v>
      </c>
      <c r="S308" s="2">
        <v>1.0</v>
      </c>
      <c r="T308" s="2">
        <v>36526.0</v>
      </c>
      <c r="U308" s="2" t="s">
        <v>65</v>
      </c>
      <c r="W308" s="2" t="s">
        <v>65</v>
      </c>
      <c r="AC308" s="2" t="s">
        <v>65</v>
      </c>
      <c r="AD308" s="2" t="s">
        <v>65</v>
      </c>
      <c r="AF308" s="2" t="s">
        <v>65</v>
      </c>
      <c r="AI308" s="8" t="s">
        <v>6112</v>
      </c>
    </row>
    <row r="309">
      <c r="A309" s="2" t="s">
        <v>6119</v>
      </c>
      <c r="B309" s="2" t="s">
        <v>6119</v>
      </c>
      <c r="C309" s="6">
        <v>45953.407002314816</v>
      </c>
      <c r="D309" s="2">
        <v>1.761212765E9</v>
      </c>
      <c r="E309" s="8" t="s">
        <v>6122</v>
      </c>
      <c r="F309" s="2" t="s">
        <v>6123</v>
      </c>
      <c r="G309" s="2" t="s">
        <v>6124</v>
      </c>
      <c r="H309" s="2" t="s">
        <v>6125</v>
      </c>
      <c r="I309" s="2" t="s">
        <v>6126</v>
      </c>
      <c r="J309" s="8" t="s">
        <v>6127</v>
      </c>
      <c r="L309" s="2" t="b">
        <v>0</v>
      </c>
      <c r="M309" s="2" t="s">
        <v>66</v>
      </c>
      <c r="N309" s="2" t="s">
        <v>64</v>
      </c>
      <c r="O309" s="2" t="s">
        <v>65</v>
      </c>
      <c r="P309" s="2">
        <v>0.0</v>
      </c>
      <c r="Q309" s="2">
        <v>0.0</v>
      </c>
      <c r="R309" s="2">
        <v>0.0</v>
      </c>
      <c r="S309" s="2">
        <v>0.0</v>
      </c>
      <c r="T309" s="2">
        <v>2.0</v>
      </c>
      <c r="U309" s="2" t="s">
        <v>65</v>
      </c>
      <c r="W309" s="2" t="s">
        <v>65</v>
      </c>
      <c r="AC309" s="2" t="s">
        <v>65</v>
      </c>
      <c r="AD309" s="2" t="s">
        <v>65</v>
      </c>
      <c r="AF309" s="2" t="s">
        <v>65</v>
      </c>
      <c r="AH309" s="8" t="s">
        <v>6129</v>
      </c>
      <c r="AI309" s="8" t="s">
        <v>6131</v>
      </c>
    </row>
    <row r="310">
      <c r="A310" s="2" t="s">
        <v>6134</v>
      </c>
      <c r="B310" s="2" t="s">
        <v>6135</v>
      </c>
      <c r="C310" s="6">
        <v>42035.70064814815</v>
      </c>
      <c r="D310" s="2">
        <v>1.422722936E9</v>
      </c>
      <c r="E310" s="8" t="s">
        <v>6136</v>
      </c>
      <c r="F310" s="2" t="s">
        <v>6138</v>
      </c>
      <c r="G310" s="2" t="s">
        <v>6139</v>
      </c>
      <c r="H310" s="2" t="s">
        <v>6139</v>
      </c>
      <c r="I310" s="2">
        <v>2.401547372E9</v>
      </c>
      <c r="J310" s="8" t="s">
        <v>6140</v>
      </c>
      <c r="K310" s="8" t="s">
        <v>6142</v>
      </c>
      <c r="L310" s="2" t="b">
        <v>0</v>
      </c>
      <c r="M310" s="2" t="s">
        <v>85</v>
      </c>
      <c r="N310" s="2" t="s">
        <v>64</v>
      </c>
      <c r="O310" s="2" t="s">
        <v>65</v>
      </c>
      <c r="P310" s="2">
        <v>48.0</v>
      </c>
      <c r="Q310" s="2">
        <v>15.0</v>
      </c>
      <c r="R310" s="2">
        <v>116.0</v>
      </c>
      <c r="S310" s="2">
        <v>0.0</v>
      </c>
      <c r="U310" s="2" t="s">
        <v>65</v>
      </c>
      <c r="W310" s="2" t="s">
        <v>65</v>
      </c>
      <c r="AC310" s="2" t="s">
        <v>65</v>
      </c>
      <c r="AD310" s="2" t="s">
        <v>71</v>
      </c>
      <c r="AE310" s="2" t="s">
        <v>6146</v>
      </c>
      <c r="AF310" s="2" t="s">
        <v>65</v>
      </c>
      <c r="AG310" s="2" t="s">
        <v>1582</v>
      </c>
      <c r="AH310" s="8" t="s">
        <v>6148</v>
      </c>
      <c r="AI310" s="8" t="s">
        <v>6153</v>
      </c>
      <c r="AK310" s="2" t="s">
        <v>6156</v>
      </c>
    </row>
    <row r="311" hidden="1">
      <c r="A311" s="2" t="s">
        <v>6157</v>
      </c>
      <c r="B311" s="2" t="s">
        <v>6157</v>
      </c>
      <c r="C311" s="6">
        <v>45345.72607638889</v>
      </c>
      <c r="D311" s="2">
        <v>1.708709133E9</v>
      </c>
      <c r="E311" s="8" t="s">
        <v>6159</v>
      </c>
      <c r="F311" s="2" t="s">
        <v>6162</v>
      </c>
      <c r="G311" s="2" t="s">
        <v>6163</v>
      </c>
      <c r="H311" s="2" t="s">
        <v>6164</v>
      </c>
      <c r="I311" s="2" t="s">
        <v>6165</v>
      </c>
      <c r="J311" s="8" t="s">
        <v>6166</v>
      </c>
      <c r="K311" s="8" t="s">
        <v>6172</v>
      </c>
      <c r="L311" s="2" t="b">
        <v>0</v>
      </c>
      <c r="M311" s="2" t="s">
        <v>66</v>
      </c>
      <c r="N311" s="2" t="s">
        <v>68</v>
      </c>
      <c r="O311" s="2" t="s">
        <v>65</v>
      </c>
      <c r="P311" s="2">
        <v>461.0</v>
      </c>
      <c r="Q311" s="2">
        <v>5.0</v>
      </c>
      <c r="R311" s="2">
        <v>2202.0</v>
      </c>
      <c r="S311" s="2">
        <v>15.0</v>
      </c>
      <c r="T311" s="2">
        <v>25738.0</v>
      </c>
      <c r="U311" s="2" t="s">
        <v>65</v>
      </c>
      <c r="W311" s="2" t="s">
        <v>65</v>
      </c>
      <c r="AC311" s="2" t="s">
        <v>65</v>
      </c>
      <c r="AD311" s="2" t="s">
        <v>65</v>
      </c>
      <c r="AF311" s="2" t="s">
        <v>65</v>
      </c>
    </row>
    <row r="312">
      <c r="A312" s="2" t="s">
        <v>2634</v>
      </c>
      <c r="B312" s="2" t="s">
        <v>2634</v>
      </c>
      <c r="C312" s="6">
        <v>45913.333344907405</v>
      </c>
      <c r="D312" s="2">
        <v>1.757750401E9</v>
      </c>
      <c r="E312" s="8" t="s">
        <v>2635</v>
      </c>
      <c r="F312" s="2" t="s">
        <v>2638</v>
      </c>
      <c r="G312" s="2" t="s">
        <v>2639</v>
      </c>
      <c r="H312" s="2" t="s">
        <v>2640</v>
      </c>
      <c r="I312" s="2">
        <v>1.5019391E7</v>
      </c>
      <c r="J312" s="8" t="s">
        <v>2641</v>
      </c>
      <c r="K312" s="8" t="s">
        <v>2643</v>
      </c>
      <c r="L312" s="2" t="b">
        <v>1</v>
      </c>
      <c r="M312" s="2" t="s">
        <v>2646</v>
      </c>
      <c r="N312" s="2" t="s">
        <v>64</v>
      </c>
      <c r="O312" s="2" t="s">
        <v>65</v>
      </c>
      <c r="P312" s="2">
        <v>1.0</v>
      </c>
      <c r="Q312" s="2">
        <v>0.0</v>
      </c>
      <c r="R312" s="2">
        <v>2.0</v>
      </c>
      <c r="S312" s="2">
        <v>0.0</v>
      </c>
      <c r="T312" s="2">
        <v>1558.0</v>
      </c>
      <c r="U312" s="2" t="s">
        <v>65</v>
      </c>
      <c r="W312" s="2" t="s">
        <v>65</v>
      </c>
      <c r="AC312" s="2" t="s">
        <v>65</v>
      </c>
      <c r="AD312" s="2" t="s">
        <v>65</v>
      </c>
      <c r="AF312" s="2" t="s">
        <v>65</v>
      </c>
      <c r="AI312" s="8" t="s">
        <v>2647</v>
      </c>
    </row>
    <row r="313">
      <c r="A313" s="2" t="s">
        <v>2124</v>
      </c>
      <c r="B313" s="2" t="s">
        <v>2124</v>
      </c>
      <c r="C313" s="6">
        <v>45923.66365740741</v>
      </c>
      <c r="D313" s="2">
        <v>1.75864294E9</v>
      </c>
      <c r="E313" s="8" t="s">
        <v>2128</v>
      </c>
      <c r="F313" s="2" t="s">
        <v>2130</v>
      </c>
      <c r="G313" s="2" t="s">
        <v>2131</v>
      </c>
      <c r="H313" s="2" t="s">
        <v>2132</v>
      </c>
      <c r="I313" s="2" t="s">
        <v>2133</v>
      </c>
      <c r="J313" s="8" t="s">
        <v>2134</v>
      </c>
      <c r="K313" s="8" t="s">
        <v>2139</v>
      </c>
      <c r="L313" s="2" t="b">
        <v>0</v>
      </c>
      <c r="M313" s="2" t="s">
        <v>2076</v>
      </c>
      <c r="N313" s="2" t="s">
        <v>64</v>
      </c>
      <c r="O313" s="2" t="s">
        <v>65</v>
      </c>
      <c r="P313" s="2">
        <v>0.0</v>
      </c>
      <c r="Q313" s="2">
        <v>0.0</v>
      </c>
      <c r="R313" s="2">
        <v>0.0</v>
      </c>
      <c r="S313" s="2">
        <v>0.0</v>
      </c>
      <c r="T313" s="2">
        <v>44.0</v>
      </c>
      <c r="U313" s="2" t="s">
        <v>65</v>
      </c>
      <c r="W313" s="2" t="s">
        <v>65</v>
      </c>
      <c r="AC313" s="2" t="s">
        <v>65</v>
      </c>
      <c r="AD313" s="2" t="s">
        <v>65</v>
      </c>
      <c r="AF313" s="2" t="s">
        <v>65</v>
      </c>
      <c r="AH313" s="8" t="s">
        <v>2144</v>
      </c>
    </row>
    <row r="314">
      <c r="A314" s="2" t="s">
        <v>6216</v>
      </c>
      <c r="B314" s="2" t="s">
        <v>6216</v>
      </c>
      <c r="C314" s="6">
        <v>45973.861122685186</v>
      </c>
      <c r="D314" s="2">
        <v>1.762980001E9</v>
      </c>
      <c r="E314" s="8" t="s">
        <v>6217</v>
      </c>
      <c r="F314" s="2" t="s">
        <v>6223</v>
      </c>
      <c r="G314" s="2" t="s">
        <v>6224</v>
      </c>
      <c r="H314" s="8" t="s">
        <v>6226</v>
      </c>
      <c r="I314" s="2">
        <v>8.1986272E7</v>
      </c>
      <c r="J314" s="8" t="s">
        <v>6232</v>
      </c>
      <c r="K314" s="8" t="s">
        <v>6235</v>
      </c>
      <c r="L314" s="2" t="b">
        <v>1</v>
      </c>
      <c r="M314" s="2" t="s">
        <v>606</v>
      </c>
      <c r="N314" s="2" t="s">
        <v>64</v>
      </c>
      <c r="O314" s="2" t="s">
        <v>65</v>
      </c>
      <c r="P314" s="2">
        <v>0.0</v>
      </c>
      <c r="Q314" s="2">
        <v>0.0</v>
      </c>
      <c r="R314" s="2">
        <v>0.0</v>
      </c>
      <c r="S314" s="2">
        <v>0.0</v>
      </c>
      <c r="T314" s="2">
        <v>802.0</v>
      </c>
      <c r="U314" s="2" t="s">
        <v>65</v>
      </c>
      <c r="W314" s="2" t="s">
        <v>65</v>
      </c>
      <c r="AC314" s="2" t="s">
        <v>65</v>
      </c>
      <c r="AD314" s="2" t="s">
        <v>65</v>
      </c>
      <c r="AF314" s="2" t="s">
        <v>65</v>
      </c>
      <c r="AG314" s="2" t="s">
        <v>6245</v>
      </c>
      <c r="AH314" s="8" t="s">
        <v>6246</v>
      </c>
    </row>
    <row r="315">
      <c r="A315" s="2" t="s">
        <v>6254</v>
      </c>
      <c r="B315" s="2" t="s">
        <v>6254</v>
      </c>
      <c r="C315" s="6">
        <v>44734.05747685185</v>
      </c>
      <c r="D315" s="2">
        <v>1.655860966E9</v>
      </c>
      <c r="E315" s="8" t="s">
        <v>6255</v>
      </c>
      <c r="F315" s="2" t="s">
        <v>6257</v>
      </c>
      <c r="G315" s="2" t="s">
        <v>655</v>
      </c>
      <c r="H315" s="2" t="s">
        <v>656</v>
      </c>
      <c r="I315" s="2">
        <v>5.6708199E7</v>
      </c>
      <c r="J315" s="8" t="s">
        <v>658</v>
      </c>
      <c r="K315" s="8" t="s">
        <v>666</v>
      </c>
      <c r="L315" s="2" t="b">
        <v>0</v>
      </c>
      <c r="M315" s="2" t="s">
        <v>66</v>
      </c>
      <c r="N315" s="2" t="s">
        <v>64</v>
      </c>
      <c r="O315" s="2" t="s">
        <v>65</v>
      </c>
      <c r="P315" s="2">
        <v>113.0</v>
      </c>
      <c r="Q315" s="2">
        <v>16.0</v>
      </c>
      <c r="R315" s="2">
        <v>441.0</v>
      </c>
      <c r="S315" s="2">
        <v>4.0</v>
      </c>
      <c r="U315" s="2" t="s">
        <v>65</v>
      </c>
      <c r="W315" s="2" t="s">
        <v>65</v>
      </c>
      <c r="AC315" s="2" t="s">
        <v>65</v>
      </c>
      <c r="AD315" s="2" t="s">
        <v>65</v>
      </c>
      <c r="AF315" s="2" t="s">
        <v>65</v>
      </c>
      <c r="AI315" s="8" t="s">
        <v>6260</v>
      </c>
    </row>
    <row r="316">
      <c r="A316" s="2" t="s">
        <v>2101</v>
      </c>
      <c r="B316" s="2" t="s">
        <v>2101</v>
      </c>
      <c r="C316" s="6">
        <v>45923.66365740741</v>
      </c>
      <c r="D316" s="2">
        <v>1.75864294E9</v>
      </c>
      <c r="E316" s="8" t="s">
        <v>2102</v>
      </c>
      <c r="F316" s="2" t="s">
        <v>2109</v>
      </c>
      <c r="G316" s="2" t="s">
        <v>2110</v>
      </c>
      <c r="H316" s="2" t="s">
        <v>2111</v>
      </c>
      <c r="I316" s="2">
        <v>1.87948082E8</v>
      </c>
      <c r="J316" s="8" t="s">
        <v>2112</v>
      </c>
      <c r="K316" s="8" t="s">
        <v>2115</v>
      </c>
      <c r="L316" s="2" t="b">
        <v>0</v>
      </c>
      <c r="M316" s="2" t="s">
        <v>2076</v>
      </c>
      <c r="N316" s="2" t="s">
        <v>64</v>
      </c>
      <c r="O316" s="2" t="s">
        <v>65</v>
      </c>
      <c r="P316" s="2">
        <v>0.0</v>
      </c>
      <c r="Q316" s="2">
        <v>0.0</v>
      </c>
      <c r="R316" s="2">
        <v>0.0</v>
      </c>
      <c r="S316" s="2">
        <v>0.0</v>
      </c>
      <c r="T316" s="2">
        <v>46.0</v>
      </c>
      <c r="U316" s="2" t="s">
        <v>65</v>
      </c>
      <c r="W316" s="2" t="s">
        <v>65</v>
      </c>
      <c r="AC316" s="2" t="s">
        <v>65</v>
      </c>
      <c r="AD316" s="2" t="s">
        <v>65</v>
      </c>
      <c r="AF316" s="2" t="s">
        <v>65</v>
      </c>
      <c r="AH316" s="8" t="s">
        <v>2121</v>
      </c>
    </row>
    <row r="317">
      <c r="A317" s="2" t="s">
        <v>6291</v>
      </c>
      <c r="B317" s="2" t="s">
        <v>6291</v>
      </c>
      <c r="C317" s="6">
        <v>45973.61145833333</v>
      </c>
      <c r="D317" s="2">
        <v>1.76295843E9</v>
      </c>
      <c r="E317" s="8" t="s">
        <v>6292</v>
      </c>
      <c r="F317" s="2" t="s">
        <v>6299</v>
      </c>
      <c r="G317" s="2" t="s">
        <v>986</v>
      </c>
      <c r="H317" s="2" t="s">
        <v>987</v>
      </c>
      <c r="I317" s="2" t="s">
        <v>988</v>
      </c>
      <c r="J317" s="8" t="s">
        <v>989</v>
      </c>
      <c r="K317" s="8" t="s">
        <v>991</v>
      </c>
      <c r="L317" s="2" t="b">
        <v>0</v>
      </c>
      <c r="M317" s="2" t="s">
        <v>66</v>
      </c>
      <c r="N317" s="2" t="s">
        <v>64</v>
      </c>
      <c r="O317" s="2" t="s">
        <v>65</v>
      </c>
      <c r="P317" s="2">
        <v>5.0</v>
      </c>
      <c r="Q317" s="2">
        <v>0.0</v>
      </c>
      <c r="R317" s="2">
        <v>11.0</v>
      </c>
      <c r="S317" s="2">
        <v>1.0</v>
      </c>
      <c r="T317" s="2">
        <v>283.0</v>
      </c>
      <c r="U317" s="2" t="s">
        <v>65</v>
      </c>
      <c r="W317" s="2" t="s">
        <v>65</v>
      </c>
      <c r="AC317" s="2" t="s">
        <v>65</v>
      </c>
      <c r="AD317" s="2" t="s">
        <v>65</v>
      </c>
      <c r="AF317" s="2" t="s">
        <v>65</v>
      </c>
      <c r="AH317" s="8" t="s">
        <v>6301</v>
      </c>
    </row>
    <row r="318" hidden="1">
      <c r="A318" s="2" t="s">
        <v>6309</v>
      </c>
      <c r="B318" s="2" t="s">
        <v>6309</v>
      </c>
      <c r="C318" s="6">
        <v>44294.09668981482</v>
      </c>
      <c r="D318" s="2">
        <v>1.617848354E9</v>
      </c>
      <c r="E318" s="8" t="s">
        <v>6313</v>
      </c>
      <c r="F318" s="2" t="s">
        <v>6318</v>
      </c>
      <c r="G318" s="2" t="s">
        <v>2321</v>
      </c>
      <c r="H318" s="2" t="s">
        <v>2438</v>
      </c>
      <c r="I318" s="2" t="s">
        <v>2440</v>
      </c>
      <c r="J318" s="8" t="s">
        <v>2441</v>
      </c>
      <c r="K318" s="8" t="s">
        <v>2444</v>
      </c>
      <c r="L318" s="2" t="b">
        <v>0</v>
      </c>
      <c r="M318" s="2" t="s">
        <v>85</v>
      </c>
      <c r="N318" s="2" t="s">
        <v>68</v>
      </c>
      <c r="O318" s="2" t="s">
        <v>65</v>
      </c>
      <c r="P318" s="2">
        <v>171.0</v>
      </c>
      <c r="Q318" s="2">
        <v>49.0</v>
      </c>
      <c r="R318" s="2">
        <v>678.0</v>
      </c>
      <c r="S318" s="2">
        <v>36.0</v>
      </c>
      <c r="U318" s="2" t="s">
        <v>65</v>
      </c>
      <c r="W318" s="2" t="s">
        <v>71</v>
      </c>
      <c r="X318" s="2" t="s">
        <v>6320</v>
      </c>
      <c r="Y318" s="2" t="s">
        <v>6321</v>
      </c>
      <c r="Z318" s="2" t="s">
        <v>6322</v>
      </c>
      <c r="AA318" s="8" t="s">
        <v>6323</v>
      </c>
      <c r="AC318" s="2" t="s">
        <v>65</v>
      </c>
      <c r="AD318" s="2" t="s">
        <v>65</v>
      </c>
      <c r="AF318" s="2" t="s">
        <v>65</v>
      </c>
    </row>
    <row r="319" hidden="1">
      <c r="A319" s="2" t="s">
        <v>6334</v>
      </c>
      <c r="B319" s="2" t="s">
        <v>6335</v>
      </c>
      <c r="C319" s="6">
        <v>45178.66836805556</v>
      </c>
      <c r="D319" s="2">
        <v>1.694275347E9</v>
      </c>
      <c r="E319" s="8" t="s">
        <v>6336</v>
      </c>
      <c r="F319" s="2" t="s">
        <v>6340</v>
      </c>
      <c r="G319" s="2" t="s">
        <v>6341</v>
      </c>
      <c r="H319" s="2" t="s">
        <v>6342</v>
      </c>
      <c r="I319" s="2" t="s">
        <v>6343</v>
      </c>
      <c r="J319" s="8" t="s">
        <v>6344</v>
      </c>
      <c r="K319" s="8" t="s">
        <v>6353</v>
      </c>
      <c r="L319" s="2" t="b">
        <v>0</v>
      </c>
      <c r="M319" s="2" t="s">
        <v>67</v>
      </c>
      <c r="N319" s="2" t="s">
        <v>68</v>
      </c>
      <c r="O319" s="2" t="s">
        <v>65</v>
      </c>
      <c r="P319" s="2">
        <v>23.0</v>
      </c>
      <c r="Q319" s="2">
        <v>0.0</v>
      </c>
      <c r="R319" s="2">
        <v>932.0</v>
      </c>
      <c r="S319" s="2">
        <v>2.0</v>
      </c>
      <c r="T319" s="2">
        <v>65850.0</v>
      </c>
      <c r="U319" s="2" t="s">
        <v>65</v>
      </c>
      <c r="W319" s="2" t="s">
        <v>65</v>
      </c>
      <c r="AC319" s="2" t="s">
        <v>65</v>
      </c>
      <c r="AD319" s="2" t="s">
        <v>71</v>
      </c>
      <c r="AF319" s="2" t="s">
        <v>65</v>
      </c>
      <c r="AK319" s="2" t="s">
        <v>6360</v>
      </c>
    </row>
    <row r="320">
      <c r="A320" s="2" t="s">
        <v>6362</v>
      </c>
      <c r="B320" s="2" t="s">
        <v>6362</v>
      </c>
      <c r="C320" s="6">
        <v>43813.663194444445</v>
      </c>
      <c r="D320" s="2">
        <v>1.5763389E9</v>
      </c>
      <c r="E320" s="8" t="s">
        <v>6364</v>
      </c>
      <c r="F320" s="2" t="s">
        <v>6369</v>
      </c>
      <c r="G320" s="2" t="s">
        <v>6370</v>
      </c>
      <c r="H320" s="2" t="s">
        <v>6371</v>
      </c>
      <c r="I320" s="2" t="s">
        <v>6372</v>
      </c>
      <c r="J320" s="8" t="s">
        <v>6373</v>
      </c>
      <c r="K320" s="8" t="s">
        <v>6378</v>
      </c>
      <c r="L320" s="2" t="b">
        <v>0</v>
      </c>
      <c r="M320" s="2" t="s">
        <v>67</v>
      </c>
      <c r="N320" s="2" t="s">
        <v>64</v>
      </c>
      <c r="O320" s="2" t="s">
        <v>65</v>
      </c>
      <c r="P320" s="2">
        <v>48.0</v>
      </c>
      <c r="Q320" s="2">
        <v>0.0</v>
      </c>
      <c r="R320" s="2">
        <v>251.0</v>
      </c>
      <c r="S320" s="2">
        <v>1.0</v>
      </c>
      <c r="U320" s="2" t="s">
        <v>65</v>
      </c>
      <c r="W320" s="2" t="s">
        <v>65</v>
      </c>
      <c r="AC320" s="2" t="s">
        <v>65</v>
      </c>
      <c r="AD320" s="2" t="s">
        <v>65</v>
      </c>
      <c r="AF320" s="2" t="s">
        <v>65</v>
      </c>
      <c r="AI320" s="8" t="s">
        <v>6390</v>
      </c>
      <c r="AJ320" s="8" t="s">
        <v>6395</v>
      </c>
      <c r="AK320" s="2" t="s">
        <v>6405</v>
      </c>
    </row>
    <row r="321">
      <c r="A321" s="2" t="s">
        <v>6406</v>
      </c>
      <c r="B321" s="2" t="s">
        <v>6406</v>
      </c>
      <c r="C321" s="6">
        <v>44582.50938657407</v>
      </c>
      <c r="D321" s="2">
        <v>1.642767211E9</v>
      </c>
      <c r="E321" s="8" t="s">
        <v>6407</v>
      </c>
      <c r="F321" s="2" t="s">
        <v>6410</v>
      </c>
      <c r="G321" s="2" t="s">
        <v>6411</v>
      </c>
      <c r="H321" s="2" t="s">
        <v>6412</v>
      </c>
      <c r="I321" s="2">
        <v>1.58784526E8</v>
      </c>
      <c r="J321" s="8" t="s">
        <v>6413</v>
      </c>
      <c r="K321" s="8" t="s">
        <v>6416</v>
      </c>
      <c r="L321" s="2" t="b">
        <v>0</v>
      </c>
      <c r="M321" s="2" t="s">
        <v>85</v>
      </c>
      <c r="N321" s="2" t="s">
        <v>64</v>
      </c>
      <c r="O321" s="2" t="s">
        <v>65</v>
      </c>
      <c r="P321" s="2">
        <v>34.0</v>
      </c>
      <c r="Q321" s="2">
        <v>16.0</v>
      </c>
      <c r="R321" s="2">
        <v>320.0</v>
      </c>
      <c r="S321" s="2">
        <v>1.0</v>
      </c>
      <c r="U321" s="2" t="s">
        <v>65</v>
      </c>
      <c r="W321" s="2" t="s">
        <v>65</v>
      </c>
      <c r="AC321" s="2" t="s">
        <v>65</v>
      </c>
      <c r="AD321" s="2" t="s">
        <v>65</v>
      </c>
      <c r="AF321" s="2" t="s">
        <v>65</v>
      </c>
    </row>
    <row r="322">
      <c r="A322" s="2" t="s">
        <v>6421</v>
      </c>
      <c r="B322" s="2" t="s">
        <v>6421</v>
      </c>
      <c r="C322" s="6">
        <v>43357.759421296294</v>
      </c>
      <c r="D322" s="2">
        <v>1.536948814E9</v>
      </c>
      <c r="E322" s="8" t="s">
        <v>6423</v>
      </c>
      <c r="F322" s="2" t="s">
        <v>6424</v>
      </c>
      <c r="G322" s="2" t="s">
        <v>6425</v>
      </c>
      <c r="H322" s="2" t="s">
        <v>6426</v>
      </c>
      <c r="I322" s="2">
        <v>3.16273207E8</v>
      </c>
      <c r="J322" s="8" t="s">
        <v>6427</v>
      </c>
      <c r="K322" s="8" t="s">
        <v>6429</v>
      </c>
      <c r="L322" s="2" t="b">
        <v>1</v>
      </c>
      <c r="M322" s="2" t="s">
        <v>85</v>
      </c>
      <c r="N322" s="2" t="s">
        <v>64</v>
      </c>
      <c r="O322" s="2" t="s">
        <v>65</v>
      </c>
      <c r="P322" s="2">
        <v>104.0</v>
      </c>
      <c r="Q322" s="2">
        <v>6.0</v>
      </c>
      <c r="R322" s="2">
        <v>293.0</v>
      </c>
      <c r="S322" s="2">
        <v>3.0</v>
      </c>
      <c r="U322" s="2" t="s">
        <v>65</v>
      </c>
      <c r="W322" s="2" t="s">
        <v>65</v>
      </c>
      <c r="AC322" s="2" t="s">
        <v>65</v>
      </c>
      <c r="AD322" s="2" t="s">
        <v>65</v>
      </c>
      <c r="AF322" s="2" t="s">
        <v>65</v>
      </c>
    </row>
    <row r="323">
      <c r="A323" s="2" t="s">
        <v>6442</v>
      </c>
      <c r="B323" s="2" t="s">
        <v>6442</v>
      </c>
      <c r="C323" s="6">
        <v>45310.7924537037</v>
      </c>
      <c r="D323" s="2">
        <v>1.705690868E9</v>
      </c>
      <c r="E323" s="8" t="s">
        <v>6443</v>
      </c>
      <c r="F323" s="2" t="s">
        <v>6446</v>
      </c>
      <c r="G323" s="2" t="s">
        <v>6447</v>
      </c>
      <c r="H323" s="2" t="s">
        <v>6448</v>
      </c>
      <c r="I323" s="2" t="s">
        <v>6449</v>
      </c>
      <c r="J323" s="8" t="s">
        <v>6450</v>
      </c>
      <c r="K323" s="8" t="s">
        <v>6456</v>
      </c>
      <c r="L323" s="2" t="b">
        <v>0</v>
      </c>
      <c r="M323" s="2" t="s">
        <v>85</v>
      </c>
      <c r="N323" s="2" t="s">
        <v>64</v>
      </c>
      <c r="O323" s="2" t="s">
        <v>65</v>
      </c>
      <c r="P323" s="2">
        <v>30.0</v>
      </c>
      <c r="Q323" s="2">
        <v>2.0</v>
      </c>
      <c r="R323" s="2">
        <v>200.0</v>
      </c>
      <c r="S323" s="2">
        <v>0.0</v>
      </c>
      <c r="T323" s="2">
        <v>6070.0</v>
      </c>
      <c r="U323" s="2" t="s">
        <v>65</v>
      </c>
      <c r="W323" s="2" t="s">
        <v>65</v>
      </c>
      <c r="AC323" s="2" t="s">
        <v>65</v>
      </c>
      <c r="AD323" s="2" t="s">
        <v>65</v>
      </c>
      <c r="AF323" s="2" t="s">
        <v>65</v>
      </c>
      <c r="AG323" s="2" t="s">
        <v>6466</v>
      </c>
    </row>
    <row r="324">
      <c r="A324" s="2" t="s">
        <v>6468</v>
      </c>
      <c r="B324" s="2" t="s">
        <v>6469</v>
      </c>
      <c r="C324" s="6">
        <v>45971.65451388889</v>
      </c>
      <c r="D324" s="2">
        <v>1.76278935E9</v>
      </c>
      <c r="E324" s="8" t="s">
        <v>6470</v>
      </c>
      <c r="F324" s="2" t="s">
        <v>6474</v>
      </c>
      <c r="G324" s="2" t="s">
        <v>6475</v>
      </c>
      <c r="H324" s="2" t="s">
        <v>6476</v>
      </c>
      <c r="I324" s="2">
        <v>3.9437691E7</v>
      </c>
      <c r="J324" s="8" t="s">
        <v>6477</v>
      </c>
      <c r="K324" s="8" t="s">
        <v>6485</v>
      </c>
      <c r="L324" s="2" t="b">
        <v>0</v>
      </c>
      <c r="M324" s="2" t="s">
        <v>66</v>
      </c>
      <c r="N324" s="2" t="s">
        <v>64</v>
      </c>
      <c r="O324" s="2" t="s">
        <v>65</v>
      </c>
      <c r="P324" s="2">
        <v>0.0</v>
      </c>
      <c r="Q324" s="2">
        <v>0.0</v>
      </c>
      <c r="R324" s="2">
        <v>9.0</v>
      </c>
      <c r="S324" s="2">
        <v>0.0</v>
      </c>
      <c r="T324" s="2">
        <v>524.0</v>
      </c>
      <c r="U324" s="2" t="s">
        <v>65</v>
      </c>
      <c r="W324" s="2" t="s">
        <v>65</v>
      </c>
      <c r="AC324" s="2" t="s">
        <v>65</v>
      </c>
      <c r="AD324" s="2" t="s">
        <v>71</v>
      </c>
      <c r="AE324" s="2" t="s">
        <v>6492</v>
      </c>
      <c r="AF324" s="2" t="s">
        <v>65</v>
      </c>
      <c r="AK324" s="2" t="s">
        <v>6492</v>
      </c>
    </row>
    <row r="325">
      <c r="A325" s="2" t="s">
        <v>6494</v>
      </c>
      <c r="B325" s="2" t="s">
        <v>6495</v>
      </c>
      <c r="C325" s="6">
        <v>44528.698900462965</v>
      </c>
      <c r="D325" s="2">
        <v>1.638117985E9</v>
      </c>
      <c r="E325" s="8" t="s">
        <v>6497</v>
      </c>
      <c r="F325" s="2" t="s">
        <v>6501</v>
      </c>
      <c r="G325" s="2" t="s">
        <v>6502</v>
      </c>
      <c r="H325" s="2" t="s">
        <v>6503</v>
      </c>
      <c r="I325" s="2" t="s">
        <v>6504</v>
      </c>
      <c r="J325" s="8" t="s">
        <v>6505</v>
      </c>
      <c r="K325" s="8" t="s">
        <v>6510</v>
      </c>
      <c r="L325" s="2" t="b">
        <v>0</v>
      </c>
      <c r="M325" s="2" t="s">
        <v>67</v>
      </c>
      <c r="N325" s="2" t="s">
        <v>64</v>
      </c>
      <c r="O325" s="2" t="s">
        <v>65</v>
      </c>
      <c r="P325" s="2">
        <v>5.0</v>
      </c>
      <c r="Q325" s="2">
        <v>2.0</v>
      </c>
      <c r="R325" s="2">
        <v>158.0</v>
      </c>
      <c r="S325" s="2">
        <v>0.0</v>
      </c>
      <c r="U325" s="2" t="s">
        <v>65</v>
      </c>
      <c r="W325" s="2" t="s">
        <v>65</v>
      </c>
      <c r="AC325" s="2" t="s">
        <v>65</v>
      </c>
      <c r="AD325" s="2" t="s">
        <v>71</v>
      </c>
      <c r="AE325" s="2" t="s">
        <v>6519</v>
      </c>
      <c r="AF325" s="2" t="s">
        <v>65</v>
      </c>
      <c r="AK325" s="2" t="s">
        <v>6519</v>
      </c>
    </row>
    <row r="326">
      <c r="A326" s="2" t="s">
        <v>6520</v>
      </c>
      <c r="B326" s="2" t="s">
        <v>6521</v>
      </c>
      <c r="C326" s="6">
        <v>44787.781331018516</v>
      </c>
      <c r="D326" s="2">
        <v>1.660502707E9</v>
      </c>
      <c r="E326" s="8" t="s">
        <v>6523</v>
      </c>
      <c r="F326" s="2" t="s">
        <v>6526</v>
      </c>
      <c r="G326" s="2" t="s">
        <v>6527</v>
      </c>
      <c r="H326" s="2" t="s">
        <v>6528</v>
      </c>
      <c r="I326" s="2" t="s">
        <v>6529</v>
      </c>
      <c r="J326" s="8" t="s">
        <v>6530</v>
      </c>
      <c r="K326" s="8" t="s">
        <v>6534</v>
      </c>
      <c r="L326" s="2" t="b">
        <v>0</v>
      </c>
      <c r="M326" s="2" t="s">
        <v>67</v>
      </c>
      <c r="N326" s="2" t="s">
        <v>64</v>
      </c>
      <c r="O326" s="2" t="s">
        <v>65</v>
      </c>
      <c r="P326" s="2">
        <v>38.0</v>
      </c>
      <c r="Q326" s="2">
        <v>2.0</v>
      </c>
      <c r="R326" s="2">
        <v>454.0</v>
      </c>
      <c r="S326" s="2">
        <v>2.0</v>
      </c>
      <c r="U326" s="2" t="s">
        <v>65</v>
      </c>
      <c r="W326" s="2" t="s">
        <v>65</v>
      </c>
      <c r="AC326" s="2" t="s">
        <v>65</v>
      </c>
      <c r="AD326" s="2" t="s">
        <v>71</v>
      </c>
      <c r="AE326" s="2" t="s">
        <v>6527</v>
      </c>
      <c r="AF326" s="2" t="s">
        <v>65</v>
      </c>
    </row>
    <row r="327">
      <c r="A327" s="2" t="s">
        <v>6540</v>
      </c>
      <c r="B327" s="2" t="s">
        <v>6541</v>
      </c>
      <c r="C327" s="6">
        <v>45971.91657407407</v>
      </c>
      <c r="D327" s="2">
        <v>1.762811992E9</v>
      </c>
      <c r="E327" s="8" t="s">
        <v>6542</v>
      </c>
      <c r="F327" s="2" t="s">
        <v>6549</v>
      </c>
      <c r="G327" s="2" t="s">
        <v>6550</v>
      </c>
      <c r="H327" s="2" t="s">
        <v>6551</v>
      </c>
      <c r="I327" s="2">
        <v>2.18224825E8</v>
      </c>
      <c r="J327" s="8" t="s">
        <v>6552</v>
      </c>
      <c r="K327" s="8" t="s">
        <v>6558</v>
      </c>
      <c r="L327" s="2" t="b">
        <v>1</v>
      </c>
      <c r="M327" s="2" t="s">
        <v>85</v>
      </c>
      <c r="N327" s="2" t="s">
        <v>64</v>
      </c>
      <c r="O327" s="2" t="s">
        <v>65</v>
      </c>
      <c r="P327" s="2">
        <v>0.0</v>
      </c>
      <c r="Q327" s="2">
        <v>2.0</v>
      </c>
      <c r="R327" s="2">
        <v>0.0</v>
      </c>
      <c r="S327" s="2">
        <v>0.0</v>
      </c>
      <c r="T327" s="2">
        <v>143.0</v>
      </c>
      <c r="U327" s="2" t="s">
        <v>65</v>
      </c>
      <c r="W327" s="2" t="s">
        <v>65</v>
      </c>
      <c r="AC327" s="2" t="s">
        <v>65</v>
      </c>
      <c r="AD327" s="2" t="s">
        <v>71</v>
      </c>
      <c r="AE327" s="2" t="s">
        <v>6563</v>
      </c>
      <c r="AF327" s="2" t="s">
        <v>65</v>
      </c>
      <c r="AK327" s="2" t="s">
        <v>6564</v>
      </c>
    </row>
    <row r="328" hidden="1">
      <c r="A328" s="2" t="s">
        <v>6565</v>
      </c>
      <c r="B328" s="2" t="s">
        <v>6565</v>
      </c>
      <c r="C328" s="6">
        <v>45973.74767361111</v>
      </c>
      <c r="D328" s="2">
        <v>1.762970199E9</v>
      </c>
      <c r="E328" s="8" t="s">
        <v>6568</v>
      </c>
      <c r="F328" s="2" t="s">
        <v>6574</v>
      </c>
      <c r="G328" s="2" t="s">
        <v>6575</v>
      </c>
      <c r="H328" s="2" t="s">
        <v>6576</v>
      </c>
      <c r="I328" s="2">
        <v>4.5968615E8</v>
      </c>
      <c r="J328" s="8" t="s">
        <v>6577</v>
      </c>
      <c r="K328" s="8" t="s">
        <v>6580</v>
      </c>
      <c r="L328" s="2" t="b">
        <v>0</v>
      </c>
      <c r="M328" s="2" t="s">
        <v>67</v>
      </c>
      <c r="N328" s="2" t="s">
        <v>68</v>
      </c>
      <c r="O328" s="2" t="s">
        <v>65</v>
      </c>
      <c r="P328" s="2">
        <v>0.0</v>
      </c>
      <c r="Q328" s="2">
        <v>0.0</v>
      </c>
      <c r="R328" s="2">
        <v>0.0</v>
      </c>
      <c r="S328" s="2">
        <v>0.0</v>
      </c>
      <c r="T328" s="2">
        <v>13.0</v>
      </c>
      <c r="U328" s="2" t="s">
        <v>65</v>
      </c>
      <c r="W328" s="2" t="s">
        <v>65</v>
      </c>
      <c r="AC328" s="2" t="s">
        <v>65</v>
      </c>
      <c r="AD328" s="2" t="s">
        <v>65</v>
      </c>
      <c r="AF328" s="2" t="s">
        <v>65</v>
      </c>
    </row>
    <row r="329">
      <c r="A329" s="2" t="s">
        <v>6587</v>
      </c>
      <c r="B329" s="2" t="s">
        <v>6587</v>
      </c>
      <c r="C329" s="6">
        <v>44768.888506944444</v>
      </c>
      <c r="D329" s="2">
        <v>1.658870367E9</v>
      </c>
      <c r="E329" s="8" t="s">
        <v>6588</v>
      </c>
      <c r="F329" s="2" t="s">
        <v>6593</v>
      </c>
      <c r="G329" s="2" t="s">
        <v>6594</v>
      </c>
      <c r="H329" s="2" t="s">
        <v>6595</v>
      </c>
      <c r="I329" s="2" t="s">
        <v>6596</v>
      </c>
      <c r="J329" s="8" t="s">
        <v>6597</v>
      </c>
      <c r="K329" s="8" t="s">
        <v>6601</v>
      </c>
      <c r="L329" s="2" t="b">
        <v>0</v>
      </c>
      <c r="M329" s="2" t="s">
        <v>67</v>
      </c>
      <c r="N329" s="2" t="s">
        <v>64</v>
      </c>
      <c r="O329" s="2" t="s">
        <v>65</v>
      </c>
      <c r="P329" s="2">
        <v>22.0</v>
      </c>
      <c r="Q329" s="2">
        <v>22.0</v>
      </c>
      <c r="R329" s="2">
        <v>207.0</v>
      </c>
      <c r="S329" s="2">
        <v>2.0</v>
      </c>
      <c r="U329" s="2" t="s">
        <v>65</v>
      </c>
      <c r="W329" s="2" t="s">
        <v>65</v>
      </c>
      <c r="AC329" s="2" t="s">
        <v>65</v>
      </c>
      <c r="AD329" s="2" t="s">
        <v>65</v>
      </c>
      <c r="AF329" s="2" t="s">
        <v>65</v>
      </c>
    </row>
    <row r="330">
      <c r="A330" s="2" t="s">
        <v>2084</v>
      </c>
      <c r="B330" s="2" t="s">
        <v>2084</v>
      </c>
      <c r="C330" s="6">
        <v>45923.66365740741</v>
      </c>
      <c r="D330" s="2">
        <v>1.75864294E9</v>
      </c>
      <c r="E330" s="8" t="s">
        <v>2085</v>
      </c>
      <c r="F330" s="2" t="s">
        <v>2088</v>
      </c>
      <c r="G330" s="2" t="s">
        <v>2089</v>
      </c>
      <c r="H330" s="2" t="s">
        <v>2090</v>
      </c>
      <c r="I330" s="2">
        <v>2.45809028E8</v>
      </c>
      <c r="J330" s="8" t="s">
        <v>2091</v>
      </c>
      <c r="K330" s="8" t="s">
        <v>2093</v>
      </c>
      <c r="L330" s="2" t="b">
        <v>0</v>
      </c>
      <c r="M330" s="2" t="s">
        <v>2076</v>
      </c>
      <c r="N330" s="2" t="s">
        <v>64</v>
      </c>
      <c r="O330" s="2" t="s">
        <v>65</v>
      </c>
      <c r="P330" s="2">
        <v>0.0</v>
      </c>
      <c r="Q330" s="2">
        <v>0.0</v>
      </c>
      <c r="R330" s="2">
        <v>0.0</v>
      </c>
      <c r="S330" s="2">
        <v>0.0</v>
      </c>
      <c r="T330" s="2">
        <v>226.0</v>
      </c>
      <c r="U330" s="2" t="s">
        <v>65</v>
      </c>
      <c r="W330" s="2" t="s">
        <v>65</v>
      </c>
      <c r="AC330" s="2" t="s">
        <v>65</v>
      </c>
      <c r="AD330" s="2" t="s">
        <v>65</v>
      </c>
      <c r="AF330" s="2" t="s">
        <v>65</v>
      </c>
      <c r="AH330" s="8" t="s">
        <v>2098</v>
      </c>
    </row>
    <row r="331">
      <c r="A331" s="2" t="s">
        <v>6637</v>
      </c>
      <c r="B331" s="2" t="s">
        <v>6638</v>
      </c>
      <c r="C331" s="6">
        <v>45844.13945601852</v>
      </c>
      <c r="D331" s="2">
        <v>1.751772049E9</v>
      </c>
      <c r="E331" s="8" t="s">
        <v>6639</v>
      </c>
      <c r="F331" s="2" t="s">
        <v>6642</v>
      </c>
      <c r="G331" s="2" t="s">
        <v>6643</v>
      </c>
      <c r="H331" s="2" t="s">
        <v>6644</v>
      </c>
      <c r="I331" s="2">
        <v>5.62484858E8</v>
      </c>
      <c r="J331" s="8" t="s">
        <v>6645</v>
      </c>
      <c r="K331" s="8" t="s">
        <v>6650</v>
      </c>
      <c r="L331" s="2" t="b">
        <v>0</v>
      </c>
      <c r="M331" s="2" t="s">
        <v>67</v>
      </c>
      <c r="N331" s="2" t="s">
        <v>64</v>
      </c>
      <c r="O331" s="2" t="s">
        <v>65</v>
      </c>
      <c r="P331" s="2">
        <v>0.0</v>
      </c>
      <c r="Q331" s="2">
        <v>2.0</v>
      </c>
      <c r="R331" s="2">
        <v>369.0</v>
      </c>
      <c r="S331" s="2">
        <v>0.0</v>
      </c>
      <c r="T331" s="2">
        <v>9197.0</v>
      </c>
      <c r="U331" s="2" t="s">
        <v>65</v>
      </c>
      <c r="W331" s="2" t="s">
        <v>65</v>
      </c>
      <c r="AC331" s="2" t="s">
        <v>65</v>
      </c>
      <c r="AD331" s="2" t="s">
        <v>71</v>
      </c>
      <c r="AE331" s="2" t="s">
        <v>6660</v>
      </c>
      <c r="AF331" s="2" t="s">
        <v>65</v>
      </c>
      <c r="AK331" s="2" t="s">
        <v>6660</v>
      </c>
    </row>
    <row r="332" hidden="1">
      <c r="A332" s="2" t="s">
        <v>6661</v>
      </c>
      <c r="B332" s="2" t="s">
        <v>6661</v>
      </c>
      <c r="C332" s="6">
        <v>45967.63322916667</v>
      </c>
      <c r="D332" s="2">
        <v>1.762441911E9</v>
      </c>
      <c r="E332" s="8" t="s">
        <v>6662</v>
      </c>
      <c r="F332" s="2" t="s">
        <v>6666</v>
      </c>
      <c r="G332" s="2" t="s">
        <v>6667</v>
      </c>
      <c r="H332" s="2" t="s">
        <v>6668</v>
      </c>
      <c r="I332" s="2" t="s">
        <v>6669</v>
      </c>
      <c r="J332" s="8" t="s">
        <v>6670</v>
      </c>
      <c r="K332" s="8" t="s">
        <v>6677</v>
      </c>
      <c r="L332" s="2" t="b">
        <v>0</v>
      </c>
      <c r="M332" s="2" t="s">
        <v>66</v>
      </c>
      <c r="N332" s="2" t="s">
        <v>68</v>
      </c>
      <c r="O332" s="2" t="s">
        <v>65</v>
      </c>
      <c r="P332" s="2">
        <v>0.0</v>
      </c>
      <c r="Q332" s="2">
        <v>0.0</v>
      </c>
      <c r="R332" s="2">
        <v>0.0</v>
      </c>
      <c r="S332" s="2">
        <v>0.0</v>
      </c>
      <c r="T332" s="2">
        <v>48.0</v>
      </c>
      <c r="U332" s="2" t="s">
        <v>65</v>
      </c>
      <c r="W332" s="2" t="s">
        <v>65</v>
      </c>
      <c r="AC332" s="2" t="s">
        <v>65</v>
      </c>
      <c r="AD332" s="2" t="s">
        <v>65</v>
      </c>
      <c r="AF332" s="2" t="s">
        <v>65</v>
      </c>
    </row>
    <row r="333">
      <c r="A333" s="2" t="s">
        <v>6682</v>
      </c>
      <c r="B333" s="2" t="s">
        <v>6682</v>
      </c>
      <c r="C333" s="6">
        <v>44657.37368055555</v>
      </c>
      <c r="D333" s="2">
        <v>1.649235486E9</v>
      </c>
      <c r="E333" s="8" t="s">
        <v>6683</v>
      </c>
      <c r="F333" s="2" t="s">
        <v>6692</v>
      </c>
      <c r="G333" s="2" t="s">
        <v>6693</v>
      </c>
      <c r="H333" s="2" t="s">
        <v>6694</v>
      </c>
      <c r="I333" s="2" t="s">
        <v>6695</v>
      </c>
      <c r="J333" s="8" t="s">
        <v>6697</v>
      </c>
      <c r="K333" s="8" t="s">
        <v>6699</v>
      </c>
      <c r="L333" s="2" t="b">
        <v>1</v>
      </c>
      <c r="M333" s="2" t="s">
        <v>66</v>
      </c>
      <c r="N333" s="2" t="s">
        <v>64</v>
      </c>
      <c r="O333" s="2" t="s">
        <v>65</v>
      </c>
      <c r="P333" s="2">
        <v>51.0</v>
      </c>
      <c r="Q333" s="2">
        <v>0.0</v>
      </c>
      <c r="R333" s="2">
        <v>207.0</v>
      </c>
      <c r="S333" s="2">
        <v>2.0</v>
      </c>
      <c r="U333" s="2" t="s">
        <v>65</v>
      </c>
      <c r="W333" s="2" t="s">
        <v>65</v>
      </c>
      <c r="AC333" s="2" t="s">
        <v>65</v>
      </c>
      <c r="AD333" s="2" t="s">
        <v>65</v>
      </c>
      <c r="AF333" s="2" t="s">
        <v>65</v>
      </c>
      <c r="AG333" s="2" t="s">
        <v>6705</v>
      </c>
      <c r="AH333" s="8" t="s">
        <v>6706</v>
      </c>
    </row>
    <row r="334">
      <c r="A334" s="2" t="s">
        <v>1189</v>
      </c>
      <c r="B334" s="2" t="s">
        <v>1189</v>
      </c>
      <c r="C334" s="6">
        <v>45956.41106481481</v>
      </c>
      <c r="D334" s="2">
        <v>1.761472316E9</v>
      </c>
      <c r="E334" s="8" t="s">
        <v>1190</v>
      </c>
      <c r="F334" s="2" t="s">
        <v>1193</v>
      </c>
      <c r="G334" s="2" t="s">
        <v>1194</v>
      </c>
      <c r="H334" s="2" t="s">
        <v>1195</v>
      </c>
      <c r="I334" s="2">
        <v>4.868557389E9</v>
      </c>
      <c r="J334" s="8" t="s">
        <v>1196</v>
      </c>
      <c r="K334" s="8" t="s">
        <v>1197</v>
      </c>
      <c r="L334" s="2" t="b">
        <v>0</v>
      </c>
      <c r="M334" s="2" t="s">
        <v>85</v>
      </c>
      <c r="N334" s="2" t="s">
        <v>64</v>
      </c>
      <c r="O334" s="2" t="s">
        <v>65</v>
      </c>
      <c r="P334" s="2">
        <v>0.0</v>
      </c>
      <c r="Q334" s="2">
        <v>0.0</v>
      </c>
      <c r="R334" s="2">
        <v>0.0</v>
      </c>
      <c r="S334" s="2">
        <v>0.0</v>
      </c>
      <c r="T334" s="2">
        <v>106.0</v>
      </c>
      <c r="U334" s="2" t="s">
        <v>65</v>
      </c>
      <c r="W334" s="2" t="s">
        <v>65</v>
      </c>
      <c r="AC334" s="2" t="s">
        <v>65</v>
      </c>
      <c r="AD334" s="2" t="s">
        <v>65</v>
      </c>
      <c r="AF334" s="2" t="s">
        <v>65</v>
      </c>
      <c r="AH334" s="8" t="s">
        <v>1201</v>
      </c>
    </row>
    <row r="335">
      <c r="A335" s="2" t="s">
        <v>6731</v>
      </c>
      <c r="B335" s="2" t="s">
        <v>6731</v>
      </c>
      <c r="C335" s="6">
        <v>45971.604166666664</v>
      </c>
      <c r="D335" s="2">
        <v>1.762785E9</v>
      </c>
      <c r="E335" s="8" t="s">
        <v>6733</v>
      </c>
      <c r="F335" s="2" t="s">
        <v>6735</v>
      </c>
      <c r="G335" s="2" t="s">
        <v>986</v>
      </c>
      <c r="H335" s="2" t="s">
        <v>987</v>
      </c>
      <c r="I335" s="2" t="s">
        <v>988</v>
      </c>
      <c r="J335" s="8" t="s">
        <v>989</v>
      </c>
      <c r="K335" s="8" t="s">
        <v>991</v>
      </c>
      <c r="L335" s="2" t="b">
        <v>0</v>
      </c>
      <c r="M335" s="2" t="s">
        <v>66</v>
      </c>
      <c r="N335" s="2" t="s">
        <v>64</v>
      </c>
      <c r="O335" s="2" t="s">
        <v>65</v>
      </c>
      <c r="P335" s="2">
        <v>1.0</v>
      </c>
      <c r="Q335" s="2">
        <v>0.0</v>
      </c>
      <c r="R335" s="2">
        <v>2.0</v>
      </c>
      <c r="S335" s="2">
        <v>0.0</v>
      </c>
      <c r="T335" s="2">
        <v>127.0</v>
      </c>
      <c r="U335" s="2" t="s">
        <v>65</v>
      </c>
      <c r="W335" s="2" t="s">
        <v>65</v>
      </c>
      <c r="AC335" s="2" t="s">
        <v>65</v>
      </c>
      <c r="AD335" s="2" t="s">
        <v>65</v>
      </c>
      <c r="AF335" s="2" t="s">
        <v>65</v>
      </c>
      <c r="AH335" s="8" t="s">
        <v>6739</v>
      </c>
    </row>
  </sheetData>
  <autoFilter ref="$A$1:$AP$335">
    <filterColumn colId="13">
      <filters>
        <filter val="es"/>
      </filters>
    </filterColumn>
  </autoFilter>
  <hyperlinks>
    <hyperlink r:id="rId1" ref="E2"/>
    <hyperlink r:id="rId2" ref="J2"/>
    <hyperlink r:id="rId3" ref="K2"/>
    <hyperlink r:id="rId4" ref="AI2"/>
    <hyperlink r:id="rId5" ref="AJ2"/>
    <hyperlink r:id="rId6" ref="E3"/>
    <hyperlink r:id="rId7" ref="J3"/>
    <hyperlink r:id="rId8" ref="K3"/>
    <hyperlink r:id="rId9" ref="E4"/>
    <hyperlink r:id="rId10" ref="J4"/>
    <hyperlink r:id="rId11" ref="K4"/>
    <hyperlink r:id="rId12" ref="AI4"/>
    <hyperlink r:id="rId13" ref="AJ4"/>
    <hyperlink r:id="rId14" ref="E5"/>
    <hyperlink r:id="rId15" ref="J5"/>
    <hyperlink r:id="rId16" ref="K5"/>
    <hyperlink r:id="rId17" ref="AI5"/>
    <hyperlink r:id="rId18" ref="E6"/>
    <hyperlink r:id="rId19" ref="J6"/>
    <hyperlink r:id="rId20" ref="K6"/>
    <hyperlink r:id="rId21" ref="AI6"/>
    <hyperlink r:id="rId22" ref="E7"/>
    <hyperlink r:id="rId23" ref="J7"/>
    <hyperlink r:id="rId24" ref="K7"/>
    <hyperlink r:id="rId25" ref="E8"/>
    <hyperlink r:id="rId26" ref="J8"/>
    <hyperlink r:id="rId27" ref="K8"/>
    <hyperlink r:id="rId28" ref="AI8"/>
    <hyperlink r:id="rId29" ref="E9"/>
    <hyperlink r:id="rId30" ref="J9"/>
    <hyperlink r:id="rId31" ref="K9"/>
    <hyperlink r:id="rId32" ref="AI9"/>
    <hyperlink r:id="rId33" ref="E10"/>
    <hyperlink r:id="rId34" ref="J10"/>
    <hyperlink r:id="rId35" ref="K10"/>
    <hyperlink r:id="rId36" ref="AI10"/>
    <hyperlink r:id="rId37" ref="AJ10"/>
    <hyperlink r:id="rId38" ref="E11"/>
    <hyperlink r:id="rId39" ref="J11"/>
    <hyperlink r:id="rId40" ref="K11"/>
    <hyperlink r:id="rId41" ref="AI11"/>
    <hyperlink r:id="rId42" ref="E12"/>
    <hyperlink r:id="rId43" ref="J12"/>
    <hyperlink r:id="rId44" ref="K12"/>
    <hyperlink r:id="rId45" ref="AI12"/>
    <hyperlink r:id="rId46" ref="E13"/>
    <hyperlink r:id="rId47" ref="J13"/>
    <hyperlink r:id="rId48" ref="K13"/>
    <hyperlink r:id="rId49" ref="AI13"/>
    <hyperlink r:id="rId50" ref="E14"/>
    <hyperlink r:id="rId51" ref="J14"/>
    <hyperlink r:id="rId52" ref="K14"/>
    <hyperlink r:id="rId53" ref="AH14"/>
    <hyperlink r:id="rId54" ref="AI14"/>
    <hyperlink r:id="rId55" ref="E15"/>
    <hyperlink r:id="rId56" ref="J15"/>
    <hyperlink r:id="rId57" ref="K15"/>
    <hyperlink r:id="rId58" ref="AI15"/>
    <hyperlink r:id="rId59" ref="AJ15"/>
    <hyperlink r:id="rId60" ref="E16"/>
    <hyperlink r:id="rId61" ref="J16"/>
    <hyperlink r:id="rId62" ref="K16"/>
    <hyperlink r:id="rId63" ref="AI16"/>
    <hyperlink r:id="rId64" ref="E17"/>
    <hyperlink r:id="rId65" ref="J17"/>
    <hyperlink r:id="rId66" ref="K17"/>
    <hyperlink r:id="rId67" ref="E18"/>
    <hyperlink r:id="rId68" ref="J18"/>
    <hyperlink r:id="rId69" ref="K18"/>
    <hyperlink r:id="rId70" ref="AI18"/>
    <hyperlink r:id="rId71" ref="E19"/>
    <hyperlink r:id="rId72" ref="J19"/>
    <hyperlink r:id="rId73" ref="K19"/>
    <hyperlink r:id="rId74" ref="AB19"/>
    <hyperlink r:id="rId75" ref="E20"/>
    <hyperlink r:id="rId76" ref="J20"/>
    <hyperlink r:id="rId77" ref="K20"/>
    <hyperlink r:id="rId78" ref="E21"/>
    <hyperlink r:id="rId79" ref="J21"/>
    <hyperlink r:id="rId80" ref="K21"/>
    <hyperlink r:id="rId81" ref="AI21"/>
    <hyperlink r:id="rId82" ref="AJ21"/>
    <hyperlink r:id="rId83" ref="E22"/>
    <hyperlink r:id="rId84" ref="J22"/>
    <hyperlink r:id="rId85" ref="K22"/>
    <hyperlink r:id="rId86" ref="AH22"/>
    <hyperlink r:id="rId87" ref="AI22"/>
    <hyperlink r:id="rId88" ref="AJ22"/>
    <hyperlink r:id="rId89" ref="E23"/>
    <hyperlink r:id="rId90" ref="J23"/>
    <hyperlink r:id="rId91" ref="K23"/>
    <hyperlink r:id="rId92" ref="E24"/>
    <hyperlink r:id="rId93" ref="J24"/>
    <hyperlink r:id="rId94" ref="K24"/>
    <hyperlink r:id="rId95" ref="AI24"/>
    <hyperlink r:id="rId96" ref="E25"/>
    <hyperlink r:id="rId97" ref="J25"/>
    <hyperlink r:id="rId98" ref="K25"/>
    <hyperlink r:id="rId99" ref="AI25"/>
    <hyperlink r:id="rId100" ref="AJ25"/>
    <hyperlink r:id="rId101" ref="E26"/>
    <hyperlink r:id="rId102" ref="J26"/>
    <hyperlink r:id="rId103" ref="K26"/>
    <hyperlink r:id="rId104" ref="AI26"/>
    <hyperlink r:id="rId105" ref="E27"/>
    <hyperlink r:id="rId106" ref="J27"/>
    <hyperlink r:id="rId107" ref="K27"/>
    <hyperlink r:id="rId108" ref="AI27"/>
    <hyperlink r:id="rId109" ref="E28"/>
    <hyperlink r:id="rId110" ref="J28"/>
    <hyperlink r:id="rId111" ref="K28"/>
    <hyperlink r:id="rId112" ref="AI28"/>
    <hyperlink r:id="rId113" ref="E29"/>
    <hyperlink r:id="rId114" ref="J29"/>
    <hyperlink r:id="rId115" ref="K29"/>
    <hyperlink r:id="rId116" ref="E30"/>
    <hyperlink r:id="rId117" ref="J30"/>
    <hyperlink r:id="rId118" ref="K30"/>
    <hyperlink r:id="rId119" ref="AI30"/>
    <hyperlink r:id="rId120" ref="AJ30"/>
    <hyperlink r:id="rId121" ref="E31"/>
    <hyperlink r:id="rId122" ref="J31"/>
    <hyperlink r:id="rId123" ref="K31"/>
    <hyperlink r:id="rId124" ref="AI31"/>
    <hyperlink r:id="rId125" ref="E32"/>
    <hyperlink r:id="rId126" ref="J32"/>
    <hyperlink r:id="rId127" ref="K32"/>
    <hyperlink r:id="rId128" ref="AI32"/>
    <hyperlink r:id="rId129" ref="AJ32"/>
    <hyperlink r:id="rId130" ref="E33"/>
    <hyperlink r:id="rId131" ref="J33"/>
    <hyperlink r:id="rId132" ref="K33"/>
    <hyperlink r:id="rId133" ref="AH33"/>
    <hyperlink r:id="rId134" ref="AI33"/>
    <hyperlink r:id="rId135" ref="AJ33"/>
    <hyperlink r:id="rId136" ref="E34"/>
    <hyperlink r:id="rId137" ref="J34"/>
    <hyperlink r:id="rId138" ref="K34"/>
    <hyperlink r:id="rId139" ref="AI34"/>
    <hyperlink r:id="rId140" ref="E35"/>
    <hyperlink r:id="rId141" ref="J35"/>
    <hyperlink r:id="rId142" ref="K35"/>
    <hyperlink r:id="rId143" ref="AI35"/>
    <hyperlink r:id="rId144" ref="AJ35"/>
    <hyperlink r:id="rId145" ref="E36"/>
    <hyperlink r:id="rId146" ref="J36"/>
    <hyperlink r:id="rId147" ref="K36"/>
    <hyperlink r:id="rId148" ref="AH36"/>
    <hyperlink r:id="rId149" ref="AI36"/>
    <hyperlink r:id="rId150" ref="E37"/>
    <hyperlink r:id="rId151" ref="J37"/>
    <hyperlink r:id="rId152" ref="K37"/>
    <hyperlink r:id="rId153" ref="AI37"/>
    <hyperlink r:id="rId154" ref="E38"/>
    <hyperlink r:id="rId155" ref="J38"/>
    <hyperlink r:id="rId156" ref="K38"/>
    <hyperlink r:id="rId157" ref="AH38"/>
    <hyperlink r:id="rId158" ref="AI38"/>
    <hyperlink r:id="rId159" ref="E39"/>
    <hyperlink r:id="rId160" ref="J39"/>
    <hyperlink r:id="rId161" ref="K39"/>
    <hyperlink r:id="rId162" ref="AI39"/>
    <hyperlink r:id="rId163" ref="E40"/>
    <hyperlink r:id="rId164" ref="J40"/>
    <hyperlink r:id="rId165" ref="K40"/>
    <hyperlink r:id="rId166" ref="AI40"/>
    <hyperlink r:id="rId167" ref="AJ40"/>
    <hyperlink r:id="rId168" ref="E41"/>
    <hyperlink r:id="rId169" ref="J41"/>
    <hyperlink r:id="rId170" ref="K41"/>
    <hyperlink r:id="rId171" ref="AI41"/>
    <hyperlink r:id="rId172" ref="AJ41"/>
    <hyperlink r:id="rId173" ref="E42"/>
    <hyperlink r:id="rId174" ref="J42"/>
    <hyperlink r:id="rId175" ref="K42"/>
    <hyperlink r:id="rId176" ref="E43"/>
    <hyperlink r:id="rId177" ref="J43"/>
    <hyperlink r:id="rId178" ref="K43"/>
    <hyperlink r:id="rId179" ref="E44"/>
    <hyperlink r:id="rId180" ref="J44"/>
    <hyperlink r:id="rId181" ref="K44"/>
    <hyperlink r:id="rId182" ref="AI44"/>
    <hyperlink r:id="rId183" ref="AJ44"/>
    <hyperlink r:id="rId184" ref="E45"/>
    <hyperlink r:id="rId185" ref="J45"/>
    <hyperlink r:id="rId186" ref="K45"/>
    <hyperlink r:id="rId187" ref="AH45"/>
    <hyperlink r:id="rId188" ref="E46"/>
    <hyperlink r:id="rId189" ref="J46"/>
    <hyperlink r:id="rId190" ref="K46"/>
    <hyperlink r:id="rId191" ref="E47"/>
    <hyperlink r:id="rId192" ref="J47"/>
    <hyperlink r:id="rId193" ref="K47"/>
    <hyperlink r:id="rId194" ref="E48"/>
    <hyperlink r:id="rId195" ref="J48"/>
    <hyperlink r:id="rId196" ref="AI48"/>
    <hyperlink r:id="rId197" ref="AJ48"/>
    <hyperlink r:id="rId198" ref="E49"/>
    <hyperlink r:id="rId199" ref="J49"/>
    <hyperlink r:id="rId200" ref="K49"/>
    <hyperlink r:id="rId201" ref="AA49"/>
    <hyperlink r:id="rId202" ref="AH49"/>
    <hyperlink r:id="rId203" ref="E50"/>
    <hyperlink r:id="rId204" ref="J50"/>
    <hyperlink r:id="rId205" ref="K50"/>
    <hyperlink r:id="rId206" ref="AI50"/>
    <hyperlink r:id="rId207" ref="E51"/>
    <hyperlink r:id="rId208" ref="J51"/>
    <hyperlink r:id="rId209" ref="K51"/>
    <hyperlink r:id="rId210" ref="AI51"/>
    <hyperlink r:id="rId211" ref="AJ51"/>
    <hyperlink r:id="rId212" ref="E52"/>
    <hyperlink r:id="rId213" ref="J52"/>
    <hyperlink r:id="rId214" ref="K52"/>
    <hyperlink r:id="rId215" ref="AI52"/>
    <hyperlink r:id="rId216" ref="AJ52"/>
    <hyperlink r:id="rId217" ref="E53"/>
    <hyperlink r:id="rId218" ref="J53"/>
    <hyperlink r:id="rId219" ref="K53"/>
    <hyperlink r:id="rId220" ref="AH53"/>
    <hyperlink r:id="rId221" ref="AI53"/>
    <hyperlink r:id="rId222" ref="E54"/>
    <hyperlink r:id="rId223" ref="J54"/>
    <hyperlink r:id="rId224" ref="K54"/>
    <hyperlink r:id="rId225" ref="AH54"/>
    <hyperlink r:id="rId226" ref="E55"/>
    <hyperlink r:id="rId227" ref="J55"/>
    <hyperlink r:id="rId228" ref="K55"/>
    <hyperlink r:id="rId229" ref="E56"/>
    <hyperlink r:id="rId230" ref="J56"/>
    <hyperlink r:id="rId231" ref="K56"/>
    <hyperlink r:id="rId232" ref="AI56"/>
    <hyperlink r:id="rId233" ref="E57"/>
    <hyperlink r:id="rId234" ref="J57"/>
    <hyperlink r:id="rId235" ref="K57"/>
    <hyperlink r:id="rId236" ref="AI57"/>
    <hyperlink r:id="rId237" ref="AJ57"/>
    <hyperlink r:id="rId238" ref="E58"/>
    <hyperlink r:id="rId239" ref="J58"/>
    <hyperlink r:id="rId240" ref="K58"/>
    <hyperlink r:id="rId241" ref="AI58"/>
    <hyperlink r:id="rId242" ref="E59"/>
    <hyperlink r:id="rId243" ref="J59"/>
    <hyperlink r:id="rId244" ref="K59"/>
    <hyperlink r:id="rId245" ref="E60"/>
    <hyperlink r:id="rId246" ref="J60"/>
    <hyperlink r:id="rId247" ref="K60"/>
    <hyperlink r:id="rId248" ref="AA60"/>
    <hyperlink r:id="rId249" ref="E61"/>
    <hyperlink r:id="rId250" ref="J61"/>
    <hyperlink r:id="rId251" ref="K61"/>
    <hyperlink r:id="rId252" ref="AH61"/>
    <hyperlink r:id="rId253" ref="AI61"/>
    <hyperlink r:id="rId254" ref="AJ61"/>
    <hyperlink r:id="rId255" ref="E62"/>
    <hyperlink r:id="rId256" ref="J62"/>
    <hyperlink r:id="rId257" ref="K62"/>
    <hyperlink r:id="rId258" ref="AH62"/>
    <hyperlink r:id="rId259" ref="AI62"/>
    <hyperlink r:id="rId260" ref="AJ62"/>
    <hyperlink r:id="rId261" ref="E63"/>
    <hyperlink r:id="rId262" ref="J63"/>
    <hyperlink r:id="rId263" ref="K63"/>
    <hyperlink r:id="rId264" ref="AH63"/>
    <hyperlink r:id="rId265" ref="E64"/>
    <hyperlink r:id="rId266" ref="J64"/>
    <hyperlink r:id="rId267" ref="K64"/>
    <hyperlink r:id="rId268" ref="AI64"/>
    <hyperlink r:id="rId269" ref="AJ64"/>
    <hyperlink r:id="rId270" ref="E65"/>
    <hyperlink r:id="rId271" ref="J65"/>
    <hyperlink r:id="rId272" ref="K65"/>
    <hyperlink r:id="rId273" ref="AH65"/>
    <hyperlink r:id="rId274" ref="E66"/>
    <hyperlink r:id="rId275" ref="J66"/>
    <hyperlink r:id="rId276" ref="K66"/>
    <hyperlink r:id="rId277" ref="E67"/>
    <hyperlink r:id="rId278" ref="J67"/>
    <hyperlink r:id="rId279" ref="K67"/>
    <hyperlink r:id="rId280" ref="AI67"/>
    <hyperlink r:id="rId281" ref="AJ67"/>
    <hyperlink r:id="rId282" ref="E68"/>
    <hyperlink r:id="rId283" ref="J68"/>
    <hyperlink r:id="rId284" ref="K68"/>
    <hyperlink r:id="rId285" ref="E69"/>
    <hyperlink r:id="rId286" ref="J69"/>
    <hyperlink r:id="rId287" ref="K69"/>
    <hyperlink r:id="rId288" ref="AI69"/>
    <hyperlink r:id="rId289" ref="E70"/>
    <hyperlink r:id="rId290" ref="J70"/>
    <hyperlink r:id="rId291" ref="K70"/>
    <hyperlink r:id="rId292" ref="AI70"/>
    <hyperlink r:id="rId293" ref="AJ70"/>
    <hyperlink r:id="rId294" ref="E71"/>
    <hyperlink r:id="rId295" ref="J71"/>
    <hyperlink r:id="rId296" ref="K71"/>
    <hyperlink r:id="rId297" ref="E72"/>
    <hyperlink r:id="rId298" ref="J72"/>
    <hyperlink r:id="rId299" ref="K72"/>
    <hyperlink r:id="rId300" ref="E73"/>
    <hyperlink r:id="rId301" ref="J73"/>
    <hyperlink r:id="rId302" ref="AI73"/>
    <hyperlink r:id="rId303" ref="AJ73"/>
    <hyperlink r:id="rId304" ref="E74"/>
    <hyperlink r:id="rId305" ref="J74"/>
    <hyperlink r:id="rId306" ref="K74"/>
    <hyperlink r:id="rId307" ref="E75"/>
    <hyperlink r:id="rId308" ref="J75"/>
    <hyperlink r:id="rId309" ref="K75"/>
    <hyperlink r:id="rId310" ref="E76"/>
    <hyperlink r:id="rId311" ref="J76"/>
    <hyperlink r:id="rId312" ref="K76"/>
    <hyperlink r:id="rId313" ref="AI76"/>
    <hyperlink r:id="rId314" ref="AJ76"/>
    <hyperlink r:id="rId315" ref="E77"/>
    <hyperlink r:id="rId316" ref="J77"/>
    <hyperlink r:id="rId317" ref="K77"/>
    <hyperlink r:id="rId318" ref="E78"/>
    <hyperlink r:id="rId319" ref="J78"/>
    <hyperlink r:id="rId320" ref="K78"/>
    <hyperlink r:id="rId321" ref="AI78"/>
    <hyperlink r:id="rId322" ref="AJ78"/>
    <hyperlink r:id="rId323" ref="E79"/>
    <hyperlink r:id="rId324" ref="J79"/>
    <hyperlink r:id="rId325" ref="K79"/>
    <hyperlink r:id="rId326" ref="AI79"/>
    <hyperlink r:id="rId327" ref="AJ79"/>
    <hyperlink r:id="rId328" ref="E80"/>
    <hyperlink r:id="rId329" ref="J80"/>
    <hyperlink r:id="rId330" ref="K80"/>
    <hyperlink r:id="rId331" ref="AI80"/>
    <hyperlink r:id="rId332" ref="E81"/>
    <hyperlink r:id="rId333" ref="J81"/>
    <hyperlink r:id="rId334" ref="K81"/>
    <hyperlink r:id="rId335" ref="M81"/>
    <hyperlink r:id="rId336" ref="AI81"/>
    <hyperlink r:id="rId337" ref="AJ81"/>
    <hyperlink r:id="rId338" ref="E82"/>
    <hyperlink r:id="rId339" ref="J82"/>
    <hyperlink r:id="rId340" ref="K82"/>
    <hyperlink r:id="rId341" ref="AI82"/>
    <hyperlink r:id="rId342" ref="AJ82"/>
    <hyperlink r:id="rId343" ref="E83"/>
    <hyperlink r:id="rId344" ref="J83"/>
    <hyperlink r:id="rId345" ref="K83"/>
    <hyperlink r:id="rId346" ref="AI83"/>
    <hyperlink r:id="rId347" ref="E84"/>
    <hyperlink r:id="rId348" ref="J84"/>
    <hyperlink r:id="rId349" ref="K84"/>
    <hyperlink r:id="rId350" ref="AH84"/>
    <hyperlink r:id="rId351" ref="E85"/>
    <hyperlink r:id="rId352" ref="J85"/>
    <hyperlink r:id="rId353" ref="E86"/>
    <hyperlink r:id="rId354" ref="J86"/>
    <hyperlink r:id="rId355" ref="K86"/>
    <hyperlink r:id="rId356" ref="AH86"/>
    <hyperlink r:id="rId357" ref="AI86"/>
    <hyperlink r:id="rId358" ref="E87"/>
    <hyperlink r:id="rId359" ref="J87"/>
    <hyperlink r:id="rId360" ref="K87"/>
    <hyperlink r:id="rId361" ref="AH87"/>
    <hyperlink r:id="rId362" ref="E88"/>
    <hyperlink r:id="rId363" ref="J88"/>
    <hyperlink r:id="rId364" ref="K88"/>
    <hyperlink r:id="rId365" ref="AI88"/>
    <hyperlink r:id="rId366" ref="AJ88"/>
    <hyperlink r:id="rId367" ref="E89"/>
    <hyperlink r:id="rId368" ref="J89"/>
    <hyperlink r:id="rId369" ref="K89"/>
    <hyperlink r:id="rId370" ref="AI89"/>
    <hyperlink r:id="rId371" ref="AJ89"/>
    <hyperlink r:id="rId372" ref="E90"/>
    <hyperlink r:id="rId373" ref="J90"/>
    <hyperlink r:id="rId374" ref="K90"/>
    <hyperlink r:id="rId375" ref="AI90"/>
    <hyperlink r:id="rId376" ref="E91"/>
    <hyperlink r:id="rId377" ref="J91"/>
    <hyperlink r:id="rId378" ref="K91"/>
    <hyperlink r:id="rId379" ref="AI91"/>
    <hyperlink r:id="rId380" ref="AJ91"/>
    <hyperlink r:id="rId381" ref="E92"/>
    <hyperlink r:id="rId382" ref="J92"/>
    <hyperlink r:id="rId383" ref="E93"/>
    <hyperlink r:id="rId384" ref="J93"/>
    <hyperlink r:id="rId385" ref="K93"/>
    <hyperlink r:id="rId386" ref="E94"/>
    <hyperlink r:id="rId387" ref="J94"/>
    <hyperlink r:id="rId388" ref="K94"/>
    <hyperlink r:id="rId389" ref="E95"/>
    <hyperlink r:id="rId390" ref="J95"/>
    <hyperlink r:id="rId391" ref="K95"/>
    <hyperlink r:id="rId392" ref="E96"/>
    <hyperlink r:id="rId393" ref="J96"/>
    <hyperlink r:id="rId394" ref="K96"/>
    <hyperlink r:id="rId395" ref="AI96"/>
    <hyperlink r:id="rId396" ref="E97"/>
    <hyperlink r:id="rId397" ref="J97"/>
    <hyperlink r:id="rId398" ref="K97"/>
    <hyperlink r:id="rId399" ref="AI97"/>
    <hyperlink r:id="rId400" ref="AJ97"/>
    <hyperlink r:id="rId401" ref="E98"/>
    <hyperlink r:id="rId402" ref="J98"/>
    <hyperlink r:id="rId403" ref="K98"/>
    <hyperlink r:id="rId404" ref="AI98"/>
    <hyperlink r:id="rId405" ref="AJ98"/>
    <hyperlink r:id="rId406" ref="E99"/>
    <hyperlink r:id="rId407" ref="J99"/>
    <hyperlink r:id="rId408" ref="K99"/>
    <hyperlink r:id="rId409" ref="E100"/>
    <hyperlink r:id="rId410" ref="J100"/>
    <hyperlink r:id="rId411" ref="K100"/>
    <hyperlink r:id="rId412" ref="E101"/>
    <hyperlink r:id="rId413" ref="J101"/>
    <hyperlink r:id="rId414" ref="K101"/>
    <hyperlink r:id="rId415" ref="E102"/>
    <hyperlink r:id="rId416" ref="J102"/>
    <hyperlink r:id="rId417" ref="K102"/>
    <hyperlink r:id="rId418" ref="E103"/>
    <hyperlink r:id="rId419" ref="J103"/>
    <hyperlink r:id="rId420" ref="E104"/>
    <hyperlink r:id="rId421" ref="J104"/>
    <hyperlink r:id="rId422" ref="K104"/>
    <hyperlink r:id="rId423" ref="E105"/>
    <hyperlink r:id="rId424" ref="J105"/>
    <hyperlink r:id="rId425" ref="K105"/>
    <hyperlink r:id="rId426" ref="E106"/>
    <hyperlink r:id="rId427" ref="J106"/>
    <hyperlink r:id="rId428" ref="K106"/>
    <hyperlink r:id="rId429" ref="E107"/>
    <hyperlink r:id="rId430" ref="J107"/>
    <hyperlink r:id="rId431" ref="K107"/>
    <hyperlink r:id="rId432" ref="E108"/>
    <hyperlink r:id="rId433" ref="J108"/>
    <hyperlink r:id="rId434" ref="K108"/>
    <hyperlink r:id="rId435" ref="E109"/>
    <hyperlink r:id="rId436" ref="J109"/>
    <hyperlink r:id="rId437" ref="K109"/>
    <hyperlink r:id="rId438" ref="E110"/>
    <hyperlink r:id="rId439" ref="J110"/>
    <hyperlink r:id="rId440" ref="K110"/>
    <hyperlink r:id="rId441" ref="E111"/>
    <hyperlink r:id="rId442" ref="J111"/>
    <hyperlink r:id="rId443" ref="K111"/>
    <hyperlink r:id="rId444" ref="E112"/>
    <hyperlink r:id="rId445" ref="J112"/>
    <hyperlink r:id="rId446" ref="K112"/>
    <hyperlink r:id="rId447" ref="AI112"/>
    <hyperlink r:id="rId448" ref="AJ112"/>
    <hyperlink r:id="rId449" ref="E113"/>
    <hyperlink r:id="rId450" ref="J113"/>
    <hyperlink r:id="rId451" ref="K113"/>
    <hyperlink r:id="rId452" ref="AH113"/>
    <hyperlink r:id="rId453" ref="E114"/>
    <hyperlink r:id="rId454" ref="J114"/>
    <hyperlink r:id="rId455" ref="K114"/>
    <hyperlink r:id="rId456" ref="AI114"/>
    <hyperlink r:id="rId457" ref="AJ114"/>
    <hyperlink r:id="rId458" ref="E115"/>
    <hyperlink r:id="rId459" ref="J115"/>
    <hyperlink r:id="rId460" ref="K115"/>
    <hyperlink r:id="rId461" ref="E116"/>
    <hyperlink r:id="rId462" ref="J116"/>
    <hyperlink r:id="rId463" ref="K116"/>
    <hyperlink r:id="rId464" ref="AI116"/>
    <hyperlink r:id="rId465" ref="E117"/>
    <hyperlink r:id="rId466" ref="J117"/>
    <hyperlink r:id="rId467" ref="K117"/>
    <hyperlink r:id="rId468" ref="E118"/>
    <hyperlink r:id="rId469" ref="J118"/>
    <hyperlink r:id="rId470" ref="K118"/>
    <hyperlink r:id="rId471" ref="E119"/>
    <hyperlink r:id="rId472" ref="J119"/>
    <hyperlink r:id="rId473" ref="K119"/>
    <hyperlink r:id="rId474" ref="E120"/>
    <hyperlink r:id="rId475" ref="J120"/>
    <hyperlink r:id="rId476" ref="K120"/>
    <hyperlink r:id="rId477" ref="E121"/>
    <hyperlink r:id="rId478" ref="J121"/>
    <hyperlink r:id="rId479" ref="K121"/>
    <hyperlink r:id="rId480" ref="AI121"/>
    <hyperlink r:id="rId481" ref="E122"/>
    <hyperlink r:id="rId482" ref="J122"/>
    <hyperlink r:id="rId483" ref="K122"/>
    <hyperlink r:id="rId484" ref="AI122"/>
    <hyperlink r:id="rId485" ref="E123"/>
    <hyperlink r:id="rId486" ref="J123"/>
    <hyperlink r:id="rId487" ref="K123"/>
    <hyperlink r:id="rId488" ref="E124"/>
    <hyperlink r:id="rId489" ref="J124"/>
    <hyperlink r:id="rId490" ref="K124"/>
    <hyperlink r:id="rId491" ref="AH124"/>
    <hyperlink r:id="rId492" ref="E125"/>
    <hyperlink r:id="rId493" ref="J125"/>
    <hyperlink r:id="rId494" ref="K125"/>
    <hyperlink r:id="rId495" ref="AH125"/>
    <hyperlink r:id="rId496" ref="E126"/>
    <hyperlink r:id="rId497" ref="J126"/>
    <hyperlink r:id="rId498" ref="K126"/>
    <hyperlink r:id="rId499" ref="E127"/>
    <hyperlink r:id="rId500" ref="J127"/>
    <hyperlink r:id="rId501" ref="K127"/>
    <hyperlink r:id="rId502" ref="E128"/>
    <hyperlink r:id="rId503" ref="J128"/>
    <hyperlink r:id="rId504" ref="K128"/>
    <hyperlink r:id="rId505" ref="E129"/>
    <hyperlink r:id="rId506" ref="J129"/>
    <hyperlink r:id="rId507" ref="K129"/>
    <hyperlink r:id="rId508" ref="E130"/>
    <hyperlink r:id="rId509" ref="J130"/>
    <hyperlink r:id="rId510" ref="K130"/>
    <hyperlink r:id="rId511" ref="AH130"/>
    <hyperlink r:id="rId512" ref="E131"/>
    <hyperlink r:id="rId513" ref="J131"/>
    <hyperlink r:id="rId514" ref="K131"/>
    <hyperlink r:id="rId515" ref="E132"/>
    <hyperlink r:id="rId516" ref="J132"/>
    <hyperlink r:id="rId517" ref="K132"/>
    <hyperlink r:id="rId518" ref="E133"/>
    <hyperlink r:id="rId519" ref="J133"/>
    <hyperlink r:id="rId520" ref="K133"/>
    <hyperlink r:id="rId521" ref="E134"/>
    <hyperlink r:id="rId522" ref="J134"/>
    <hyperlink r:id="rId523" ref="K134"/>
    <hyperlink r:id="rId524" ref="E135"/>
    <hyperlink r:id="rId525" ref="J135"/>
    <hyperlink r:id="rId526" ref="K135"/>
    <hyperlink r:id="rId527" ref="E136"/>
    <hyperlink r:id="rId528" ref="J136"/>
    <hyperlink r:id="rId529" ref="K136"/>
    <hyperlink r:id="rId530" ref="E137"/>
    <hyperlink r:id="rId531" ref="J137"/>
    <hyperlink r:id="rId532" ref="K137"/>
    <hyperlink r:id="rId533" ref="AI137"/>
    <hyperlink r:id="rId534" ref="E138"/>
    <hyperlink r:id="rId535" ref="J138"/>
    <hyperlink r:id="rId536" ref="K138"/>
    <hyperlink r:id="rId537" ref="E139"/>
    <hyperlink r:id="rId538" ref="J139"/>
    <hyperlink r:id="rId539" ref="K139"/>
    <hyperlink r:id="rId540" ref="AB139"/>
    <hyperlink r:id="rId541" ref="E140"/>
    <hyperlink r:id="rId542" ref="J140"/>
    <hyperlink r:id="rId543" ref="K140"/>
    <hyperlink r:id="rId544" ref="E141"/>
    <hyperlink r:id="rId545" ref="J141"/>
    <hyperlink r:id="rId546" ref="K141"/>
    <hyperlink r:id="rId547" ref="E142"/>
    <hyperlink r:id="rId548" ref="J142"/>
    <hyperlink r:id="rId549" ref="K142"/>
    <hyperlink r:id="rId550" ref="E143"/>
    <hyperlink r:id="rId551" ref="J143"/>
    <hyperlink r:id="rId552" ref="K143"/>
    <hyperlink r:id="rId553" ref="E144"/>
    <hyperlink r:id="rId554" ref="J144"/>
    <hyperlink r:id="rId555" ref="E145"/>
    <hyperlink r:id="rId556" ref="J145"/>
    <hyperlink r:id="rId557" ref="K145"/>
    <hyperlink r:id="rId558" ref="E146"/>
    <hyperlink r:id="rId559" ref="J146"/>
    <hyperlink r:id="rId560" ref="K146"/>
    <hyperlink r:id="rId561" ref="E147"/>
    <hyperlink r:id="rId562" ref="J147"/>
    <hyperlink r:id="rId563" ref="K147"/>
    <hyperlink r:id="rId564" ref="E148"/>
    <hyperlink r:id="rId565" ref="J148"/>
    <hyperlink r:id="rId566" ref="K148"/>
    <hyperlink r:id="rId567" ref="AB148"/>
    <hyperlink r:id="rId568" ref="E149"/>
    <hyperlink r:id="rId569" ref="J149"/>
    <hyperlink r:id="rId570" ref="K149"/>
    <hyperlink r:id="rId571" ref="E150"/>
    <hyperlink r:id="rId572" ref="J150"/>
    <hyperlink r:id="rId573" ref="K150"/>
    <hyperlink r:id="rId574" ref="AH150"/>
    <hyperlink r:id="rId575" ref="E151"/>
    <hyperlink r:id="rId576" ref="J151"/>
    <hyperlink r:id="rId577" ref="K151"/>
    <hyperlink r:id="rId578" ref="E152"/>
    <hyperlink r:id="rId579" ref="J152"/>
    <hyperlink r:id="rId580" ref="K152"/>
    <hyperlink r:id="rId581" ref="AI152"/>
    <hyperlink r:id="rId582" ref="AJ152"/>
    <hyperlink r:id="rId583" ref="E153"/>
    <hyperlink r:id="rId584" ref="J153"/>
    <hyperlink r:id="rId585" ref="K153"/>
    <hyperlink r:id="rId586" ref="E154"/>
    <hyperlink r:id="rId587" ref="J154"/>
    <hyperlink r:id="rId588" ref="K154"/>
    <hyperlink r:id="rId589" ref="E155"/>
    <hyperlink r:id="rId590" ref="J155"/>
    <hyperlink r:id="rId591" ref="K155"/>
    <hyperlink r:id="rId592" ref="AH155"/>
    <hyperlink r:id="rId593" ref="AI155"/>
    <hyperlink r:id="rId594" ref="E156"/>
    <hyperlink r:id="rId595" ref="J156"/>
    <hyperlink r:id="rId596" ref="K156"/>
    <hyperlink r:id="rId597" ref="E157"/>
    <hyperlink r:id="rId598" ref="J157"/>
    <hyperlink r:id="rId599" ref="K157"/>
    <hyperlink r:id="rId600" ref="AI157"/>
    <hyperlink r:id="rId601" ref="AJ157"/>
    <hyperlink r:id="rId602" ref="E158"/>
    <hyperlink r:id="rId603" ref="J158"/>
    <hyperlink r:id="rId604" ref="K158"/>
    <hyperlink r:id="rId605" ref="AH158"/>
    <hyperlink r:id="rId606" ref="E159"/>
    <hyperlink r:id="rId607" ref="J159"/>
    <hyperlink r:id="rId608" ref="K159"/>
    <hyperlink r:id="rId609" ref="E160"/>
    <hyperlink r:id="rId610" ref="J160"/>
    <hyperlink r:id="rId611" ref="K160"/>
    <hyperlink r:id="rId612" ref="E161"/>
    <hyperlink r:id="rId613" ref="J161"/>
    <hyperlink r:id="rId614" ref="K161"/>
    <hyperlink r:id="rId615" ref="E162"/>
    <hyperlink r:id="rId616" ref="J162"/>
    <hyperlink r:id="rId617" ref="K162"/>
    <hyperlink r:id="rId618" ref="E163"/>
    <hyperlink r:id="rId619" ref="J163"/>
    <hyperlink r:id="rId620" ref="K163"/>
    <hyperlink r:id="rId621" ref="E164"/>
    <hyperlink r:id="rId622" ref="J164"/>
    <hyperlink r:id="rId623" ref="K164"/>
    <hyperlink r:id="rId624" ref="E165"/>
    <hyperlink r:id="rId625" ref="J165"/>
    <hyperlink r:id="rId626" ref="K165"/>
    <hyperlink r:id="rId627" ref="E166"/>
    <hyperlink r:id="rId628" ref="J166"/>
    <hyperlink r:id="rId629" ref="K166"/>
    <hyperlink r:id="rId630" ref="AI166"/>
    <hyperlink r:id="rId631" ref="AJ166"/>
    <hyperlink r:id="rId632" ref="E167"/>
    <hyperlink r:id="rId633" ref="J167"/>
    <hyperlink r:id="rId634" ref="K167"/>
    <hyperlink r:id="rId635" ref="E168"/>
    <hyperlink r:id="rId636" ref="J168"/>
    <hyperlink r:id="rId637" ref="K168"/>
    <hyperlink r:id="rId638" ref="E169"/>
    <hyperlink r:id="rId639" ref="J169"/>
    <hyperlink r:id="rId640" ref="K169"/>
    <hyperlink r:id="rId641" ref="E170"/>
    <hyperlink r:id="rId642" ref="J170"/>
    <hyperlink r:id="rId643" ref="K170"/>
    <hyperlink r:id="rId644" ref="E171"/>
    <hyperlink r:id="rId645" ref="J171"/>
    <hyperlink r:id="rId646" ref="K171"/>
    <hyperlink r:id="rId647" ref="AI171"/>
    <hyperlink r:id="rId648" ref="E172"/>
    <hyperlink r:id="rId649" ref="J172"/>
    <hyperlink r:id="rId650" ref="K172"/>
    <hyperlink r:id="rId651" ref="AA172"/>
    <hyperlink r:id="rId652" ref="E173"/>
    <hyperlink r:id="rId653" ref="J173"/>
    <hyperlink r:id="rId654" ref="K173"/>
    <hyperlink r:id="rId655" ref="E174"/>
    <hyperlink r:id="rId656" ref="J174"/>
    <hyperlink r:id="rId657" ref="K174"/>
    <hyperlink r:id="rId658" ref="E175"/>
    <hyperlink r:id="rId659" ref="J175"/>
    <hyperlink r:id="rId660" ref="K175"/>
    <hyperlink r:id="rId661" ref="AI175"/>
    <hyperlink r:id="rId662" ref="AJ175"/>
    <hyperlink r:id="rId663" ref="E176"/>
    <hyperlink r:id="rId664" ref="J176"/>
    <hyperlink r:id="rId665" ref="K176"/>
    <hyperlink r:id="rId666" ref="AI176"/>
    <hyperlink r:id="rId667" ref="E177"/>
    <hyperlink r:id="rId668" ref="J177"/>
    <hyperlink r:id="rId669" ref="K177"/>
    <hyperlink r:id="rId670" ref="E178"/>
    <hyperlink r:id="rId671" ref="J178"/>
    <hyperlink r:id="rId672" ref="K178"/>
    <hyperlink r:id="rId673" ref="E179"/>
    <hyperlink r:id="rId674" ref="J179"/>
    <hyperlink r:id="rId675" ref="K179"/>
    <hyperlink r:id="rId676" ref="E180"/>
    <hyperlink r:id="rId677" ref="J180"/>
    <hyperlink r:id="rId678" ref="K180"/>
    <hyperlink r:id="rId679" ref="E181"/>
    <hyperlink r:id="rId680" ref="J181"/>
    <hyperlink r:id="rId681" ref="K181"/>
    <hyperlink r:id="rId682" ref="E182"/>
    <hyperlink r:id="rId683" ref="J182"/>
    <hyperlink r:id="rId684" ref="K182"/>
    <hyperlink r:id="rId685" ref="AA182"/>
    <hyperlink r:id="rId686" ref="E183"/>
    <hyperlink r:id="rId687" ref="J183"/>
    <hyperlink r:id="rId688" ref="K183"/>
    <hyperlink r:id="rId689" ref="E184"/>
    <hyperlink r:id="rId690" ref="J184"/>
    <hyperlink r:id="rId691" ref="K184"/>
    <hyperlink r:id="rId692" ref="AH184"/>
    <hyperlink r:id="rId693" ref="E185"/>
    <hyperlink r:id="rId694" ref="J185"/>
    <hyperlink r:id="rId695" ref="K185"/>
    <hyperlink r:id="rId696" ref="E186"/>
    <hyperlink r:id="rId697" ref="J186"/>
    <hyperlink r:id="rId698" ref="K186"/>
    <hyperlink r:id="rId699" ref="E187"/>
    <hyperlink r:id="rId700" ref="J187"/>
    <hyperlink r:id="rId701" ref="K187"/>
    <hyperlink r:id="rId702" ref="AI187"/>
    <hyperlink r:id="rId703" ref="E188"/>
    <hyperlink r:id="rId704" ref="J188"/>
    <hyperlink r:id="rId705" ref="K188"/>
    <hyperlink r:id="rId706" ref="E189"/>
    <hyperlink r:id="rId707" ref="J189"/>
    <hyperlink r:id="rId708" ref="K189"/>
    <hyperlink r:id="rId709" ref="E190"/>
    <hyperlink r:id="rId710" ref="J190"/>
    <hyperlink r:id="rId711" ref="K190"/>
    <hyperlink r:id="rId712" ref="E191"/>
    <hyperlink r:id="rId713" ref="J191"/>
    <hyperlink r:id="rId714" ref="K191"/>
    <hyperlink r:id="rId715" ref="E192"/>
    <hyperlink r:id="rId716" ref="J192"/>
    <hyperlink r:id="rId717" ref="AH192"/>
    <hyperlink r:id="rId718" ref="AI192"/>
    <hyperlink r:id="rId719" ref="E193"/>
    <hyperlink r:id="rId720" ref="J193"/>
    <hyperlink r:id="rId721" ref="K193"/>
    <hyperlink r:id="rId722" ref="E194"/>
    <hyperlink r:id="rId723" ref="J194"/>
    <hyperlink r:id="rId724" ref="K194"/>
    <hyperlink r:id="rId725" ref="E195"/>
    <hyperlink r:id="rId726" ref="J195"/>
    <hyperlink r:id="rId727" ref="K195"/>
    <hyperlink r:id="rId728" ref="E196"/>
    <hyperlink r:id="rId729" ref="J196"/>
    <hyperlink r:id="rId730" ref="K196"/>
    <hyperlink r:id="rId731" ref="E197"/>
    <hyperlink r:id="rId732" ref="J197"/>
    <hyperlink r:id="rId733" ref="K197"/>
    <hyperlink r:id="rId734" ref="E198"/>
    <hyperlink r:id="rId735" ref="J198"/>
    <hyperlink r:id="rId736" ref="K198"/>
    <hyperlink r:id="rId737" ref="M198"/>
    <hyperlink r:id="rId738" ref="AH198"/>
    <hyperlink r:id="rId739" ref="E199"/>
    <hyperlink r:id="rId740" ref="J199"/>
    <hyperlink r:id="rId741" ref="K199"/>
    <hyperlink r:id="rId742" ref="Z199"/>
    <hyperlink r:id="rId743" ref="AA199"/>
    <hyperlink r:id="rId744" ref="E200"/>
    <hyperlink r:id="rId745" ref="J200"/>
    <hyperlink r:id="rId746" ref="K200"/>
    <hyperlink r:id="rId747" ref="E201"/>
    <hyperlink r:id="rId748" ref="J201"/>
    <hyperlink r:id="rId749" ref="K201"/>
    <hyperlink r:id="rId750" ref="E202"/>
    <hyperlink r:id="rId751" ref="J202"/>
    <hyperlink r:id="rId752" ref="K202"/>
    <hyperlink r:id="rId753" ref="E203"/>
    <hyperlink r:id="rId754" ref="J203"/>
    <hyperlink r:id="rId755" ref="K203"/>
    <hyperlink r:id="rId756" ref="E204"/>
    <hyperlink r:id="rId757" ref="J204"/>
    <hyperlink r:id="rId758" ref="K204"/>
    <hyperlink r:id="rId759" ref="AI204"/>
    <hyperlink r:id="rId760" ref="E205"/>
    <hyperlink r:id="rId761" ref="J205"/>
    <hyperlink r:id="rId762" ref="K205"/>
    <hyperlink r:id="rId763" ref="E206"/>
    <hyperlink r:id="rId764" ref="J206"/>
    <hyperlink r:id="rId765" ref="K206"/>
    <hyperlink r:id="rId766" ref="E207"/>
    <hyperlink r:id="rId767" ref="J207"/>
    <hyperlink r:id="rId768" ref="K207"/>
    <hyperlink r:id="rId769" ref="AA207"/>
    <hyperlink r:id="rId770" ref="E208"/>
    <hyperlink r:id="rId771" ref="J208"/>
    <hyperlink r:id="rId772" ref="K208"/>
    <hyperlink r:id="rId773" ref="E209"/>
    <hyperlink r:id="rId774" ref="J209"/>
    <hyperlink r:id="rId775" ref="K209"/>
    <hyperlink r:id="rId776" ref="AH209"/>
    <hyperlink r:id="rId777" ref="E210"/>
    <hyperlink r:id="rId778" ref="J210"/>
    <hyperlink r:id="rId779" ref="K210"/>
    <hyperlink r:id="rId780" ref="E211"/>
    <hyperlink r:id="rId781" ref="J211"/>
    <hyperlink r:id="rId782" ref="K211"/>
    <hyperlink r:id="rId783" ref="AA211"/>
    <hyperlink r:id="rId784" ref="E212"/>
    <hyperlink r:id="rId785" ref="J212"/>
    <hyperlink r:id="rId786" ref="K212"/>
    <hyperlink r:id="rId787" ref="AI212"/>
    <hyperlink r:id="rId788" ref="E213"/>
    <hyperlink r:id="rId789" ref="J213"/>
    <hyperlink r:id="rId790" ref="K213"/>
    <hyperlink r:id="rId791" ref="E214"/>
    <hyperlink r:id="rId792" ref="J214"/>
    <hyperlink r:id="rId793" ref="K214"/>
    <hyperlink r:id="rId794" ref="E215"/>
    <hyperlink r:id="rId795" ref="J215"/>
    <hyperlink r:id="rId796" ref="K215"/>
    <hyperlink r:id="rId797" ref="AB215"/>
    <hyperlink r:id="rId798" ref="E216"/>
    <hyperlink r:id="rId799" ref="J216"/>
    <hyperlink r:id="rId800" ref="K216"/>
    <hyperlink r:id="rId801" ref="E217"/>
    <hyperlink r:id="rId802" ref="J217"/>
    <hyperlink r:id="rId803" ref="K217"/>
    <hyperlink r:id="rId804" ref="E218"/>
    <hyperlink r:id="rId805" ref="J218"/>
    <hyperlink r:id="rId806" ref="K218"/>
    <hyperlink r:id="rId807" ref="E219"/>
    <hyperlink r:id="rId808" ref="J219"/>
    <hyperlink r:id="rId809" ref="K219"/>
    <hyperlink r:id="rId810" ref="E220"/>
    <hyperlink r:id="rId811" ref="J220"/>
    <hyperlink r:id="rId812" ref="K220"/>
    <hyperlink r:id="rId813" ref="E221"/>
    <hyperlink r:id="rId814" ref="J221"/>
    <hyperlink r:id="rId815" ref="K221"/>
    <hyperlink r:id="rId816" ref="AI221"/>
    <hyperlink r:id="rId817" ref="E222"/>
    <hyperlink r:id="rId818" ref="J222"/>
    <hyperlink r:id="rId819" ref="K222"/>
    <hyperlink r:id="rId820" ref="AI222"/>
    <hyperlink r:id="rId821" ref="AJ222"/>
    <hyperlink r:id="rId822" ref="E223"/>
    <hyperlink r:id="rId823" ref="J223"/>
    <hyperlink r:id="rId824" ref="K223"/>
    <hyperlink r:id="rId825" ref="AI223"/>
    <hyperlink r:id="rId826" ref="E224"/>
    <hyperlink r:id="rId827" ref="J224"/>
    <hyperlink r:id="rId828" ref="K224"/>
    <hyperlink r:id="rId829" ref="AI224"/>
    <hyperlink r:id="rId830" ref="AJ224"/>
    <hyperlink r:id="rId831" ref="E225"/>
    <hyperlink r:id="rId832" ref="J225"/>
    <hyperlink r:id="rId833" ref="K225"/>
    <hyperlink r:id="rId834" ref="E226"/>
    <hyperlink r:id="rId835" ref="J226"/>
    <hyperlink r:id="rId836" ref="K226"/>
    <hyperlink r:id="rId837" ref="AH226"/>
    <hyperlink r:id="rId838" ref="AI226"/>
    <hyperlink r:id="rId839" ref="E227"/>
    <hyperlink r:id="rId840" ref="J227"/>
    <hyperlink r:id="rId841" ref="K227"/>
    <hyperlink r:id="rId842" ref="E228"/>
    <hyperlink r:id="rId843" ref="J228"/>
    <hyperlink r:id="rId844" ref="K228"/>
    <hyperlink r:id="rId845" ref="AI228"/>
    <hyperlink r:id="rId846" ref="AJ228"/>
    <hyperlink r:id="rId847" ref="E229"/>
    <hyperlink r:id="rId848" ref="J229"/>
    <hyperlink r:id="rId849" ref="K229"/>
    <hyperlink r:id="rId850" ref="AH229"/>
    <hyperlink r:id="rId851" ref="AI229"/>
    <hyperlink r:id="rId852" ref="E230"/>
    <hyperlink r:id="rId853" ref="J230"/>
    <hyperlink r:id="rId854" ref="K230"/>
    <hyperlink r:id="rId855" ref="E231"/>
    <hyperlink r:id="rId856" ref="J231"/>
    <hyperlink r:id="rId857" ref="K231"/>
    <hyperlink r:id="rId858" ref="AH231"/>
    <hyperlink r:id="rId859" ref="E232"/>
    <hyperlink r:id="rId860" ref="J232"/>
    <hyperlink r:id="rId861" ref="AH232"/>
    <hyperlink r:id="rId862" ref="AI232"/>
    <hyperlink r:id="rId863" ref="E233"/>
    <hyperlink r:id="rId864" ref="J233"/>
    <hyperlink r:id="rId865" ref="K233"/>
    <hyperlink r:id="rId866" ref="E234"/>
    <hyperlink r:id="rId867" ref="J234"/>
    <hyperlink r:id="rId868" ref="K234"/>
    <hyperlink r:id="rId869" ref="E235"/>
    <hyperlink r:id="rId870" ref="J235"/>
    <hyperlink r:id="rId871" ref="K235"/>
    <hyperlink r:id="rId872" ref="E236"/>
    <hyperlink r:id="rId873" ref="J236"/>
    <hyperlink r:id="rId874" ref="K236"/>
    <hyperlink r:id="rId875" ref="E237"/>
    <hyperlink r:id="rId876" ref="J237"/>
    <hyperlink r:id="rId877" ref="K237"/>
    <hyperlink r:id="rId878" ref="AH237"/>
    <hyperlink r:id="rId879" ref="E238"/>
    <hyperlink r:id="rId880" ref="J238"/>
    <hyperlink r:id="rId881" ref="K238"/>
    <hyperlink r:id="rId882" ref="E239"/>
    <hyperlink r:id="rId883" ref="J239"/>
    <hyperlink r:id="rId884" ref="K239"/>
    <hyperlink r:id="rId885" ref="AI239"/>
    <hyperlink r:id="rId886" ref="E240"/>
    <hyperlink r:id="rId887" ref="J240"/>
    <hyperlink r:id="rId888" ref="K240"/>
    <hyperlink r:id="rId889" ref="E241"/>
    <hyperlink r:id="rId890" ref="J241"/>
    <hyperlink r:id="rId891" ref="K241"/>
    <hyperlink r:id="rId892" ref="E242"/>
    <hyperlink r:id="rId893" ref="J242"/>
    <hyperlink r:id="rId894" ref="K242"/>
    <hyperlink r:id="rId895" ref="E243"/>
    <hyperlink r:id="rId896" ref="J243"/>
    <hyperlink r:id="rId897" ref="K243"/>
    <hyperlink r:id="rId898" ref="E244"/>
    <hyperlink r:id="rId899" ref="J244"/>
    <hyperlink r:id="rId900" ref="K244"/>
    <hyperlink r:id="rId901" ref="E245"/>
    <hyperlink r:id="rId902" ref="J245"/>
    <hyperlink r:id="rId903" ref="K245"/>
    <hyperlink r:id="rId904" ref="AB245"/>
    <hyperlink r:id="rId905" ref="E246"/>
    <hyperlink r:id="rId906" ref="J246"/>
    <hyperlink r:id="rId907" ref="K246"/>
    <hyperlink r:id="rId908" ref="E247"/>
    <hyperlink r:id="rId909" ref="J247"/>
    <hyperlink r:id="rId910" ref="K247"/>
    <hyperlink r:id="rId911" ref="E248"/>
    <hyperlink r:id="rId912" ref="J248"/>
    <hyperlink r:id="rId913" ref="K248"/>
    <hyperlink r:id="rId914" ref="E249"/>
    <hyperlink r:id="rId915" ref="J249"/>
    <hyperlink r:id="rId916" ref="K249"/>
    <hyperlink r:id="rId917" ref="E250"/>
    <hyperlink r:id="rId918" ref="J250"/>
    <hyperlink r:id="rId919" ref="K250"/>
    <hyperlink r:id="rId920" ref="E251"/>
    <hyperlink r:id="rId921" ref="J251"/>
    <hyperlink r:id="rId922" ref="K251"/>
    <hyperlink r:id="rId923" ref="E252"/>
    <hyperlink r:id="rId924" ref="J252"/>
    <hyperlink r:id="rId925" ref="K252"/>
    <hyperlink r:id="rId926" ref="E253"/>
    <hyperlink r:id="rId927" ref="J253"/>
    <hyperlink r:id="rId928" ref="K253"/>
    <hyperlink r:id="rId929" ref="E254"/>
    <hyperlink r:id="rId930" ref="J254"/>
    <hyperlink r:id="rId931" ref="K254"/>
    <hyperlink r:id="rId932" ref="E255"/>
    <hyperlink r:id="rId933" ref="J255"/>
    <hyperlink r:id="rId934" ref="K255"/>
    <hyperlink r:id="rId935" ref="E256"/>
    <hyperlink r:id="rId936" ref="J256"/>
    <hyperlink r:id="rId937" ref="K256"/>
    <hyperlink r:id="rId938" ref="E257"/>
    <hyperlink r:id="rId939" ref="J257"/>
    <hyperlink r:id="rId940" ref="K257"/>
    <hyperlink r:id="rId941" ref="E258"/>
    <hyperlink r:id="rId942" ref="J258"/>
    <hyperlink r:id="rId943" ref="K258"/>
    <hyperlink r:id="rId944" ref="E259"/>
    <hyperlink r:id="rId945" ref="J259"/>
    <hyperlink r:id="rId946" ref="K259"/>
    <hyperlink r:id="rId947" ref="AB259"/>
    <hyperlink r:id="rId948" ref="E260"/>
    <hyperlink r:id="rId949" ref="J260"/>
    <hyperlink r:id="rId950" ref="K260"/>
    <hyperlink r:id="rId951" ref="E261"/>
    <hyperlink r:id="rId952" ref="J261"/>
    <hyperlink r:id="rId953" ref="K261"/>
    <hyperlink r:id="rId954" ref="E262"/>
    <hyperlink r:id="rId955" ref="J262"/>
    <hyperlink r:id="rId956" ref="K262"/>
    <hyperlink r:id="rId957" ref="E263"/>
    <hyperlink r:id="rId958" ref="J263"/>
    <hyperlink r:id="rId959" ref="K263"/>
    <hyperlink r:id="rId960" ref="E264"/>
    <hyperlink r:id="rId961" ref="J264"/>
    <hyperlink r:id="rId962" ref="K264"/>
    <hyperlink r:id="rId963" ref="E265"/>
    <hyperlink r:id="rId964" ref="J265"/>
    <hyperlink r:id="rId965" ref="K265"/>
    <hyperlink r:id="rId966" ref="E266"/>
    <hyperlink r:id="rId967" ref="J266"/>
    <hyperlink r:id="rId968" ref="K266"/>
    <hyperlink r:id="rId969" ref="AI266"/>
    <hyperlink r:id="rId970" ref="E267"/>
    <hyperlink r:id="rId971" ref="J267"/>
    <hyperlink r:id="rId972" ref="K267"/>
    <hyperlink r:id="rId973" ref="E268"/>
    <hyperlink r:id="rId974" ref="J268"/>
    <hyperlink r:id="rId975" ref="K268"/>
    <hyperlink r:id="rId976" ref="E269"/>
    <hyperlink r:id="rId977" ref="J269"/>
    <hyperlink r:id="rId978" ref="K269"/>
    <hyperlink r:id="rId979" ref="E270"/>
    <hyperlink r:id="rId980" ref="J270"/>
    <hyperlink r:id="rId981" ref="K270"/>
    <hyperlink r:id="rId982" ref="E271"/>
    <hyperlink r:id="rId983" ref="J271"/>
    <hyperlink r:id="rId984" ref="K271"/>
    <hyperlink r:id="rId985" ref="E272"/>
    <hyperlink r:id="rId986" ref="J272"/>
    <hyperlink r:id="rId987" ref="K272"/>
    <hyperlink r:id="rId988" ref="AA272"/>
    <hyperlink r:id="rId989" ref="E273"/>
    <hyperlink r:id="rId990" ref="J273"/>
    <hyperlink r:id="rId991" ref="K273"/>
    <hyperlink r:id="rId992" ref="E274"/>
    <hyperlink r:id="rId993" ref="J274"/>
    <hyperlink r:id="rId994" ref="K274"/>
    <hyperlink r:id="rId995" ref="AH274"/>
    <hyperlink r:id="rId996" ref="AI274"/>
    <hyperlink r:id="rId997" ref="E275"/>
    <hyperlink r:id="rId998" ref="J275"/>
    <hyperlink r:id="rId999" ref="K275"/>
    <hyperlink r:id="rId1000" ref="E276"/>
    <hyperlink r:id="rId1001" ref="J276"/>
    <hyperlink r:id="rId1002" ref="K276"/>
    <hyperlink r:id="rId1003" ref="E277"/>
    <hyperlink r:id="rId1004" ref="J277"/>
    <hyperlink r:id="rId1005" ref="K277"/>
    <hyperlink r:id="rId1006" ref="AA277"/>
    <hyperlink r:id="rId1007" ref="E278"/>
    <hyperlink r:id="rId1008" ref="J278"/>
    <hyperlink r:id="rId1009" ref="K278"/>
    <hyperlink r:id="rId1010" ref="E279"/>
    <hyperlink r:id="rId1011" ref="J279"/>
    <hyperlink r:id="rId1012" ref="K279"/>
    <hyperlink r:id="rId1013" ref="E280"/>
    <hyperlink r:id="rId1014" ref="J280"/>
    <hyperlink r:id="rId1015" ref="K280"/>
    <hyperlink r:id="rId1016" ref="E281"/>
    <hyperlink r:id="rId1017" ref="J281"/>
    <hyperlink r:id="rId1018" ref="K281"/>
    <hyperlink r:id="rId1019" ref="E282"/>
    <hyperlink r:id="rId1020" ref="J282"/>
    <hyperlink r:id="rId1021" ref="K282"/>
    <hyperlink r:id="rId1022" ref="E283"/>
    <hyperlink r:id="rId1023" ref="J283"/>
    <hyperlink r:id="rId1024" ref="K283"/>
    <hyperlink r:id="rId1025" ref="E284"/>
    <hyperlink r:id="rId1026" ref="J284"/>
    <hyperlink r:id="rId1027" ref="K284"/>
    <hyperlink r:id="rId1028" ref="E285"/>
    <hyperlink r:id="rId1029" ref="J285"/>
    <hyperlink r:id="rId1030" ref="K285"/>
    <hyperlink r:id="rId1031" ref="E286"/>
    <hyperlink r:id="rId1032" ref="J286"/>
    <hyperlink r:id="rId1033" ref="K286"/>
    <hyperlink r:id="rId1034" ref="E287"/>
    <hyperlink r:id="rId1035" ref="J287"/>
    <hyperlink r:id="rId1036" ref="K287"/>
    <hyperlink r:id="rId1037" ref="E288"/>
    <hyperlink r:id="rId1038" ref="J288"/>
    <hyperlink r:id="rId1039" ref="K288"/>
    <hyperlink r:id="rId1040" ref="AI288"/>
    <hyperlink r:id="rId1041" ref="E289"/>
    <hyperlink r:id="rId1042" ref="J289"/>
    <hyperlink r:id="rId1043" ref="K289"/>
    <hyperlink r:id="rId1044" ref="E290"/>
    <hyperlink r:id="rId1045" ref="J290"/>
    <hyperlink r:id="rId1046" ref="K290"/>
    <hyperlink r:id="rId1047" ref="AH290"/>
    <hyperlink r:id="rId1048" ref="E291"/>
    <hyperlink r:id="rId1049" ref="J291"/>
    <hyperlink r:id="rId1050" ref="K291"/>
    <hyperlink r:id="rId1051" ref="AH291"/>
    <hyperlink r:id="rId1052" ref="E292"/>
    <hyperlink r:id="rId1053" ref="J292"/>
    <hyperlink r:id="rId1054" ref="K292"/>
    <hyperlink r:id="rId1055" ref="E293"/>
    <hyperlink r:id="rId1056" ref="J293"/>
    <hyperlink r:id="rId1057" ref="K293"/>
    <hyperlink r:id="rId1058" ref="E294"/>
    <hyperlink r:id="rId1059" ref="J294"/>
    <hyperlink r:id="rId1060" ref="K294"/>
    <hyperlink r:id="rId1061" ref="AH294"/>
    <hyperlink r:id="rId1062" ref="AI294"/>
    <hyperlink r:id="rId1063" ref="E295"/>
    <hyperlink r:id="rId1064" ref="J295"/>
    <hyperlink r:id="rId1065" ref="K295"/>
    <hyperlink r:id="rId1066" ref="E296"/>
    <hyperlink r:id="rId1067" ref="J296"/>
    <hyperlink r:id="rId1068" ref="K296"/>
    <hyperlink r:id="rId1069" ref="E297"/>
    <hyperlink r:id="rId1070" ref="J297"/>
    <hyperlink r:id="rId1071" ref="K297"/>
    <hyperlink r:id="rId1072" ref="E298"/>
    <hyperlink r:id="rId1073" ref="J298"/>
    <hyperlink r:id="rId1074" ref="K298"/>
    <hyperlink r:id="rId1075" ref="E299"/>
    <hyperlink r:id="rId1076" ref="J299"/>
    <hyperlink r:id="rId1077" ref="K299"/>
    <hyperlink r:id="rId1078" ref="E300"/>
    <hyperlink r:id="rId1079" ref="J300"/>
    <hyperlink r:id="rId1080" ref="K300"/>
    <hyperlink r:id="rId1081" ref="AI300"/>
    <hyperlink r:id="rId1082" ref="AJ300"/>
    <hyperlink r:id="rId1083" ref="E301"/>
    <hyperlink r:id="rId1084" ref="J301"/>
    <hyperlink r:id="rId1085" ref="K301"/>
    <hyperlink r:id="rId1086" ref="E302"/>
    <hyperlink r:id="rId1087" ref="J302"/>
    <hyperlink r:id="rId1088" ref="K302"/>
    <hyperlink r:id="rId1089" ref="E303"/>
    <hyperlink r:id="rId1090" ref="J303"/>
    <hyperlink r:id="rId1091" ref="K303"/>
    <hyperlink r:id="rId1092" ref="E304"/>
    <hyperlink r:id="rId1093" ref="J304"/>
    <hyperlink r:id="rId1094" ref="K304"/>
    <hyperlink r:id="rId1095" ref="E305"/>
    <hyperlink r:id="rId1096" ref="J305"/>
    <hyperlink r:id="rId1097" ref="K305"/>
    <hyperlink r:id="rId1098" ref="E306"/>
    <hyperlink r:id="rId1099" ref="J306"/>
    <hyperlink r:id="rId1100" ref="K306"/>
    <hyperlink r:id="rId1101" ref="AI306"/>
    <hyperlink r:id="rId1102" ref="E307"/>
    <hyperlink r:id="rId1103" ref="J307"/>
    <hyperlink r:id="rId1104" ref="K307"/>
    <hyperlink r:id="rId1105" ref="E308"/>
    <hyperlink r:id="rId1106" ref="J308"/>
    <hyperlink r:id="rId1107" ref="K308"/>
    <hyperlink r:id="rId1108" ref="AI308"/>
    <hyperlink r:id="rId1109" ref="E309"/>
    <hyperlink r:id="rId1110" ref="J309"/>
    <hyperlink r:id="rId1111" ref="AH309"/>
    <hyperlink r:id="rId1112" ref="AI309"/>
    <hyperlink r:id="rId1113" ref="E310"/>
    <hyperlink r:id="rId1114" ref="J310"/>
    <hyperlink r:id="rId1115" ref="K310"/>
    <hyperlink r:id="rId1116" ref="AH310"/>
    <hyperlink r:id="rId1117" ref="AI310"/>
    <hyperlink r:id="rId1118" ref="E311"/>
    <hyperlink r:id="rId1119" ref="J311"/>
    <hyperlink r:id="rId1120" ref="K311"/>
    <hyperlink r:id="rId1121" ref="E312"/>
    <hyperlink r:id="rId1122" ref="J312"/>
    <hyperlink r:id="rId1123" ref="K312"/>
    <hyperlink r:id="rId1124" ref="AI312"/>
    <hyperlink r:id="rId1125" ref="E313"/>
    <hyperlink r:id="rId1126" ref="J313"/>
    <hyperlink r:id="rId1127" ref="K313"/>
    <hyperlink r:id="rId1128" ref="AH313"/>
    <hyperlink r:id="rId1129" ref="E314"/>
    <hyperlink r:id="rId1130" ref="H314"/>
    <hyperlink r:id="rId1131" ref="J314"/>
    <hyperlink r:id="rId1132" ref="K314"/>
    <hyperlink r:id="rId1133" ref="AH314"/>
    <hyperlink r:id="rId1134" ref="E315"/>
    <hyperlink r:id="rId1135" ref="J315"/>
    <hyperlink r:id="rId1136" ref="K315"/>
    <hyperlink r:id="rId1137" ref="AI315"/>
    <hyperlink r:id="rId1138" ref="E316"/>
    <hyperlink r:id="rId1139" ref="J316"/>
    <hyperlink r:id="rId1140" ref="K316"/>
    <hyperlink r:id="rId1141" ref="AH316"/>
    <hyperlink r:id="rId1142" ref="E317"/>
    <hyperlink r:id="rId1143" ref="J317"/>
    <hyperlink r:id="rId1144" ref="K317"/>
    <hyperlink r:id="rId1145" ref="AH317"/>
    <hyperlink r:id="rId1146" ref="E318"/>
    <hyperlink r:id="rId1147" ref="J318"/>
    <hyperlink r:id="rId1148" ref="K318"/>
    <hyperlink r:id="rId1149" ref="AA318"/>
    <hyperlink r:id="rId1150" ref="E319"/>
    <hyperlink r:id="rId1151" ref="J319"/>
    <hyperlink r:id="rId1152" ref="K319"/>
    <hyperlink r:id="rId1153" ref="E320"/>
    <hyperlink r:id="rId1154" ref="J320"/>
    <hyperlink r:id="rId1155" ref="K320"/>
    <hyperlink r:id="rId1156" ref="AI320"/>
    <hyperlink r:id="rId1157" ref="AJ320"/>
    <hyperlink r:id="rId1158" ref="E321"/>
    <hyperlink r:id="rId1159" ref="J321"/>
    <hyperlink r:id="rId1160" ref="K321"/>
    <hyperlink r:id="rId1161" ref="E322"/>
    <hyperlink r:id="rId1162" ref="J322"/>
    <hyperlink r:id="rId1163" ref="K322"/>
    <hyperlink r:id="rId1164" ref="E323"/>
    <hyperlink r:id="rId1165" ref="J323"/>
    <hyperlink r:id="rId1166" ref="K323"/>
    <hyperlink r:id="rId1167" ref="E324"/>
    <hyperlink r:id="rId1168" ref="J324"/>
    <hyperlink r:id="rId1169" ref="K324"/>
    <hyperlink r:id="rId1170" ref="E325"/>
    <hyperlink r:id="rId1171" ref="J325"/>
    <hyperlink r:id="rId1172" ref="K325"/>
    <hyperlink r:id="rId1173" ref="E326"/>
    <hyperlink r:id="rId1174" ref="J326"/>
    <hyperlink r:id="rId1175" ref="K326"/>
    <hyperlink r:id="rId1176" ref="E327"/>
    <hyperlink r:id="rId1177" ref="J327"/>
    <hyperlink r:id="rId1178" ref="K327"/>
    <hyperlink r:id="rId1179" ref="E328"/>
    <hyperlink r:id="rId1180" ref="J328"/>
    <hyperlink r:id="rId1181" ref="K328"/>
    <hyperlink r:id="rId1182" ref="E329"/>
    <hyperlink r:id="rId1183" ref="J329"/>
    <hyperlink r:id="rId1184" ref="K329"/>
    <hyperlink r:id="rId1185" ref="E330"/>
    <hyperlink r:id="rId1186" ref="J330"/>
    <hyperlink r:id="rId1187" ref="K330"/>
    <hyperlink r:id="rId1188" ref="AH330"/>
    <hyperlink r:id="rId1189" ref="E331"/>
    <hyperlink r:id="rId1190" ref="J331"/>
    <hyperlink r:id="rId1191" ref="K331"/>
    <hyperlink r:id="rId1192" ref="E332"/>
    <hyperlink r:id="rId1193" ref="J332"/>
    <hyperlink r:id="rId1194" ref="K332"/>
    <hyperlink r:id="rId1195" ref="E333"/>
    <hyperlink r:id="rId1196" ref="J333"/>
    <hyperlink r:id="rId1197" ref="K333"/>
    <hyperlink r:id="rId1198" ref="AH333"/>
    <hyperlink r:id="rId1199" ref="E334"/>
    <hyperlink r:id="rId1200" ref="J334"/>
    <hyperlink r:id="rId1201" ref="K334"/>
    <hyperlink r:id="rId1202" ref="AH334"/>
    <hyperlink r:id="rId1203" ref="E335"/>
    <hyperlink r:id="rId1204" ref="J335"/>
    <hyperlink r:id="rId1205" ref="K335"/>
    <hyperlink r:id="rId1206" ref="AH335"/>
  </hyperlinks>
  <drawing r:id="rId12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idden="1">
      <c r="A2" s="1" t="s">
        <v>40</v>
      </c>
      <c r="B2" s="1" t="s">
        <v>41</v>
      </c>
      <c r="C2" s="4">
        <v>45991.90923611111</v>
      </c>
      <c r="D2" s="5">
        <v>1.764539358E9</v>
      </c>
      <c r="E2" s="7" t="s">
        <v>42</v>
      </c>
      <c r="F2" s="1" t="s">
        <v>47</v>
      </c>
      <c r="G2" s="1" t="s">
        <v>48</v>
      </c>
      <c r="H2" s="1" t="s">
        <v>49</v>
      </c>
      <c r="I2" s="1" t="s">
        <v>50</v>
      </c>
      <c r="J2" s="7" t="s">
        <v>51</v>
      </c>
      <c r="K2" s="7" t="s">
        <v>61</v>
      </c>
      <c r="L2" s="9" t="b">
        <v>0</v>
      </c>
      <c r="M2" s="1" t="s">
        <v>66</v>
      </c>
      <c r="N2" s="1" t="s">
        <v>68</v>
      </c>
      <c r="O2" s="1" t="s">
        <v>65</v>
      </c>
      <c r="P2" s="5">
        <v>0.0</v>
      </c>
      <c r="Q2" s="5">
        <v>1.0</v>
      </c>
      <c r="R2" s="5">
        <v>0.0</v>
      </c>
      <c r="S2" s="5">
        <v>0.0</v>
      </c>
      <c r="T2" s="5">
        <v>12.0</v>
      </c>
      <c r="U2" s="1" t="s">
        <v>65</v>
      </c>
      <c r="V2" s="1"/>
      <c r="W2" s="1" t="s">
        <v>65</v>
      </c>
      <c r="X2" s="1"/>
      <c r="Y2" s="1"/>
      <c r="Z2" s="1"/>
      <c r="AA2" s="1"/>
      <c r="AB2" s="1"/>
      <c r="AC2" s="1" t="s">
        <v>65</v>
      </c>
      <c r="AD2" s="1" t="s">
        <v>71</v>
      </c>
      <c r="AE2" s="1" t="s">
        <v>72</v>
      </c>
      <c r="AF2" s="1" t="s">
        <v>65</v>
      </c>
      <c r="AG2" s="1"/>
      <c r="AH2" s="1"/>
      <c r="AI2" s="1"/>
      <c r="AJ2" s="1"/>
      <c r="AK2" s="1" t="s">
        <v>74</v>
      </c>
      <c r="AL2" s="1"/>
      <c r="AM2" s="1"/>
      <c r="AN2" s="1"/>
    </row>
    <row r="3" hidden="1">
      <c r="A3" s="1" t="s">
        <v>75</v>
      </c>
      <c r="B3" s="1" t="s">
        <v>75</v>
      </c>
      <c r="C3" s="4">
        <v>45990.979467592595</v>
      </c>
      <c r="D3" s="5">
        <v>1.764459026E9</v>
      </c>
      <c r="E3" s="7" t="s">
        <v>76</v>
      </c>
      <c r="F3" s="1" t="s">
        <v>77</v>
      </c>
      <c r="G3" s="1" t="s">
        <v>78</v>
      </c>
      <c r="H3" s="1" t="s">
        <v>78</v>
      </c>
      <c r="I3" s="1" t="s">
        <v>80</v>
      </c>
      <c r="J3" s="7" t="s">
        <v>81</v>
      </c>
      <c r="K3" s="7" t="s">
        <v>83</v>
      </c>
      <c r="L3" s="9" t="b">
        <v>0</v>
      </c>
      <c r="M3" s="1" t="s">
        <v>85</v>
      </c>
      <c r="N3" s="1" t="s">
        <v>68</v>
      </c>
      <c r="O3" s="1" t="s">
        <v>65</v>
      </c>
      <c r="P3" s="5">
        <v>0.0</v>
      </c>
      <c r="Q3" s="5">
        <v>0.0</v>
      </c>
      <c r="R3" s="5">
        <v>18.0</v>
      </c>
      <c r="S3" s="5">
        <v>0.0</v>
      </c>
      <c r="T3" s="5">
        <v>1286.0</v>
      </c>
      <c r="U3" s="1" t="s">
        <v>65</v>
      </c>
      <c r="V3" s="1"/>
      <c r="W3" s="1" t="s">
        <v>71</v>
      </c>
      <c r="X3" s="1" t="s">
        <v>87</v>
      </c>
      <c r="Y3" s="1" t="s">
        <v>88</v>
      </c>
      <c r="Z3" s="1" t="s">
        <v>90</v>
      </c>
      <c r="AA3" s="1"/>
      <c r="AB3" s="1"/>
      <c r="AC3" s="1" t="s">
        <v>65</v>
      </c>
      <c r="AD3" s="1" t="s">
        <v>65</v>
      </c>
      <c r="AE3" s="1"/>
      <c r="AF3" s="1" t="s">
        <v>65</v>
      </c>
      <c r="AG3" s="1"/>
      <c r="AH3" s="1"/>
      <c r="AI3" s="1"/>
      <c r="AJ3" s="1"/>
      <c r="AK3" s="1"/>
      <c r="AL3" s="1"/>
      <c r="AM3" s="1"/>
      <c r="AN3" s="1"/>
    </row>
    <row r="4" hidden="1">
      <c r="A4" s="1" t="s">
        <v>92</v>
      </c>
      <c r="B4" s="1" t="s">
        <v>93</v>
      </c>
      <c r="C4" s="4">
        <v>45990.03292824074</v>
      </c>
      <c r="D4" s="5">
        <v>1.764377245E9</v>
      </c>
      <c r="E4" s="7" t="s">
        <v>94</v>
      </c>
      <c r="F4" s="1" t="s">
        <v>99</v>
      </c>
      <c r="G4" s="1" t="s">
        <v>101</v>
      </c>
      <c r="H4" s="1" t="s">
        <v>104</v>
      </c>
      <c r="I4" s="1" t="s">
        <v>105</v>
      </c>
      <c r="J4" s="7" t="s">
        <v>107</v>
      </c>
      <c r="K4" s="7" t="s">
        <v>110</v>
      </c>
      <c r="L4" s="9" t="b">
        <v>0</v>
      </c>
      <c r="M4" s="1" t="s">
        <v>67</v>
      </c>
      <c r="N4" s="1" t="s">
        <v>68</v>
      </c>
      <c r="O4" s="1" t="s">
        <v>65</v>
      </c>
      <c r="P4" s="5">
        <v>0.0</v>
      </c>
      <c r="Q4" s="5">
        <v>1.0</v>
      </c>
      <c r="R4" s="5">
        <v>1.0</v>
      </c>
      <c r="S4" s="5">
        <v>0.0</v>
      </c>
      <c r="T4" s="5">
        <v>14.0</v>
      </c>
      <c r="U4" s="1" t="s">
        <v>65</v>
      </c>
      <c r="V4" s="1"/>
      <c r="W4" s="1" t="s">
        <v>65</v>
      </c>
      <c r="X4" s="1"/>
      <c r="Y4" s="1"/>
      <c r="Z4" s="1"/>
      <c r="AA4" s="1"/>
      <c r="AB4" s="1"/>
      <c r="AC4" s="1" t="s">
        <v>65</v>
      </c>
      <c r="AD4" s="1" t="s">
        <v>71</v>
      </c>
      <c r="AE4" s="1" t="s">
        <v>113</v>
      </c>
      <c r="AF4" s="1" t="s">
        <v>65</v>
      </c>
      <c r="AG4" s="1"/>
      <c r="AH4" s="1"/>
      <c r="AI4" s="1"/>
      <c r="AJ4" s="1"/>
      <c r="AK4" s="1" t="s">
        <v>113</v>
      </c>
      <c r="AL4" s="1"/>
      <c r="AM4" s="1"/>
      <c r="AN4" s="1"/>
    </row>
    <row r="5" hidden="1">
      <c r="A5" s="1" t="s">
        <v>117</v>
      </c>
      <c r="B5" s="1" t="s">
        <v>117</v>
      </c>
      <c r="C5" s="4">
        <v>45989.617430555554</v>
      </c>
      <c r="D5" s="5">
        <v>1.764341346E9</v>
      </c>
      <c r="E5" s="7" t="s">
        <v>119</v>
      </c>
      <c r="F5" s="1" t="s">
        <v>126</v>
      </c>
      <c r="G5" s="1" t="s">
        <v>127</v>
      </c>
      <c r="H5" s="1" t="s">
        <v>128</v>
      </c>
      <c r="I5" s="1" t="s">
        <v>129</v>
      </c>
      <c r="J5" s="7" t="s">
        <v>130</v>
      </c>
      <c r="K5" s="7" t="s">
        <v>134</v>
      </c>
      <c r="L5" s="9" t="b">
        <v>0</v>
      </c>
      <c r="M5" s="1" t="s">
        <v>85</v>
      </c>
      <c r="N5" s="1" t="s">
        <v>68</v>
      </c>
      <c r="O5" s="1" t="s">
        <v>65</v>
      </c>
      <c r="P5" s="5">
        <v>11.0</v>
      </c>
      <c r="Q5" s="5">
        <v>1.0</v>
      </c>
      <c r="R5" s="5">
        <v>206.0</v>
      </c>
      <c r="S5" s="5">
        <v>2.0</v>
      </c>
      <c r="T5" s="5">
        <v>4069.0</v>
      </c>
      <c r="U5" s="1" t="s">
        <v>65</v>
      </c>
      <c r="V5" s="1"/>
      <c r="W5" s="1" t="s">
        <v>71</v>
      </c>
      <c r="X5" s="1" t="s">
        <v>137</v>
      </c>
      <c r="Y5" s="1" t="s">
        <v>138</v>
      </c>
      <c r="Z5" s="1" t="s">
        <v>139</v>
      </c>
      <c r="AA5" s="1"/>
      <c r="AB5" s="7" t="s">
        <v>140</v>
      </c>
      <c r="AC5" s="1" t="s">
        <v>65</v>
      </c>
      <c r="AD5" s="1" t="s">
        <v>65</v>
      </c>
      <c r="AE5" s="1"/>
      <c r="AF5" s="1" t="s">
        <v>65</v>
      </c>
      <c r="AG5" s="1"/>
      <c r="AH5" s="1"/>
      <c r="AI5" s="1"/>
      <c r="AJ5" s="1"/>
      <c r="AK5" s="1"/>
      <c r="AL5" s="1"/>
      <c r="AM5" s="1"/>
      <c r="AN5" s="1"/>
    </row>
    <row r="6" hidden="1">
      <c r="A6" s="1" t="s">
        <v>144</v>
      </c>
      <c r="B6" s="1" t="s">
        <v>145</v>
      </c>
      <c r="C6" s="4">
        <v>45988.819189814814</v>
      </c>
      <c r="D6" s="5">
        <v>1.764272378E9</v>
      </c>
      <c r="E6" s="7" t="s">
        <v>146</v>
      </c>
      <c r="F6" s="1" t="s">
        <v>150</v>
      </c>
      <c r="G6" s="1" t="s">
        <v>151</v>
      </c>
      <c r="H6" s="1" t="s">
        <v>152</v>
      </c>
      <c r="I6" s="1" t="s">
        <v>153</v>
      </c>
      <c r="J6" s="7" t="s">
        <v>154</v>
      </c>
      <c r="K6" s="7" t="s">
        <v>161</v>
      </c>
      <c r="L6" s="9" t="b">
        <v>0</v>
      </c>
      <c r="M6" s="1" t="s">
        <v>67</v>
      </c>
      <c r="N6" s="1" t="s">
        <v>68</v>
      </c>
      <c r="O6" s="1" t="s">
        <v>65</v>
      </c>
      <c r="P6" s="5">
        <v>0.0</v>
      </c>
      <c r="Q6" s="5">
        <v>1.0</v>
      </c>
      <c r="R6" s="5">
        <v>0.0</v>
      </c>
      <c r="S6" s="5">
        <v>0.0</v>
      </c>
      <c r="T6" s="5">
        <v>14.0</v>
      </c>
      <c r="U6" s="1" t="s">
        <v>65</v>
      </c>
      <c r="V6" s="1"/>
      <c r="W6" s="1" t="s">
        <v>65</v>
      </c>
      <c r="X6" s="1"/>
      <c r="Y6" s="1"/>
      <c r="Z6" s="1"/>
      <c r="AA6" s="1"/>
      <c r="AB6" s="1"/>
      <c r="AC6" s="1" t="s">
        <v>65</v>
      </c>
      <c r="AD6" s="1" t="s">
        <v>71</v>
      </c>
      <c r="AE6" s="1" t="s">
        <v>164</v>
      </c>
      <c r="AF6" s="1" t="s">
        <v>65</v>
      </c>
      <c r="AG6" s="1"/>
      <c r="AH6" s="1"/>
      <c r="AI6" s="1"/>
      <c r="AJ6" s="1"/>
      <c r="AK6" s="1" t="s">
        <v>165</v>
      </c>
      <c r="AL6" s="1"/>
      <c r="AM6" s="1"/>
      <c r="AN6" s="1"/>
    </row>
    <row r="7" hidden="1">
      <c r="A7" s="1" t="s">
        <v>166</v>
      </c>
      <c r="B7" s="1" t="s">
        <v>167</v>
      </c>
      <c r="C7" s="4">
        <v>45988.74487268519</v>
      </c>
      <c r="D7" s="5">
        <v>1.764265957E9</v>
      </c>
      <c r="E7" s="7" t="s">
        <v>168</v>
      </c>
      <c r="F7" s="1" t="s">
        <v>170</v>
      </c>
      <c r="G7" s="1" t="s">
        <v>171</v>
      </c>
      <c r="H7" s="1" t="s">
        <v>172</v>
      </c>
      <c r="I7" s="1" t="s">
        <v>173</v>
      </c>
      <c r="J7" s="7" t="s">
        <v>174</v>
      </c>
      <c r="K7" s="7" t="s">
        <v>178</v>
      </c>
      <c r="L7" s="9" t="b">
        <v>0</v>
      </c>
      <c r="M7" s="1" t="s">
        <v>66</v>
      </c>
      <c r="N7" s="1" t="s">
        <v>68</v>
      </c>
      <c r="O7" s="1" t="s">
        <v>65</v>
      </c>
      <c r="P7" s="5">
        <v>0.0</v>
      </c>
      <c r="Q7" s="5">
        <v>1.0</v>
      </c>
      <c r="R7" s="5">
        <v>2.0</v>
      </c>
      <c r="S7" s="5">
        <v>0.0</v>
      </c>
      <c r="T7" s="5">
        <v>15.0</v>
      </c>
      <c r="U7" s="1" t="s">
        <v>65</v>
      </c>
      <c r="V7" s="1"/>
      <c r="W7" s="1" t="s">
        <v>65</v>
      </c>
      <c r="X7" s="1"/>
      <c r="Y7" s="1"/>
      <c r="Z7" s="1"/>
      <c r="AA7" s="1"/>
      <c r="AB7" s="1"/>
      <c r="AC7" s="1" t="s">
        <v>65</v>
      </c>
      <c r="AD7" s="1" t="s">
        <v>71</v>
      </c>
      <c r="AE7" s="1" t="s">
        <v>171</v>
      </c>
      <c r="AF7" s="1" t="s">
        <v>65</v>
      </c>
      <c r="AG7" s="1"/>
      <c r="AH7" s="1"/>
      <c r="AI7" s="1"/>
      <c r="AJ7" s="1"/>
      <c r="AK7" s="1" t="s">
        <v>186</v>
      </c>
      <c r="AL7" s="1"/>
      <c r="AM7" s="1"/>
      <c r="AN7" s="1"/>
    </row>
    <row r="8" hidden="1">
      <c r="A8" s="1" t="s">
        <v>187</v>
      </c>
      <c r="B8" s="1" t="s">
        <v>187</v>
      </c>
      <c r="C8" s="4">
        <v>45988.70099537037</v>
      </c>
      <c r="D8" s="5">
        <v>1.764262166E9</v>
      </c>
      <c r="E8" s="7" t="s">
        <v>188</v>
      </c>
      <c r="F8" s="1" t="s">
        <v>191</v>
      </c>
      <c r="G8" s="1" t="s">
        <v>192</v>
      </c>
      <c r="H8" s="1" t="s">
        <v>193</v>
      </c>
      <c r="I8" s="1" t="s">
        <v>194</v>
      </c>
      <c r="J8" s="7" t="s">
        <v>195</v>
      </c>
      <c r="K8" s="7" t="s">
        <v>200</v>
      </c>
      <c r="L8" s="9" t="b">
        <v>0</v>
      </c>
      <c r="M8" s="1" t="s">
        <v>85</v>
      </c>
      <c r="N8" s="1" t="s">
        <v>68</v>
      </c>
      <c r="O8" s="1" t="s">
        <v>65</v>
      </c>
      <c r="P8" s="5">
        <v>0.0</v>
      </c>
      <c r="Q8" s="5">
        <v>0.0</v>
      </c>
      <c r="R8" s="5">
        <v>0.0</v>
      </c>
      <c r="S8" s="5">
        <v>0.0</v>
      </c>
      <c r="T8" s="5">
        <v>5.0</v>
      </c>
      <c r="U8" s="1" t="s">
        <v>65</v>
      </c>
      <c r="V8" s="1"/>
      <c r="W8" s="1" t="s">
        <v>65</v>
      </c>
      <c r="X8" s="1"/>
      <c r="Y8" s="1"/>
      <c r="Z8" s="1"/>
      <c r="AA8" s="1"/>
      <c r="AB8" s="1"/>
      <c r="AC8" s="1" t="s">
        <v>65</v>
      </c>
      <c r="AD8" s="1" t="s">
        <v>65</v>
      </c>
      <c r="AE8" s="1"/>
      <c r="AF8" s="1" t="s">
        <v>65</v>
      </c>
      <c r="AG8" s="1"/>
      <c r="AH8" s="1"/>
      <c r="AI8" s="1"/>
      <c r="AJ8" s="1"/>
      <c r="AK8" s="1"/>
      <c r="AL8" s="1"/>
      <c r="AM8" s="1"/>
      <c r="AN8" s="1"/>
    </row>
    <row r="9" hidden="1">
      <c r="A9" s="1" t="s">
        <v>207</v>
      </c>
      <c r="B9" s="1" t="s">
        <v>207</v>
      </c>
      <c r="C9" s="4">
        <v>45987.94619212963</v>
      </c>
      <c r="D9" s="5">
        <v>1.764196951E9</v>
      </c>
      <c r="E9" s="7" t="s">
        <v>208</v>
      </c>
      <c r="F9" s="1" t="s">
        <v>211</v>
      </c>
      <c r="G9" s="1" t="s">
        <v>212</v>
      </c>
      <c r="H9" s="1" t="s">
        <v>213</v>
      </c>
      <c r="I9" s="1" t="s">
        <v>214</v>
      </c>
      <c r="J9" s="7" t="s">
        <v>215</v>
      </c>
      <c r="K9" s="7" t="s">
        <v>225</v>
      </c>
      <c r="L9" s="9" t="b">
        <v>0</v>
      </c>
      <c r="M9" s="1" t="s">
        <v>66</v>
      </c>
      <c r="N9" s="1" t="s">
        <v>68</v>
      </c>
      <c r="O9" s="1" t="s">
        <v>65</v>
      </c>
      <c r="P9" s="5">
        <v>0.0</v>
      </c>
      <c r="Q9" s="5">
        <v>1.0</v>
      </c>
      <c r="R9" s="5">
        <v>2.0</v>
      </c>
      <c r="S9" s="5">
        <v>0.0</v>
      </c>
      <c r="T9" s="5">
        <v>35.0</v>
      </c>
      <c r="U9" s="1" t="s">
        <v>65</v>
      </c>
      <c r="V9" s="1"/>
      <c r="W9" s="1" t="s">
        <v>65</v>
      </c>
      <c r="X9" s="1"/>
      <c r="Y9" s="1"/>
      <c r="Z9" s="1"/>
      <c r="AA9" s="1"/>
      <c r="AB9" s="1"/>
      <c r="AC9" s="1" t="s">
        <v>65</v>
      </c>
      <c r="AD9" s="1" t="s">
        <v>65</v>
      </c>
      <c r="AE9" s="1"/>
      <c r="AF9" s="1" t="s">
        <v>65</v>
      </c>
      <c r="AG9" s="1"/>
      <c r="AH9" s="1"/>
      <c r="AI9" s="1"/>
      <c r="AJ9" s="1"/>
      <c r="AK9" s="1"/>
      <c r="AL9" s="1"/>
      <c r="AM9" s="1"/>
      <c r="AN9" s="1"/>
    </row>
    <row r="10" hidden="1">
      <c r="A10" s="1" t="s">
        <v>232</v>
      </c>
      <c r="B10" s="1" t="s">
        <v>233</v>
      </c>
      <c r="C10" s="4">
        <v>45987.86871527778</v>
      </c>
      <c r="D10" s="5">
        <v>1.764190257E9</v>
      </c>
      <c r="E10" s="7" t="s">
        <v>235</v>
      </c>
      <c r="F10" s="1" t="s">
        <v>238</v>
      </c>
      <c r="G10" s="1" t="s">
        <v>239</v>
      </c>
      <c r="H10" s="1" t="s">
        <v>240</v>
      </c>
      <c r="I10" s="1" t="s">
        <v>241</v>
      </c>
      <c r="J10" s="7" t="s">
        <v>242</v>
      </c>
      <c r="K10" s="7" t="s">
        <v>245</v>
      </c>
      <c r="L10" s="9" t="b">
        <v>0</v>
      </c>
      <c r="M10" s="1" t="s">
        <v>85</v>
      </c>
      <c r="N10" s="1" t="s">
        <v>68</v>
      </c>
      <c r="O10" s="1" t="s">
        <v>65</v>
      </c>
      <c r="P10" s="5">
        <v>0.0</v>
      </c>
      <c r="Q10" s="5">
        <v>0.0</v>
      </c>
      <c r="R10" s="5">
        <v>0.0</v>
      </c>
      <c r="S10" s="5">
        <v>0.0</v>
      </c>
      <c r="T10" s="5">
        <v>9.0</v>
      </c>
      <c r="U10" s="1" t="s">
        <v>65</v>
      </c>
      <c r="V10" s="1"/>
      <c r="W10" s="1" t="s">
        <v>65</v>
      </c>
      <c r="X10" s="1"/>
      <c r="Y10" s="1"/>
      <c r="Z10" s="1"/>
      <c r="AA10" s="1"/>
      <c r="AB10" s="1"/>
      <c r="AC10" s="1" t="s">
        <v>65</v>
      </c>
      <c r="AD10" s="1" t="s">
        <v>71</v>
      </c>
      <c r="AE10" s="1" t="s">
        <v>239</v>
      </c>
      <c r="AF10" s="1" t="s">
        <v>65</v>
      </c>
      <c r="AG10" s="1"/>
      <c r="AH10" s="1"/>
      <c r="AI10" s="1"/>
      <c r="AJ10" s="1"/>
      <c r="AK10" s="1"/>
      <c r="AL10" s="1"/>
      <c r="AM10" s="1"/>
      <c r="AN10" s="1"/>
    </row>
    <row r="11">
      <c r="A11" s="1" t="s">
        <v>252</v>
      </c>
      <c r="B11" s="1" t="s">
        <v>253</v>
      </c>
      <c r="C11" s="4">
        <v>45987.117118055554</v>
      </c>
      <c r="D11" s="5">
        <v>1.764125319E9</v>
      </c>
      <c r="E11" s="7" t="s">
        <v>254</v>
      </c>
      <c r="F11" s="1" t="s">
        <v>257</v>
      </c>
      <c r="G11" s="1" t="s">
        <v>258</v>
      </c>
      <c r="H11" s="1" t="s">
        <v>259</v>
      </c>
      <c r="I11" s="5">
        <v>6.9480843E7</v>
      </c>
      <c r="J11" s="7" t="s">
        <v>261</v>
      </c>
      <c r="K11" s="7" t="s">
        <v>263</v>
      </c>
      <c r="L11" s="9" t="b">
        <v>0</v>
      </c>
      <c r="M11" s="1" t="s">
        <v>66</v>
      </c>
      <c r="N11" s="1" t="s">
        <v>64</v>
      </c>
      <c r="O11" s="1" t="s">
        <v>65</v>
      </c>
      <c r="P11" s="5">
        <v>0.0</v>
      </c>
      <c r="Q11" s="5">
        <v>0.0</v>
      </c>
      <c r="R11" s="5">
        <v>3.0</v>
      </c>
      <c r="S11" s="5">
        <v>0.0</v>
      </c>
      <c r="T11" s="5">
        <v>28.0</v>
      </c>
      <c r="U11" s="1" t="s">
        <v>65</v>
      </c>
      <c r="V11" s="1"/>
      <c r="W11" s="1" t="s">
        <v>65</v>
      </c>
      <c r="X11" s="1"/>
      <c r="Y11" s="1"/>
      <c r="Z11" s="1"/>
      <c r="AA11" s="1"/>
      <c r="AB11" s="1"/>
      <c r="AC11" s="1" t="s">
        <v>65</v>
      </c>
      <c r="AD11" s="1" t="s">
        <v>71</v>
      </c>
      <c r="AE11" s="1" t="s">
        <v>268</v>
      </c>
      <c r="AF11" s="1" t="s">
        <v>65</v>
      </c>
      <c r="AG11" s="1"/>
      <c r="AH11" s="7" t="s">
        <v>270</v>
      </c>
      <c r="AI11" s="1"/>
      <c r="AJ11" s="1"/>
      <c r="AK11" s="1" t="s">
        <v>276</v>
      </c>
      <c r="AL11" s="1"/>
      <c r="AM11" s="1"/>
      <c r="AN11" s="1"/>
    </row>
    <row r="12" hidden="1">
      <c r="A12" s="1" t="s">
        <v>277</v>
      </c>
      <c r="B12" s="1" t="s">
        <v>277</v>
      </c>
      <c r="C12" s="4">
        <v>45987.01744212963</v>
      </c>
      <c r="D12" s="5">
        <v>1.764116707E9</v>
      </c>
      <c r="E12" s="7" t="s">
        <v>279</v>
      </c>
      <c r="F12" s="1" t="s">
        <v>281</v>
      </c>
      <c r="G12" s="1" t="s">
        <v>282</v>
      </c>
      <c r="H12" s="1" t="s">
        <v>284</v>
      </c>
      <c r="I12" s="1" t="s">
        <v>285</v>
      </c>
      <c r="J12" s="7" t="s">
        <v>287</v>
      </c>
      <c r="K12" s="7" t="s">
        <v>288</v>
      </c>
      <c r="L12" s="9" t="b">
        <v>0</v>
      </c>
      <c r="M12" s="1" t="s">
        <v>85</v>
      </c>
      <c r="N12" s="1" t="s">
        <v>68</v>
      </c>
      <c r="O12" s="1" t="s">
        <v>65</v>
      </c>
      <c r="P12" s="5">
        <v>0.0</v>
      </c>
      <c r="Q12" s="5">
        <v>0.0</v>
      </c>
      <c r="R12" s="5">
        <v>0.0</v>
      </c>
      <c r="S12" s="5">
        <v>0.0</v>
      </c>
      <c r="T12" s="5">
        <v>21.0</v>
      </c>
      <c r="U12" s="1" t="s">
        <v>65</v>
      </c>
      <c r="V12" s="1"/>
      <c r="W12" s="1" t="s">
        <v>65</v>
      </c>
      <c r="X12" s="1"/>
      <c r="Y12" s="1"/>
      <c r="Z12" s="1"/>
      <c r="AA12" s="1"/>
      <c r="AB12" s="1"/>
      <c r="AC12" s="1" t="s">
        <v>65</v>
      </c>
      <c r="AD12" s="1" t="s">
        <v>65</v>
      </c>
      <c r="AE12" s="1"/>
      <c r="AF12" s="1" t="s">
        <v>65</v>
      </c>
      <c r="AG12" s="1"/>
      <c r="AH12" s="1"/>
      <c r="AI12" s="1"/>
      <c r="AJ12" s="1"/>
      <c r="AK12" s="1"/>
      <c r="AL12" s="1"/>
      <c r="AM12" s="1"/>
      <c r="AN12" s="1"/>
    </row>
    <row r="13">
      <c r="A13" s="1" t="s">
        <v>292</v>
      </c>
      <c r="B13" s="1" t="s">
        <v>293</v>
      </c>
      <c r="C13" s="4">
        <v>45986.94011574074</v>
      </c>
      <c r="D13" s="5">
        <v>1.764110026E9</v>
      </c>
      <c r="E13" s="7" t="s">
        <v>294</v>
      </c>
      <c r="F13" s="1" t="s">
        <v>297</v>
      </c>
      <c r="G13" s="1" t="s">
        <v>258</v>
      </c>
      <c r="H13" s="1" t="s">
        <v>259</v>
      </c>
      <c r="I13" s="5">
        <v>6.9480843E7</v>
      </c>
      <c r="J13" s="7" t="s">
        <v>261</v>
      </c>
      <c r="K13" s="7" t="s">
        <v>263</v>
      </c>
      <c r="L13" s="9" t="b">
        <v>0</v>
      </c>
      <c r="M13" s="1" t="s">
        <v>67</v>
      </c>
      <c r="N13" s="1" t="s">
        <v>64</v>
      </c>
      <c r="O13" s="1" t="s">
        <v>65</v>
      </c>
      <c r="P13" s="5">
        <v>1.0</v>
      </c>
      <c r="Q13" s="5">
        <v>0.0</v>
      </c>
      <c r="R13" s="5">
        <v>8.0</v>
      </c>
      <c r="S13" s="5">
        <v>0.0</v>
      </c>
      <c r="T13" s="5">
        <v>106.0</v>
      </c>
      <c r="U13" s="1" t="s">
        <v>65</v>
      </c>
      <c r="V13" s="1"/>
      <c r="W13" s="1" t="s">
        <v>65</v>
      </c>
      <c r="X13" s="1"/>
      <c r="Y13" s="1"/>
      <c r="Z13" s="1"/>
      <c r="AA13" s="1"/>
      <c r="AB13" s="1"/>
      <c r="AC13" s="1" t="s">
        <v>65</v>
      </c>
      <c r="AD13" s="1" t="s">
        <v>71</v>
      </c>
      <c r="AE13" s="1" t="s">
        <v>268</v>
      </c>
      <c r="AF13" s="1" t="s">
        <v>65</v>
      </c>
      <c r="AG13" s="1"/>
      <c r="AH13" s="1"/>
      <c r="AI13" s="1"/>
      <c r="AJ13" s="1"/>
      <c r="AK13" s="1" t="s">
        <v>299</v>
      </c>
      <c r="AL13" s="1"/>
      <c r="AM13" s="1"/>
      <c r="AN13" s="1"/>
    </row>
    <row r="14" hidden="1">
      <c r="A14" s="1" t="s">
        <v>300</v>
      </c>
      <c r="B14" s="1" t="s">
        <v>301</v>
      </c>
      <c r="C14" s="4">
        <v>45986.81214120371</v>
      </c>
      <c r="D14" s="5">
        <v>1.764098969E9</v>
      </c>
      <c r="E14" s="7" t="s">
        <v>304</v>
      </c>
      <c r="F14" s="1" t="s">
        <v>308</v>
      </c>
      <c r="G14" s="1" t="s">
        <v>309</v>
      </c>
      <c r="H14" s="1" t="s">
        <v>310</v>
      </c>
      <c r="I14" s="1" t="s">
        <v>311</v>
      </c>
      <c r="J14" s="7" t="s">
        <v>312</v>
      </c>
      <c r="K14" s="7" t="s">
        <v>316</v>
      </c>
      <c r="L14" s="9" t="b">
        <v>0</v>
      </c>
      <c r="M14" s="1" t="s">
        <v>67</v>
      </c>
      <c r="N14" s="1" t="s">
        <v>68</v>
      </c>
      <c r="O14" s="1" t="s">
        <v>65</v>
      </c>
      <c r="P14" s="5">
        <v>0.0</v>
      </c>
      <c r="Q14" s="5">
        <v>0.0</v>
      </c>
      <c r="R14" s="5">
        <v>0.0</v>
      </c>
      <c r="S14" s="5">
        <v>0.0</v>
      </c>
      <c r="T14" s="5">
        <v>9.0</v>
      </c>
      <c r="U14" s="1" t="s">
        <v>65</v>
      </c>
      <c r="V14" s="1"/>
      <c r="W14" s="1" t="s">
        <v>65</v>
      </c>
      <c r="X14" s="1"/>
      <c r="Y14" s="1"/>
      <c r="Z14" s="1"/>
      <c r="AA14" s="1"/>
      <c r="AB14" s="1"/>
      <c r="AC14" s="1" t="s">
        <v>65</v>
      </c>
      <c r="AD14" s="1" t="s">
        <v>71</v>
      </c>
      <c r="AE14" s="1" t="s">
        <v>321</v>
      </c>
      <c r="AF14" s="1" t="s">
        <v>65</v>
      </c>
      <c r="AG14" s="1"/>
      <c r="AH14" s="1"/>
      <c r="AI14" s="1"/>
      <c r="AJ14" s="1"/>
      <c r="AK14" s="1" t="s">
        <v>321</v>
      </c>
      <c r="AL14" s="1"/>
      <c r="AM14" s="1"/>
      <c r="AN14" s="1"/>
    </row>
    <row r="15" hidden="1">
      <c r="A15" s="1" t="s">
        <v>323</v>
      </c>
      <c r="B15" s="1" t="s">
        <v>324</v>
      </c>
      <c r="C15" s="4">
        <v>45984.760775462964</v>
      </c>
      <c r="D15" s="5">
        <v>1.763921731E9</v>
      </c>
      <c r="E15" s="7" t="s">
        <v>325</v>
      </c>
      <c r="F15" s="1" t="s">
        <v>326</v>
      </c>
      <c r="G15" s="1" t="s">
        <v>327</v>
      </c>
      <c r="H15" s="1" t="s">
        <v>328</v>
      </c>
      <c r="I15" s="5">
        <v>8.01618541E8</v>
      </c>
      <c r="J15" s="7" t="s">
        <v>329</v>
      </c>
      <c r="K15" s="7" t="s">
        <v>333</v>
      </c>
      <c r="L15" s="9" t="b">
        <v>0</v>
      </c>
      <c r="M15" s="1" t="s">
        <v>67</v>
      </c>
      <c r="N15" s="1" t="s">
        <v>68</v>
      </c>
      <c r="O15" s="1" t="s">
        <v>65</v>
      </c>
      <c r="P15" s="5">
        <v>0.0</v>
      </c>
      <c r="Q15" s="5">
        <v>1.0</v>
      </c>
      <c r="R15" s="5">
        <v>1.0</v>
      </c>
      <c r="S15" s="5">
        <v>0.0</v>
      </c>
      <c r="T15" s="5">
        <v>54.0</v>
      </c>
      <c r="U15" s="1" t="s">
        <v>65</v>
      </c>
      <c r="V15" s="1"/>
      <c r="W15" s="1" t="s">
        <v>65</v>
      </c>
      <c r="X15" s="1"/>
      <c r="Y15" s="1"/>
      <c r="Z15" s="1"/>
      <c r="AA15" s="1"/>
      <c r="AB15" s="1"/>
      <c r="AC15" s="1" t="s">
        <v>65</v>
      </c>
      <c r="AD15" s="1" t="s">
        <v>71</v>
      </c>
      <c r="AE15" s="1" t="s">
        <v>341</v>
      </c>
      <c r="AF15" s="1" t="s">
        <v>65</v>
      </c>
      <c r="AG15" s="1"/>
      <c r="AH15" s="1"/>
      <c r="AI15" s="1"/>
      <c r="AJ15" s="1"/>
      <c r="AK15" s="1" t="s">
        <v>341</v>
      </c>
      <c r="AL15" s="1"/>
      <c r="AM15" s="1"/>
      <c r="AN15" s="1"/>
    </row>
    <row r="16" hidden="1">
      <c r="A16" s="1" t="s">
        <v>342</v>
      </c>
      <c r="B16" s="1" t="s">
        <v>343</v>
      </c>
      <c r="C16" s="4">
        <v>45982.803564814814</v>
      </c>
      <c r="D16" s="5">
        <v>1.763752628E9</v>
      </c>
      <c r="E16" s="7" t="s">
        <v>344</v>
      </c>
      <c r="F16" s="1" t="s">
        <v>346</v>
      </c>
      <c r="G16" s="1" t="s">
        <v>347</v>
      </c>
      <c r="H16" s="1" t="s">
        <v>348</v>
      </c>
      <c r="I16" s="1" t="s">
        <v>349</v>
      </c>
      <c r="J16" s="7" t="s">
        <v>350</v>
      </c>
      <c r="K16" s="7" t="s">
        <v>353</v>
      </c>
      <c r="L16" s="9" t="b">
        <v>0</v>
      </c>
      <c r="M16" s="1" t="s">
        <v>85</v>
      </c>
      <c r="N16" s="1" t="s">
        <v>68</v>
      </c>
      <c r="O16" s="1" t="s">
        <v>65</v>
      </c>
      <c r="P16" s="5">
        <v>0.0</v>
      </c>
      <c r="Q16" s="5">
        <v>2.0</v>
      </c>
      <c r="R16" s="5">
        <v>0.0</v>
      </c>
      <c r="S16" s="5">
        <v>0.0</v>
      </c>
      <c r="T16" s="5">
        <v>124.0</v>
      </c>
      <c r="U16" s="1" t="s">
        <v>65</v>
      </c>
      <c r="V16" s="1"/>
      <c r="W16" s="1" t="s">
        <v>65</v>
      </c>
      <c r="X16" s="1"/>
      <c r="Y16" s="1"/>
      <c r="Z16" s="1"/>
      <c r="AA16" s="1"/>
      <c r="AB16" s="1"/>
      <c r="AC16" s="1" t="s">
        <v>65</v>
      </c>
      <c r="AD16" s="1" t="s">
        <v>71</v>
      </c>
      <c r="AE16" s="1" t="s">
        <v>357</v>
      </c>
      <c r="AF16" s="1" t="s">
        <v>65</v>
      </c>
      <c r="AG16" s="1"/>
      <c r="AH16" s="1"/>
      <c r="AI16" s="1"/>
      <c r="AJ16" s="1"/>
      <c r="AK16" s="1" t="s">
        <v>360</v>
      </c>
      <c r="AL16" s="1"/>
      <c r="AM16" s="1"/>
      <c r="AN16" s="1"/>
    </row>
    <row r="17" hidden="1">
      <c r="A17" s="1" t="s">
        <v>361</v>
      </c>
      <c r="B17" s="1" t="s">
        <v>362</v>
      </c>
      <c r="C17" s="4">
        <v>45981.89265046296</v>
      </c>
      <c r="D17" s="5">
        <v>1.763673925E9</v>
      </c>
      <c r="E17" s="7" t="s">
        <v>363</v>
      </c>
      <c r="F17" s="1" t="s">
        <v>371</v>
      </c>
      <c r="G17" s="1" t="s">
        <v>373</v>
      </c>
      <c r="H17" s="1" t="s">
        <v>375</v>
      </c>
      <c r="I17" s="1" t="s">
        <v>376</v>
      </c>
      <c r="J17" s="7" t="s">
        <v>378</v>
      </c>
      <c r="K17" s="7" t="s">
        <v>380</v>
      </c>
      <c r="L17" s="9" t="b">
        <v>0</v>
      </c>
      <c r="M17" s="1" t="s">
        <v>67</v>
      </c>
      <c r="N17" s="1" t="s">
        <v>68</v>
      </c>
      <c r="O17" s="1" t="s">
        <v>65</v>
      </c>
      <c r="P17" s="5">
        <v>0.0</v>
      </c>
      <c r="Q17" s="5">
        <v>0.0</v>
      </c>
      <c r="R17" s="5">
        <v>0.0</v>
      </c>
      <c r="S17" s="5">
        <v>0.0</v>
      </c>
      <c r="T17" s="5">
        <v>22.0</v>
      </c>
      <c r="U17" s="1" t="s">
        <v>65</v>
      </c>
      <c r="V17" s="1"/>
      <c r="W17" s="1" t="s">
        <v>65</v>
      </c>
      <c r="X17" s="1"/>
      <c r="Y17" s="1"/>
      <c r="Z17" s="1"/>
      <c r="AA17" s="1"/>
      <c r="AB17" s="1"/>
      <c r="AC17" s="1" t="s">
        <v>65</v>
      </c>
      <c r="AD17" s="1" t="s">
        <v>71</v>
      </c>
      <c r="AE17" s="1" t="s">
        <v>373</v>
      </c>
      <c r="AF17" s="1" t="s">
        <v>65</v>
      </c>
      <c r="AG17" s="1"/>
      <c r="AH17" s="1"/>
      <c r="AI17" s="1"/>
      <c r="AJ17" s="1"/>
      <c r="AK17" s="1"/>
      <c r="AL17" s="1"/>
      <c r="AM17" s="1"/>
      <c r="AN17" s="1"/>
    </row>
    <row r="18" hidden="1">
      <c r="A18" s="1" t="s">
        <v>383</v>
      </c>
      <c r="B18" s="1" t="s">
        <v>383</v>
      </c>
      <c r="C18" s="4">
        <v>45980.73289351852</v>
      </c>
      <c r="D18" s="5">
        <v>1.763573722E9</v>
      </c>
      <c r="E18" s="7" t="s">
        <v>385</v>
      </c>
      <c r="F18" s="1" t="s">
        <v>388</v>
      </c>
      <c r="G18" s="1" t="s">
        <v>390</v>
      </c>
      <c r="H18" s="1" t="s">
        <v>390</v>
      </c>
      <c r="I18" s="1" t="s">
        <v>393</v>
      </c>
      <c r="J18" s="7" t="s">
        <v>395</v>
      </c>
      <c r="K18" s="7" t="s">
        <v>399</v>
      </c>
      <c r="L18" s="9" t="b">
        <v>1</v>
      </c>
      <c r="M18" s="1" t="s">
        <v>66</v>
      </c>
      <c r="N18" s="1" t="s">
        <v>68</v>
      </c>
      <c r="O18" s="1" t="s">
        <v>65</v>
      </c>
      <c r="P18" s="5">
        <v>0.0</v>
      </c>
      <c r="Q18" s="5">
        <v>6.0</v>
      </c>
      <c r="R18" s="5">
        <v>39.0</v>
      </c>
      <c r="S18" s="5">
        <v>1.0</v>
      </c>
      <c r="T18" s="5">
        <v>3771.0</v>
      </c>
      <c r="U18" s="1" t="s">
        <v>65</v>
      </c>
      <c r="V18" s="1"/>
      <c r="W18" s="1" t="s">
        <v>65</v>
      </c>
      <c r="X18" s="1"/>
      <c r="Y18" s="1"/>
      <c r="Z18" s="1"/>
      <c r="AA18" s="1"/>
      <c r="AB18" s="1"/>
      <c r="AC18" s="1" t="s">
        <v>65</v>
      </c>
      <c r="AD18" s="1" t="s">
        <v>65</v>
      </c>
      <c r="AE18" s="1"/>
      <c r="AF18" s="1" t="s">
        <v>65</v>
      </c>
      <c r="AG18" s="1"/>
      <c r="AH18" s="1"/>
      <c r="AI18" s="1"/>
      <c r="AJ18" s="1"/>
      <c r="AK18" s="1"/>
      <c r="AL18" s="1"/>
      <c r="AM18" s="1"/>
      <c r="AN18" s="1"/>
    </row>
    <row r="19">
      <c r="A19" s="1" t="s">
        <v>401</v>
      </c>
      <c r="B19" s="1" t="s">
        <v>401</v>
      </c>
      <c r="C19" s="4">
        <v>45980.54976851852</v>
      </c>
      <c r="D19" s="5">
        <v>1.7635579E9</v>
      </c>
      <c r="E19" s="7" t="s">
        <v>403</v>
      </c>
      <c r="F19" s="1" t="s">
        <v>405</v>
      </c>
      <c r="G19" s="1" t="s">
        <v>406</v>
      </c>
      <c r="H19" s="1" t="s">
        <v>408</v>
      </c>
      <c r="I19" s="1" t="s">
        <v>409</v>
      </c>
      <c r="J19" s="7" t="s">
        <v>410</v>
      </c>
      <c r="K19" s="1"/>
      <c r="L19" s="9" t="b">
        <v>0</v>
      </c>
      <c r="M19" s="1" t="s">
        <v>66</v>
      </c>
      <c r="N19" s="1" t="s">
        <v>64</v>
      </c>
      <c r="O19" s="1" t="s">
        <v>65</v>
      </c>
      <c r="P19" s="5">
        <v>0.0</v>
      </c>
      <c r="Q19" s="5">
        <v>0.0</v>
      </c>
      <c r="R19" s="5">
        <v>0.0</v>
      </c>
      <c r="S19" s="5">
        <v>0.0</v>
      </c>
      <c r="T19" s="5">
        <v>5.0</v>
      </c>
      <c r="U19" s="1" t="s">
        <v>65</v>
      </c>
      <c r="V19" s="1"/>
      <c r="W19" s="1" t="s">
        <v>65</v>
      </c>
      <c r="X19" s="1"/>
      <c r="Y19" s="1"/>
      <c r="Z19" s="1"/>
      <c r="AA19" s="1"/>
      <c r="AB19" s="1"/>
      <c r="AC19" s="1" t="s">
        <v>65</v>
      </c>
      <c r="AD19" s="1" t="s">
        <v>65</v>
      </c>
      <c r="AE19" s="1"/>
      <c r="AF19" s="1" t="s">
        <v>65</v>
      </c>
      <c r="AG19" s="1"/>
      <c r="AH19" s="7" t="s">
        <v>416</v>
      </c>
      <c r="AI19" s="7" t="s">
        <v>422</v>
      </c>
      <c r="AJ19" s="1"/>
      <c r="AK19" s="1"/>
      <c r="AL19" s="1"/>
      <c r="AM19" s="1"/>
      <c r="AN19" s="1"/>
    </row>
    <row r="20">
      <c r="A20" s="1" t="s">
        <v>424</v>
      </c>
      <c r="B20" s="1" t="s">
        <v>425</v>
      </c>
      <c r="C20" s="4">
        <v>45979.926041666666</v>
      </c>
      <c r="D20" s="5">
        <v>1.76350401E9</v>
      </c>
      <c r="E20" s="7" t="s">
        <v>426</v>
      </c>
      <c r="F20" s="1" t="s">
        <v>430</v>
      </c>
      <c r="G20" s="1" t="s">
        <v>432</v>
      </c>
      <c r="H20" s="1" t="s">
        <v>433</v>
      </c>
      <c r="I20" s="5">
        <v>1.69301427E8</v>
      </c>
      <c r="J20" s="7" t="s">
        <v>434</v>
      </c>
      <c r="K20" s="7" t="s">
        <v>436</v>
      </c>
      <c r="L20" s="9" t="b">
        <v>0</v>
      </c>
      <c r="M20" s="1" t="s">
        <v>66</v>
      </c>
      <c r="N20" s="1" t="s">
        <v>64</v>
      </c>
      <c r="O20" s="1" t="s">
        <v>65</v>
      </c>
      <c r="P20" s="5">
        <v>0.0</v>
      </c>
      <c r="Q20" s="5">
        <v>1.0</v>
      </c>
      <c r="R20" s="5">
        <v>0.0</v>
      </c>
      <c r="S20" s="5">
        <v>0.0</v>
      </c>
      <c r="T20" s="5">
        <v>42.0</v>
      </c>
      <c r="U20" s="1" t="s">
        <v>65</v>
      </c>
      <c r="V20" s="1"/>
      <c r="W20" s="1" t="s">
        <v>65</v>
      </c>
      <c r="X20" s="1"/>
      <c r="Y20" s="1"/>
      <c r="Z20" s="1"/>
      <c r="AA20" s="1"/>
      <c r="AB20" s="1"/>
      <c r="AC20" s="1" t="s">
        <v>65</v>
      </c>
      <c r="AD20" s="1" t="s">
        <v>71</v>
      </c>
      <c r="AE20" s="1" t="s">
        <v>439</v>
      </c>
      <c r="AF20" s="1" t="s">
        <v>65</v>
      </c>
      <c r="AG20" s="1"/>
      <c r="AH20" s="1"/>
      <c r="AI20" s="1"/>
      <c r="AJ20" s="1"/>
      <c r="AK20" s="1" t="s">
        <v>440</v>
      </c>
      <c r="AL20" s="1"/>
      <c r="AM20" s="1"/>
      <c r="AN20" s="1"/>
    </row>
    <row r="21">
      <c r="A21" s="1" t="s">
        <v>442</v>
      </c>
      <c r="B21" s="1" t="s">
        <v>442</v>
      </c>
      <c r="C21" s="4">
        <v>45979.82179398148</v>
      </c>
      <c r="D21" s="5">
        <v>1.763495003E9</v>
      </c>
      <c r="E21" s="7" t="s">
        <v>443</v>
      </c>
      <c r="F21" s="1" t="s">
        <v>446</v>
      </c>
      <c r="G21" s="1" t="s">
        <v>447</v>
      </c>
      <c r="H21" s="1" t="s">
        <v>448</v>
      </c>
      <c r="I21" s="1" t="s">
        <v>449</v>
      </c>
      <c r="J21" s="7" t="s">
        <v>450</v>
      </c>
      <c r="K21" s="7" t="s">
        <v>453</v>
      </c>
      <c r="L21" s="9" t="b">
        <v>0</v>
      </c>
      <c r="M21" s="1" t="s">
        <v>67</v>
      </c>
      <c r="N21" s="1" t="s">
        <v>64</v>
      </c>
      <c r="O21" s="1" t="s">
        <v>65</v>
      </c>
      <c r="P21" s="5">
        <v>0.0</v>
      </c>
      <c r="Q21" s="5">
        <v>0.0</v>
      </c>
      <c r="R21" s="5">
        <v>0.0</v>
      </c>
      <c r="S21" s="5">
        <v>0.0</v>
      </c>
      <c r="T21" s="5">
        <v>1.0</v>
      </c>
      <c r="U21" s="1" t="s">
        <v>65</v>
      </c>
      <c r="V21" s="1"/>
      <c r="W21" s="1" t="s">
        <v>65</v>
      </c>
      <c r="X21" s="1"/>
      <c r="Y21" s="1"/>
      <c r="Z21" s="1"/>
      <c r="AA21" s="1"/>
      <c r="AB21" s="1"/>
      <c r="AC21" s="1" t="s">
        <v>65</v>
      </c>
      <c r="AD21" s="1" t="s">
        <v>65</v>
      </c>
      <c r="AE21" s="1"/>
      <c r="AF21" s="1" t="s">
        <v>65</v>
      </c>
      <c r="AG21" s="1"/>
      <c r="AH21" s="1"/>
      <c r="AI21" s="1"/>
      <c r="AJ21" s="1"/>
      <c r="AK21" s="1"/>
      <c r="AL21" s="1"/>
      <c r="AM21" s="1"/>
      <c r="AN21" s="1"/>
    </row>
    <row r="22" hidden="1">
      <c r="A22" s="1" t="s">
        <v>455</v>
      </c>
      <c r="B22" s="1" t="s">
        <v>455</v>
      </c>
      <c r="C22" s="4">
        <v>45979.80920138889</v>
      </c>
      <c r="D22" s="5">
        <v>1.763493915E9</v>
      </c>
      <c r="E22" s="7" t="s">
        <v>457</v>
      </c>
      <c r="F22" s="1" t="s">
        <v>462</v>
      </c>
      <c r="G22" s="1" t="s">
        <v>463</v>
      </c>
      <c r="H22" s="1" t="s">
        <v>464</v>
      </c>
      <c r="I22" s="5">
        <v>1.04345686E8</v>
      </c>
      <c r="J22" s="7" t="s">
        <v>465</v>
      </c>
      <c r="K22" s="7" t="s">
        <v>471</v>
      </c>
      <c r="L22" s="9" t="b">
        <v>1</v>
      </c>
      <c r="M22" s="7" t="s">
        <v>473</v>
      </c>
      <c r="N22" s="1" t="s">
        <v>68</v>
      </c>
      <c r="O22" s="1" t="s">
        <v>65</v>
      </c>
      <c r="P22" s="5">
        <v>2.0</v>
      </c>
      <c r="Q22" s="5">
        <v>0.0</v>
      </c>
      <c r="R22" s="5">
        <v>0.0</v>
      </c>
      <c r="S22" s="5">
        <v>0.0</v>
      </c>
      <c r="T22" s="5">
        <v>71.0</v>
      </c>
      <c r="U22" s="1" t="s">
        <v>65</v>
      </c>
      <c r="V22" s="1"/>
      <c r="W22" s="1" t="s">
        <v>65</v>
      </c>
      <c r="X22" s="1"/>
      <c r="Y22" s="1"/>
      <c r="Z22" s="1"/>
      <c r="AA22" s="1"/>
      <c r="AB22" s="1"/>
      <c r="AC22" s="1" t="s">
        <v>65</v>
      </c>
      <c r="AD22" s="1" t="s">
        <v>65</v>
      </c>
      <c r="AE22" s="1"/>
      <c r="AF22" s="1" t="s">
        <v>65</v>
      </c>
      <c r="AG22" s="1"/>
      <c r="AH22" s="7" t="s">
        <v>476</v>
      </c>
      <c r="AI22" s="1"/>
      <c r="AJ22" s="1"/>
      <c r="AK22" s="1"/>
      <c r="AL22" s="1"/>
      <c r="AM22" s="1"/>
      <c r="AN22" s="1"/>
    </row>
    <row r="23" hidden="1">
      <c r="A23" s="1" t="s">
        <v>481</v>
      </c>
      <c r="B23" s="1" t="s">
        <v>481</v>
      </c>
      <c r="C23" s="4">
        <v>45979.47754629629</v>
      </c>
      <c r="D23" s="5">
        <v>1.76346526E9</v>
      </c>
      <c r="E23" s="7" t="s">
        <v>482</v>
      </c>
      <c r="F23" s="1" t="s">
        <v>483</v>
      </c>
      <c r="G23" s="1" t="s">
        <v>484</v>
      </c>
      <c r="H23" s="1" t="s">
        <v>486</v>
      </c>
      <c r="I23" s="5">
        <v>2.86316585E8</v>
      </c>
      <c r="J23" s="7" t="s">
        <v>488</v>
      </c>
      <c r="K23" s="7" t="s">
        <v>493</v>
      </c>
      <c r="L23" s="9" t="b">
        <v>0</v>
      </c>
      <c r="M23" s="1" t="s">
        <v>67</v>
      </c>
      <c r="N23" s="1" t="s">
        <v>68</v>
      </c>
      <c r="O23" s="1" t="s">
        <v>65</v>
      </c>
      <c r="P23" s="5">
        <v>0.0</v>
      </c>
      <c r="Q23" s="5">
        <v>0.0</v>
      </c>
      <c r="R23" s="5">
        <v>0.0</v>
      </c>
      <c r="S23" s="5">
        <v>0.0</v>
      </c>
      <c r="T23" s="5">
        <v>9.0</v>
      </c>
      <c r="U23" s="1" t="s">
        <v>65</v>
      </c>
      <c r="V23" s="1"/>
      <c r="W23" s="1" t="s">
        <v>65</v>
      </c>
      <c r="X23" s="1"/>
      <c r="Y23" s="1"/>
      <c r="Z23" s="1"/>
      <c r="AA23" s="1"/>
      <c r="AB23" s="1"/>
      <c r="AC23" s="1" t="s">
        <v>65</v>
      </c>
      <c r="AD23" s="1" t="s">
        <v>65</v>
      </c>
      <c r="AE23" s="1"/>
      <c r="AF23" s="1" t="s">
        <v>65</v>
      </c>
      <c r="AG23" s="1"/>
      <c r="AH23" s="1"/>
      <c r="AI23" s="1"/>
      <c r="AJ23" s="1"/>
      <c r="AK23" s="1"/>
      <c r="AL23" s="1"/>
      <c r="AM23" s="1"/>
      <c r="AN23" s="1"/>
    </row>
    <row r="24" hidden="1">
      <c r="A24" s="1" t="s">
        <v>496</v>
      </c>
      <c r="B24" s="1" t="s">
        <v>497</v>
      </c>
      <c r="C24" s="4">
        <v>45976.89837962963</v>
      </c>
      <c r="D24" s="5">
        <v>1.76324242E9</v>
      </c>
      <c r="E24" s="7" t="s">
        <v>499</v>
      </c>
      <c r="F24" s="1" t="s">
        <v>503</v>
      </c>
      <c r="G24" s="1" t="s">
        <v>504</v>
      </c>
      <c r="H24" s="1" t="s">
        <v>504</v>
      </c>
      <c r="I24" s="1" t="s">
        <v>505</v>
      </c>
      <c r="J24" s="7" t="s">
        <v>506</v>
      </c>
      <c r="K24" s="7" t="s">
        <v>510</v>
      </c>
      <c r="L24" s="9" t="b">
        <v>0</v>
      </c>
      <c r="M24" s="1" t="s">
        <v>85</v>
      </c>
      <c r="N24" s="1" t="s">
        <v>68</v>
      </c>
      <c r="O24" s="1" t="s">
        <v>65</v>
      </c>
      <c r="P24" s="5">
        <v>0.0</v>
      </c>
      <c r="Q24" s="5">
        <v>1.0</v>
      </c>
      <c r="R24" s="5">
        <v>0.0</v>
      </c>
      <c r="S24" s="5">
        <v>0.0</v>
      </c>
      <c r="T24" s="5">
        <v>24.0</v>
      </c>
      <c r="U24" s="1" t="s">
        <v>65</v>
      </c>
      <c r="V24" s="1"/>
      <c r="W24" s="1" t="s">
        <v>65</v>
      </c>
      <c r="X24" s="1"/>
      <c r="Y24" s="1"/>
      <c r="Z24" s="1"/>
      <c r="AA24" s="1"/>
      <c r="AB24" s="1"/>
      <c r="AC24" s="1" t="s">
        <v>65</v>
      </c>
      <c r="AD24" s="1" t="s">
        <v>71</v>
      </c>
      <c r="AE24" s="1" t="s">
        <v>504</v>
      </c>
      <c r="AF24" s="1" t="s">
        <v>65</v>
      </c>
      <c r="AG24" s="1"/>
      <c r="AH24" s="1"/>
      <c r="AI24" s="1"/>
      <c r="AJ24" s="1"/>
      <c r="AK24" s="1" t="s">
        <v>516</v>
      </c>
      <c r="AL24" s="1"/>
      <c r="AM24" s="1"/>
      <c r="AN24" s="1"/>
    </row>
    <row r="25">
      <c r="A25" s="1" t="s">
        <v>517</v>
      </c>
      <c r="B25" s="1" t="s">
        <v>517</v>
      </c>
      <c r="C25" s="4">
        <v>45974.97734953704</v>
      </c>
      <c r="D25" s="5">
        <v>1.763076443E9</v>
      </c>
      <c r="E25" s="7" t="s">
        <v>519</v>
      </c>
      <c r="F25" s="1" t="s">
        <v>523</v>
      </c>
      <c r="G25" s="1" t="s">
        <v>524</v>
      </c>
      <c r="H25" s="1" t="s">
        <v>525</v>
      </c>
      <c r="I25" s="1" t="s">
        <v>526</v>
      </c>
      <c r="J25" s="7" t="s">
        <v>527</v>
      </c>
      <c r="K25" s="7" t="s">
        <v>530</v>
      </c>
      <c r="L25" s="9" t="b">
        <v>0</v>
      </c>
      <c r="M25" s="1" t="s">
        <v>67</v>
      </c>
      <c r="N25" s="1" t="s">
        <v>64</v>
      </c>
      <c r="O25" s="1" t="s">
        <v>65</v>
      </c>
      <c r="P25" s="5">
        <v>0.0</v>
      </c>
      <c r="Q25" s="5">
        <v>1.0</v>
      </c>
      <c r="R25" s="5">
        <v>0.0</v>
      </c>
      <c r="S25" s="5">
        <v>0.0</v>
      </c>
      <c r="T25" s="5">
        <v>15.0</v>
      </c>
      <c r="U25" s="1" t="s">
        <v>65</v>
      </c>
      <c r="V25" s="1"/>
      <c r="W25" s="1" t="s">
        <v>65</v>
      </c>
      <c r="X25" s="1"/>
      <c r="Y25" s="1"/>
      <c r="Z25" s="1"/>
      <c r="AA25" s="1"/>
      <c r="AB25" s="1"/>
      <c r="AC25" s="1" t="s">
        <v>65</v>
      </c>
      <c r="AD25" s="1" t="s">
        <v>65</v>
      </c>
      <c r="AE25" s="1"/>
      <c r="AF25" s="1" t="s">
        <v>65</v>
      </c>
      <c r="AG25" s="1"/>
      <c r="AH25" s="1"/>
      <c r="AI25" s="1"/>
      <c r="AJ25" s="1"/>
      <c r="AK25" s="1"/>
      <c r="AL25" s="1"/>
      <c r="AM25" s="1"/>
      <c r="AN25" s="1"/>
    </row>
    <row r="26" hidden="1">
      <c r="A26" s="1" t="s">
        <v>536</v>
      </c>
      <c r="B26" s="1" t="s">
        <v>537</v>
      </c>
      <c r="C26" s="4">
        <v>45974.898981481485</v>
      </c>
      <c r="D26" s="5">
        <v>1.763069672E9</v>
      </c>
      <c r="E26" s="7" t="s">
        <v>539</v>
      </c>
      <c r="F26" s="1" t="s">
        <v>541</v>
      </c>
      <c r="G26" s="1" t="s">
        <v>542</v>
      </c>
      <c r="H26" s="1" t="s">
        <v>543</v>
      </c>
      <c r="I26" s="1" t="s">
        <v>544</v>
      </c>
      <c r="J26" s="7" t="s">
        <v>545</v>
      </c>
      <c r="K26" s="7" t="s">
        <v>553</v>
      </c>
      <c r="L26" s="9" t="b">
        <v>0</v>
      </c>
      <c r="M26" s="1" t="s">
        <v>85</v>
      </c>
      <c r="N26" s="1" t="s">
        <v>68</v>
      </c>
      <c r="O26" s="1" t="s">
        <v>65</v>
      </c>
      <c r="P26" s="5">
        <v>0.0</v>
      </c>
      <c r="Q26" s="5">
        <v>0.0</v>
      </c>
      <c r="R26" s="5">
        <v>17.0</v>
      </c>
      <c r="S26" s="5">
        <v>0.0</v>
      </c>
      <c r="T26" s="5">
        <v>1754.0</v>
      </c>
      <c r="U26" s="1" t="s">
        <v>65</v>
      </c>
      <c r="V26" s="1"/>
      <c r="W26" s="1" t="s">
        <v>65</v>
      </c>
      <c r="X26" s="1"/>
      <c r="Y26" s="1"/>
      <c r="Z26" s="1"/>
      <c r="AA26" s="1"/>
      <c r="AB26" s="1"/>
      <c r="AC26" s="1" t="s">
        <v>65</v>
      </c>
      <c r="AD26" s="1" t="s">
        <v>71</v>
      </c>
      <c r="AE26" s="1" t="s">
        <v>556</v>
      </c>
      <c r="AF26" s="1" t="s">
        <v>65</v>
      </c>
      <c r="AG26" s="1"/>
      <c r="AH26" s="1"/>
      <c r="AI26" s="1"/>
      <c r="AJ26" s="1"/>
      <c r="AK26" s="1" t="s">
        <v>557</v>
      </c>
      <c r="AL26" s="1"/>
      <c r="AM26" s="1"/>
      <c r="AN26" s="1"/>
    </row>
    <row r="27">
      <c r="A27" s="1" t="s">
        <v>558</v>
      </c>
      <c r="B27" s="1" t="s">
        <v>559</v>
      </c>
      <c r="C27" s="4">
        <v>45973.97791666666</v>
      </c>
      <c r="D27" s="5">
        <v>1.762990092E9</v>
      </c>
      <c r="E27" s="7" t="s">
        <v>560</v>
      </c>
      <c r="F27" s="1" t="s">
        <v>563</v>
      </c>
      <c r="G27" s="1" t="s">
        <v>564</v>
      </c>
      <c r="H27" s="1" t="s">
        <v>565</v>
      </c>
      <c r="I27" s="5">
        <v>1.66666615E8</v>
      </c>
      <c r="J27" s="7" t="s">
        <v>566</v>
      </c>
      <c r="K27" s="7" t="s">
        <v>570</v>
      </c>
      <c r="L27" s="9" t="b">
        <v>0</v>
      </c>
      <c r="M27" s="1" t="s">
        <v>85</v>
      </c>
      <c r="N27" s="1" t="s">
        <v>64</v>
      </c>
      <c r="O27" s="1" t="s">
        <v>65</v>
      </c>
      <c r="P27" s="5">
        <v>0.0</v>
      </c>
      <c r="Q27" s="5">
        <v>0.0</v>
      </c>
      <c r="R27" s="5">
        <v>1.0</v>
      </c>
      <c r="S27" s="5">
        <v>0.0</v>
      </c>
      <c r="T27" s="5">
        <v>44.0</v>
      </c>
      <c r="U27" s="1" t="s">
        <v>65</v>
      </c>
      <c r="V27" s="1"/>
      <c r="W27" s="1" t="s">
        <v>65</v>
      </c>
      <c r="X27" s="1"/>
      <c r="Y27" s="1"/>
      <c r="Z27" s="1"/>
      <c r="AA27" s="1"/>
      <c r="AB27" s="1"/>
      <c r="AC27" s="1" t="s">
        <v>65</v>
      </c>
      <c r="AD27" s="1" t="s">
        <v>71</v>
      </c>
      <c r="AE27" s="1" t="s">
        <v>576</v>
      </c>
      <c r="AF27" s="1" t="s">
        <v>65</v>
      </c>
      <c r="AG27" s="1"/>
      <c r="AH27" s="1"/>
      <c r="AI27" s="1"/>
      <c r="AJ27" s="1"/>
      <c r="AK27" s="1" t="s">
        <v>576</v>
      </c>
      <c r="AL27" s="1"/>
      <c r="AM27" s="1"/>
      <c r="AN27" s="1"/>
    </row>
    <row r="28">
      <c r="A28" s="1" t="s">
        <v>578</v>
      </c>
      <c r="B28" s="1" t="s">
        <v>579</v>
      </c>
      <c r="C28" s="4">
        <v>45973.88324074074</v>
      </c>
      <c r="D28" s="5">
        <v>1.762981912E9</v>
      </c>
      <c r="E28" s="7" t="s">
        <v>580</v>
      </c>
      <c r="F28" s="1" t="s">
        <v>582</v>
      </c>
      <c r="G28" s="1" t="s">
        <v>583</v>
      </c>
      <c r="H28" s="1" t="s">
        <v>584</v>
      </c>
      <c r="I28" s="1" t="s">
        <v>585</v>
      </c>
      <c r="J28" s="7" t="s">
        <v>586</v>
      </c>
      <c r="K28" s="7" t="s">
        <v>588</v>
      </c>
      <c r="L28" s="9" t="b">
        <v>0</v>
      </c>
      <c r="M28" s="1" t="s">
        <v>85</v>
      </c>
      <c r="N28" s="1" t="s">
        <v>64</v>
      </c>
      <c r="O28" s="1" t="s">
        <v>65</v>
      </c>
      <c r="P28" s="5">
        <v>0.0</v>
      </c>
      <c r="Q28" s="5">
        <v>0.0</v>
      </c>
      <c r="R28" s="5">
        <v>0.0</v>
      </c>
      <c r="S28" s="5">
        <v>0.0</v>
      </c>
      <c r="T28" s="5">
        <v>14.0</v>
      </c>
      <c r="U28" s="1" t="s">
        <v>65</v>
      </c>
      <c r="V28" s="1"/>
      <c r="W28" s="1" t="s">
        <v>65</v>
      </c>
      <c r="X28" s="1"/>
      <c r="Y28" s="1"/>
      <c r="Z28" s="1"/>
      <c r="AA28" s="1"/>
      <c r="AB28" s="1"/>
      <c r="AC28" s="1" t="s">
        <v>65</v>
      </c>
      <c r="AD28" s="1" t="s">
        <v>71</v>
      </c>
      <c r="AE28" s="1" t="s">
        <v>590</v>
      </c>
      <c r="AF28" s="1" t="s">
        <v>65</v>
      </c>
      <c r="AG28" s="1"/>
      <c r="AH28" s="1"/>
      <c r="AI28" s="1"/>
      <c r="AJ28" s="1"/>
      <c r="AK28" s="1" t="s">
        <v>592</v>
      </c>
      <c r="AL28" s="1"/>
      <c r="AM28" s="1"/>
      <c r="AN28" s="1"/>
    </row>
    <row r="29">
      <c r="A29" s="1" t="s">
        <v>594</v>
      </c>
      <c r="B29" s="1" t="s">
        <v>594</v>
      </c>
      <c r="C29" s="4">
        <v>45973.85193287037</v>
      </c>
      <c r="D29" s="5">
        <v>1.762979207E9</v>
      </c>
      <c r="E29" s="7" t="s">
        <v>597</v>
      </c>
      <c r="F29" s="1" t="s">
        <v>599</v>
      </c>
      <c r="G29" s="1" t="s">
        <v>600</v>
      </c>
      <c r="H29" s="1" t="s">
        <v>601</v>
      </c>
      <c r="I29" s="1" t="s">
        <v>602</v>
      </c>
      <c r="J29" s="7" t="s">
        <v>603</v>
      </c>
      <c r="K29" s="7" t="s">
        <v>607</v>
      </c>
      <c r="L29" s="9" t="b">
        <v>0</v>
      </c>
      <c r="M29" s="1" t="s">
        <v>67</v>
      </c>
      <c r="N29" s="1" t="s">
        <v>64</v>
      </c>
      <c r="O29" s="1" t="s">
        <v>65</v>
      </c>
      <c r="P29" s="5">
        <v>0.0</v>
      </c>
      <c r="Q29" s="5">
        <v>1.0</v>
      </c>
      <c r="R29" s="5">
        <v>11.0</v>
      </c>
      <c r="S29" s="5">
        <v>0.0</v>
      </c>
      <c r="T29" s="5">
        <v>439.0</v>
      </c>
      <c r="U29" s="1" t="s">
        <v>65</v>
      </c>
      <c r="V29" s="1"/>
      <c r="W29" s="1" t="s">
        <v>65</v>
      </c>
      <c r="X29" s="1"/>
      <c r="Y29" s="1"/>
      <c r="Z29" s="1"/>
      <c r="AA29" s="1"/>
      <c r="AB29" s="1"/>
      <c r="AC29" s="1" t="s">
        <v>65</v>
      </c>
      <c r="AD29" s="1" t="s">
        <v>65</v>
      </c>
      <c r="AE29" s="1"/>
      <c r="AF29" s="1" t="s">
        <v>65</v>
      </c>
      <c r="AG29" s="1"/>
      <c r="AH29" s="1"/>
      <c r="AI29" s="1"/>
      <c r="AJ29" s="1"/>
      <c r="AK29" s="1"/>
      <c r="AL29" s="1"/>
      <c r="AM29" s="1"/>
      <c r="AN29" s="1"/>
    </row>
    <row r="30" hidden="1">
      <c r="A30" s="1" t="s">
        <v>538</v>
      </c>
      <c r="B30" s="1" t="s">
        <v>538</v>
      </c>
      <c r="C30" s="4">
        <v>45973.84296296296</v>
      </c>
      <c r="D30" s="5">
        <v>1.762978432E9</v>
      </c>
      <c r="E30" s="7" t="s">
        <v>540</v>
      </c>
      <c r="F30" s="1" t="s">
        <v>546</v>
      </c>
      <c r="G30" s="1" t="s">
        <v>547</v>
      </c>
      <c r="H30" s="1" t="s">
        <v>548</v>
      </c>
      <c r="I30" s="1" t="s">
        <v>549</v>
      </c>
      <c r="J30" s="7" t="s">
        <v>550</v>
      </c>
      <c r="K30" s="7" t="s">
        <v>554</v>
      </c>
      <c r="L30" s="9" t="b">
        <v>0</v>
      </c>
      <c r="M30" s="1" t="s">
        <v>66</v>
      </c>
      <c r="N30" s="1" t="s">
        <v>68</v>
      </c>
      <c r="O30" s="1" t="s">
        <v>65</v>
      </c>
      <c r="P30" s="5">
        <v>0.0</v>
      </c>
      <c r="Q30" s="5">
        <v>1.0</v>
      </c>
      <c r="R30" s="5">
        <v>1.0</v>
      </c>
      <c r="S30" s="5">
        <v>0.0</v>
      </c>
      <c r="T30" s="5">
        <v>62.0</v>
      </c>
      <c r="U30" s="1" t="s">
        <v>65</v>
      </c>
      <c r="V30" s="1"/>
      <c r="W30" s="1" t="s">
        <v>65</v>
      </c>
      <c r="X30" s="1"/>
      <c r="Y30" s="1"/>
      <c r="Z30" s="1"/>
      <c r="AA30" s="1"/>
      <c r="AB30" s="1"/>
      <c r="AC30" s="1" t="s">
        <v>65</v>
      </c>
      <c r="AD30" s="1" t="s">
        <v>65</v>
      </c>
      <c r="AE30" s="1"/>
      <c r="AF30" s="1" t="s">
        <v>65</v>
      </c>
      <c r="AG30" s="1"/>
      <c r="AH30" s="1"/>
      <c r="AI30" s="1"/>
      <c r="AJ30" s="1"/>
      <c r="AK30" s="1"/>
      <c r="AL30" s="1"/>
      <c r="AM30" s="1"/>
      <c r="AN30" s="1"/>
    </row>
    <row r="31" hidden="1">
      <c r="A31" s="1" t="s">
        <v>622</v>
      </c>
      <c r="B31" s="1" t="s">
        <v>623</v>
      </c>
      <c r="C31" s="4">
        <v>45973.759791666664</v>
      </c>
      <c r="D31" s="5">
        <v>1.762971246E9</v>
      </c>
      <c r="E31" s="7" t="s">
        <v>625</v>
      </c>
      <c r="F31" s="1" t="s">
        <v>629</v>
      </c>
      <c r="G31" s="1" t="s">
        <v>630</v>
      </c>
      <c r="H31" s="1" t="s">
        <v>631</v>
      </c>
      <c r="I31" s="1" t="s">
        <v>632</v>
      </c>
      <c r="J31" s="7" t="s">
        <v>634</v>
      </c>
      <c r="K31" s="7" t="s">
        <v>642</v>
      </c>
      <c r="L31" s="9" t="b">
        <v>0</v>
      </c>
      <c r="M31" s="1" t="s">
        <v>67</v>
      </c>
      <c r="N31" s="1" t="s">
        <v>68</v>
      </c>
      <c r="O31" s="1" t="s">
        <v>65</v>
      </c>
      <c r="P31" s="5">
        <v>1.0</v>
      </c>
      <c r="Q31" s="5">
        <v>0.0</v>
      </c>
      <c r="R31" s="5">
        <v>3.0</v>
      </c>
      <c r="S31" s="5">
        <v>0.0</v>
      </c>
      <c r="T31" s="5">
        <v>105.0</v>
      </c>
      <c r="U31" s="1" t="s">
        <v>65</v>
      </c>
      <c r="V31" s="1"/>
      <c r="W31" s="1" t="s">
        <v>65</v>
      </c>
      <c r="X31" s="1"/>
      <c r="Y31" s="1"/>
      <c r="Z31" s="1"/>
      <c r="AA31" s="1"/>
      <c r="AB31" s="1"/>
      <c r="AC31" s="1" t="s">
        <v>65</v>
      </c>
      <c r="AD31" s="1" t="s">
        <v>71</v>
      </c>
      <c r="AE31" s="1" t="s">
        <v>630</v>
      </c>
      <c r="AF31" s="1" t="s">
        <v>65</v>
      </c>
      <c r="AG31" s="1"/>
      <c r="AH31" s="1"/>
      <c r="AI31" s="7" t="s">
        <v>645</v>
      </c>
      <c r="AJ31" s="1"/>
      <c r="AK31" s="1" t="s">
        <v>651</v>
      </c>
      <c r="AL31" s="1"/>
      <c r="AM31" s="1"/>
      <c r="AN31" s="1"/>
    </row>
    <row r="32">
      <c r="A32" s="1" t="s">
        <v>652</v>
      </c>
      <c r="B32" s="1" t="s">
        <v>652</v>
      </c>
      <c r="C32" s="4">
        <v>45972.94873842593</v>
      </c>
      <c r="D32" s="5">
        <v>1.762901171E9</v>
      </c>
      <c r="E32" s="7" t="s">
        <v>653</v>
      </c>
      <c r="F32" s="1" t="s">
        <v>661</v>
      </c>
      <c r="G32" s="1" t="s">
        <v>662</v>
      </c>
      <c r="H32" s="1" t="s">
        <v>663</v>
      </c>
      <c r="I32" s="1" t="s">
        <v>664</v>
      </c>
      <c r="J32" s="7" t="s">
        <v>665</v>
      </c>
      <c r="K32" s="7" t="s">
        <v>671</v>
      </c>
      <c r="L32" s="9" t="b">
        <v>0</v>
      </c>
      <c r="M32" s="1" t="s">
        <v>66</v>
      </c>
      <c r="N32" s="1" t="s">
        <v>64</v>
      </c>
      <c r="O32" s="1" t="s">
        <v>65</v>
      </c>
      <c r="P32" s="5">
        <v>0.0</v>
      </c>
      <c r="Q32" s="5">
        <v>0.0</v>
      </c>
      <c r="R32" s="5">
        <v>0.0</v>
      </c>
      <c r="S32" s="5">
        <v>0.0</v>
      </c>
      <c r="T32" s="5">
        <v>41.0</v>
      </c>
      <c r="U32" s="1" t="s">
        <v>65</v>
      </c>
      <c r="V32" s="1"/>
      <c r="W32" s="1" t="s">
        <v>65</v>
      </c>
      <c r="X32" s="1"/>
      <c r="Y32" s="1"/>
      <c r="Z32" s="1"/>
      <c r="AA32" s="1"/>
      <c r="AB32" s="1"/>
      <c r="AC32" s="1" t="s">
        <v>65</v>
      </c>
      <c r="AD32" s="1" t="s">
        <v>65</v>
      </c>
      <c r="AE32" s="1"/>
      <c r="AF32" s="1" t="s">
        <v>65</v>
      </c>
      <c r="AG32" s="1"/>
      <c r="AH32" s="7" t="s">
        <v>674</v>
      </c>
      <c r="AI32" s="1"/>
      <c r="AJ32" s="1"/>
      <c r="AK32" s="1"/>
      <c r="AL32" s="1"/>
      <c r="AM32" s="1"/>
      <c r="AN32" s="1"/>
    </row>
    <row r="33">
      <c r="A33" s="1" t="s">
        <v>679</v>
      </c>
      <c r="B33" s="1" t="s">
        <v>680</v>
      </c>
      <c r="C33" s="4">
        <v>45972.4731712963</v>
      </c>
      <c r="D33" s="5">
        <v>1.762860082E9</v>
      </c>
      <c r="E33" s="7" t="s">
        <v>681</v>
      </c>
      <c r="F33" s="1" t="s">
        <v>688</v>
      </c>
      <c r="G33" s="1" t="s">
        <v>689</v>
      </c>
      <c r="H33" s="1" t="s">
        <v>690</v>
      </c>
      <c r="I33" s="1" t="s">
        <v>691</v>
      </c>
      <c r="J33" s="7" t="s">
        <v>692</v>
      </c>
      <c r="K33" s="7" t="s">
        <v>693</v>
      </c>
      <c r="L33" s="9" t="b">
        <v>0</v>
      </c>
      <c r="M33" s="1" t="s">
        <v>66</v>
      </c>
      <c r="N33" s="1" t="s">
        <v>64</v>
      </c>
      <c r="O33" s="1" t="s">
        <v>65</v>
      </c>
      <c r="P33" s="5">
        <v>0.0</v>
      </c>
      <c r="Q33" s="5">
        <v>1.0</v>
      </c>
      <c r="R33" s="5">
        <v>2.0</v>
      </c>
      <c r="S33" s="5">
        <v>0.0</v>
      </c>
      <c r="T33" s="5">
        <v>524.0</v>
      </c>
      <c r="U33" s="1" t="s">
        <v>65</v>
      </c>
      <c r="V33" s="1"/>
      <c r="W33" s="1" t="s">
        <v>65</v>
      </c>
      <c r="X33" s="1"/>
      <c r="Y33" s="1"/>
      <c r="Z33" s="1"/>
      <c r="AA33" s="1"/>
      <c r="AB33" s="1"/>
      <c r="AC33" s="1" t="s">
        <v>65</v>
      </c>
      <c r="AD33" s="1" t="s">
        <v>71</v>
      </c>
      <c r="AE33" s="1" t="s">
        <v>697</v>
      </c>
      <c r="AF33" s="1" t="s">
        <v>65</v>
      </c>
      <c r="AG33" s="1"/>
      <c r="AH33" s="1"/>
      <c r="AI33" s="1"/>
      <c r="AJ33" s="1"/>
      <c r="AK33" s="1" t="s">
        <v>697</v>
      </c>
      <c r="AL33" s="1"/>
      <c r="AM33" s="1"/>
      <c r="AN33" s="1"/>
    </row>
    <row r="34">
      <c r="A34" s="1" t="s">
        <v>698</v>
      </c>
      <c r="B34" s="1" t="s">
        <v>699</v>
      </c>
      <c r="C34" s="4">
        <v>45971.51306712963</v>
      </c>
      <c r="D34" s="5">
        <v>1.762777129E9</v>
      </c>
      <c r="E34" s="7" t="s">
        <v>702</v>
      </c>
      <c r="F34" s="1" t="s">
        <v>708</v>
      </c>
      <c r="G34" s="1" t="s">
        <v>709</v>
      </c>
      <c r="H34" s="1" t="s">
        <v>710</v>
      </c>
      <c r="I34" s="1" t="s">
        <v>711</v>
      </c>
      <c r="J34" s="7" t="s">
        <v>712</v>
      </c>
      <c r="K34" s="7" t="s">
        <v>719</v>
      </c>
      <c r="L34" s="9" t="b">
        <v>1</v>
      </c>
      <c r="M34" s="1" t="s">
        <v>721</v>
      </c>
      <c r="N34" s="1" t="s">
        <v>64</v>
      </c>
      <c r="O34" s="1" t="s">
        <v>65</v>
      </c>
      <c r="P34" s="5">
        <v>0.0</v>
      </c>
      <c r="Q34" s="5">
        <v>0.0</v>
      </c>
      <c r="R34" s="5">
        <v>0.0</v>
      </c>
      <c r="S34" s="5">
        <v>0.0</v>
      </c>
      <c r="T34" s="5">
        <v>22.0</v>
      </c>
      <c r="U34" s="1" t="s">
        <v>65</v>
      </c>
      <c r="V34" s="1"/>
      <c r="W34" s="1" t="s">
        <v>65</v>
      </c>
      <c r="X34" s="1"/>
      <c r="Y34" s="1"/>
      <c r="Z34" s="1"/>
      <c r="AA34" s="1"/>
      <c r="AB34" s="1"/>
      <c r="AC34" s="1" t="s">
        <v>65</v>
      </c>
      <c r="AD34" s="1" t="s">
        <v>71</v>
      </c>
      <c r="AE34" s="1" t="s">
        <v>709</v>
      </c>
      <c r="AF34" s="1" t="s">
        <v>65</v>
      </c>
      <c r="AG34" s="1"/>
      <c r="AH34" s="1"/>
      <c r="AI34" s="1"/>
      <c r="AJ34" s="1"/>
      <c r="AK34" s="1" t="s">
        <v>724</v>
      </c>
      <c r="AL34" s="1"/>
      <c r="AM34" s="1"/>
      <c r="AN34" s="1"/>
    </row>
    <row r="35" hidden="1">
      <c r="A35" s="1" t="s">
        <v>725</v>
      </c>
      <c r="B35" s="1" t="s">
        <v>726</v>
      </c>
      <c r="C35" s="4">
        <v>45970.59877314815</v>
      </c>
      <c r="D35" s="5">
        <v>1.762698134E9</v>
      </c>
      <c r="E35" s="7" t="s">
        <v>727</v>
      </c>
      <c r="F35" s="1" t="s">
        <v>732</v>
      </c>
      <c r="G35" s="1" t="s">
        <v>733</v>
      </c>
      <c r="H35" s="1" t="s">
        <v>734</v>
      </c>
      <c r="I35" s="1" t="s">
        <v>736</v>
      </c>
      <c r="J35" s="7" t="s">
        <v>738</v>
      </c>
      <c r="K35" s="1"/>
      <c r="L35" s="9" t="b">
        <v>0</v>
      </c>
      <c r="M35" s="1" t="s">
        <v>67</v>
      </c>
      <c r="N35" s="1" t="s">
        <v>68</v>
      </c>
      <c r="O35" s="1" t="s">
        <v>65</v>
      </c>
      <c r="P35" s="5">
        <v>0.0</v>
      </c>
      <c r="Q35" s="5">
        <v>1.0</v>
      </c>
      <c r="R35" s="5">
        <v>0.0</v>
      </c>
      <c r="S35" s="5">
        <v>0.0</v>
      </c>
      <c r="T35" s="5">
        <v>21.0</v>
      </c>
      <c r="U35" s="1" t="s">
        <v>65</v>
      </c>
      <c r="V35" s="1"/>
      <c r="W35" s="1" t="s">
        <v>65</v>
      </c>
      <c r="X35" s="1"/>
      <c r="Y35" s="1"/>
      <c r="Z35" s="1"/>
      <c r="AA35" s="1"/>
      <c r="AB35" s="1"/>
      <c r="AC35" s="1" t="s">
        <v>65</v>
      </c>
      <c r="AD35" s="1" t="s">
        <v>71</v>
      </c>
      <c r="AE35" s="1" t="s">
        <v>748</v>
      </c>
      <c r="AF35" s="1" t="s">
        <v>65</v>
      </c>
      <c r="AG35" s="1"/>
      <c r="AH35" s="1"/>
      <c r="AI35" s="1"/>
      <c r="AJ35" s="1"/>
      <c r="AK35" s="1" t="s">
        <v>749</v>
      </c>
      <c r="AL35" s="1"/>
      <c r="AM35" s="1"/>
      <c r="AN35" s="1"/>
    </row>
    <row r="36" hidden="1">
      <c r="A36" s="1" t="s">
        <v>750</v>
      </c>
      <c r="B36" s="1" t="s">
        <v>750</v>
      </c>
      <c r="C36" s="4">
        <v>45969.865</v>
      </c>
      <c r="D36" s="5">
        <v>1.762634736E9</v>
      </c>
      <c r="E36" s="7" t="s">
        <v>753</v>
      </c>
      <c r="F36" s="1" t="s">
        <v>755</v>
      </c>
      <c r="G36" s="1" t="s">
        <v>756</v>
      </c>
      <c r="H36" s="1" t="s">
        <v>757</v>
      </c>
      <c r="I36" s="1" t="s">
        <v>758</v>
      </c>
      <c r="J36" s="7" t="s">
        <v>759</v>
      </c>
      <c r="K36" s="7" t="s">
        <v>763</v>
      </c>
      <c r="L36" s="9" t="b">
        <v>0</v>
      </c>
      <c r="M36" s="1" t="s">
        <v>67</v>
      </c>
      <c r="N36" s="1" t="s">
        <v>68</v>
      </c>
      <c r="O36" s="1" t="s">
        <v>65</v>
      </c>
      <c r="P36" s="5">
        <v>0.0</v>
      </c>
      <c r="Q36" s="5">
        <v>0.0</v>
      </c>
      <c r="R36" s="5">
        <v>1.0</v>
      </c>
      <c r="S36" s="5">
        <v>0.0</v>
      </c>
      <c r="T36" s="5">
        <v>233.0</v>
      </c>
      <c r="U36" s="1" t="s">
        <v>65</v>
      </c>
      <c r="V36" s="1"/>
      <c r="W36" s="1" t="s">
        <v>71</v>
      </c>
      <c r="X36" s="1" t="s">
        <v>770</v>
      </c>
      <c r="Y36" s="1" t="s">
        <v>771</v>
      </c>
      <c r="Z36" s="1" t="s">
        <v>772</v>
      </c>
      <c r="AA36" s="1"/>
      <c r="AB36" s="1"/>
      <c r="AC36" s="1" t="s">
        <v>65</v>
      </c>
      <c r="AD36" s="1" t="s">
        <v>65</v>
      </c>
      <c r="AE36" s="1"/>
      <c r="AF36" s="1" t="s">
        <v>65</v>
      </c>
      <c r="AG36" s="1"/>
      <c r="AH36" s="1"/>
      <c r="AI36" s="1"/>
      <c r="AJ36" s="1"/>
      <c r="AK36" s="1"/>
      <c r="AL36" s="1"/>
      <c r="AM36" s="1"/>
      <c r="AN36" s="1"/>
    </row>
    <row r="37">
      <c r="A37" s="1" t="s">
        <v>479</v>
      </c>
      <c r="B37" s="1" t="s">
        <v>479</v>
      </c>
      <c r="C37" s="4">
        <v>45968.63599537037</v>
      </c>
      <c r="D37" s="5">
        <v>1.76252855E9</v>
      </c>
      <c r="E37" s="7" t="s">
        <v>480</v>
      </c>
      <c r="F37" s="1" t="s">
        <v>485</v>
      </c>
      <c r="G37" s="1" t="s">
        <v>487</v>
      </c>
      <c r="H37" s="1" t="s">
        <v>489</v>
      </c>
      <c r="I37" s="5">
        <v>1.063844564E9</v>
      </c>
      <c r="J37" s="7" t="s">
        <v>490</v>
      </c>
      <c r="K37" s="7" t="s">
        <v>494</v>
      </c>
      <c r="L37" s="9" t="b">
        <v>0</v>
      </c>
      <c r="M37" s="1" t="s">
        <v>66</v>
      </c>
      <c r="N37" s="1" t="s">
        <v>64</v>
      </c>
      <c r="O37" s="1" t="s">
        <v>65</v>
      </c>
      <c r="P37" s="5">
        <v>0.0</v>
      </c>
      <c r="Q37" s="5">
        <v>0.0</v>
      </c>
      <c r="R37" s="5">
        <v>2.0</v>
      </c>
      <c r="S37" s="5">
        <v>0.0</v>
      </c>
      <c r="T37" s="5">
        <v>24.0</v>
      </c>
      <c r="U37" s="1" t="s">
        <v>65</v>
      </c>
      <c r="V37" s="1"/>
      <c r="W37" s="1" t="s">
        <v>65</v>
      </c>
      <c r="X37" s="1"/>
      <c r="Y37" s="1"/>
      <c r="Z37" s="1"/>
      <c r="AA37" s="1"/>
      <c r="AB37" s="1"/>
      <c r="AC37" s="1" t="s">
        <v>65</v>
      </c>
      <c r="AD37" s="1" t="s">
        <v>65</v>
      </c>
      <c r="AE37" s="1"/>
      <c r="AF37" s="1" t="s">
        <v>65</v>
      </c>
      <c r="AG37" s="1" t="s">
        <v>501</v>
      </c>
      <c r="AH37" s="1"/>
      <c r="AI37" s="7" t="s">
        <v>502</v>
      </c>
      <c r="AJ37" s="1"/>
      <c r="AK37" s="1"/>
      <c r="AL37" s="1"/>
      <c r="AM37" s="1"/>
      <c r="AN37" s="1"/>
    </row>
    <row r="38">
      <c r="A38" s="1" t="s">
        <v>786</v>
      </c>
      <c r="B38" s="1" t="s">
        <v>786</v>
      </c>
      <c r="C38" s="4">
        <v>45968.6121875</v>
      </c>
      <c r="D38" s="5">
        <v>1.762526493E9</v>
      </c>
      <c r="E38" s="7" t="s">
        <v>788</v>
      </c>
      <c r="F38" s="1" t="s">
        <v>792</v>
      </c>
      <c r="G38" s="1" t="s">
        <v>794</v>
      </c>
      <c r="H38" s="1" t="s">
        <v>795</v>
      </c>
      <c r="I38" s="1" t="s">
        <v>796</v>
      </c>
      <c r="J38" s="7" t="s">
        <v>797</v>
      </c>
      <c r="K38" s="7" t="s">
        <v>801</v>
      </c>
      <c r="L38" s="9" t="b">
        <v>0</v>
      </c>
      <c r="M38" s="1" t="s">
        <v>85</v>
      </c>
      <c r="N38" s="1" t="s">
        <v>64</v>
      </c>
      <c r="O38" s="1" t="s">
        <v>65</v>
      </c>
      <c r="P38" s="5">
        <v>0.0</v>
      </c>
      <c r="Q38" s="5">
        <v>0.0</v>
      </c>
      <c r="R38" s="5">
        <v>0.0</v>
      </c>
      <c r="S38" s="5">
        <v>0.0</v>
      </c>
      <c r="T38" s="5">
        <v>8.0</v>
      </c>
      <c r="U38" s="1" t="s">
        <v>65</v>
      </c>
      <c r="V38" s="1"/>
      <c r="W38" s="1" t="s">
        <v>65</v>
      </c>
      <c r="X38" s="1"/>
      <c r="Y38" s="1"/>
      <c r="Z38" s="1"/>
      <c r="AA38" s="1"/>
      <c r="AB38" s="1"/>
      <c r="AC38" s="1" t="s">
        <v>65</v>
      </c>
      <c r="AD38" s="1" t="s">
        <v>65</v>
      </c>
      <c r="AE38" s="1" t="s">
        <v>807</v>
      </c>
      <c r="AF38" s="1" t="s">
        <v>65</v>
      </c>
      <c r="AG38" s="1"/>
      <c r="AH38" s="1"/>
      <c r="AI38" s="1"/>
      <c r="AJ38" s="1"/>
      <c r="AK38" s="1" t="s">
        <v>807</v>
      </c>
      <c r="AL38" s="1"/>
      <c r="AM38" s="1"/>
      <c r="AN38" s="1"/>
    </row>
    <row r="39" hidden="1">
      <c r="A39" s="1" t="s">
        <v>809</v>
      </c>
      <c r="B39" s="1" t="s">
        <v>810</v>
      </c>
      <c r="C39" s="4">
        <v>45968.56019675926</v>
      </c>
      <c r="D39" s="5">
        <v>1.762522001E9</v>
      </c>
      <c r="E39" s="7" t="s">
        <v>812</v>
      </c>
      <c r="F39" s="1" t="s">
        <v>819</v>
      </c>
      <c r="G39" s="1" t="s">
        <v>820</v>
      </c>
      <c r="H39" s="1" t="s">
        <v>821</v>
      </c>
      <c r="I39" s="1" t="s">
        <v>822</v>
      </c>
      <c r="J39" s="7" t="s">
        <v>823</v>
      </c>
      <c r="K39" s="7" t="s">
        <v>826</v>
      </c>
      <c r="L39" s="9" t="b">
        <v>0</v>
      </c>
      <c r="M39" s="1" t="s">
        <v>67</v>
      </c>
      <c r="N39" s="1" t="s">
        <v>68</v>
      </c>
      <c r="O39" s="1" t="s">
        <v>65</v>
      </c>
      <c r="P39" s="5">
        <v>0.0</v>
      </c>
      <c r="Q39" s="5">
        <v>0.0</v>
      </c>
      <c r="R39" s="5">
        <v>1.0</v>
      </c>
      <c r="S39" s="5">
        <v>0.0</v>
      </c>
      <c r="T39" s="5">
        <v>38.0</v>
      </c>
      <c r="U39" s="1" t="s">
        <v>65</v>
      </c>
      <c r="V39" s="1"/>
      <c r="W39" s="1" t="s">
        <v>65</v>
      </c>
      <c r="X39" s="1"/>
      <c r="Y39" s="1"/>
      <c r="Z39" s="1"/>
      <c r="AA39" s="1"/>
      <c r="AB39" s="1"/>
      <c r="AC39" s="1" t="s">
        <v>65</v>
      </c>
      <c r="AD39" s="1" t="s">
        <v>71</v>
      </c>
      <c r="AE39" s="1" t="s">
        <v>820</v>
      </c>
      <c r="AF39" s="1" t="s">
        <v>65</v>
      </c>
      <c r="AG39" s="1"/>
      <c r="AH39" s="1"/>
      <c r="AI39" s="1"/>
      <c r="AJ39" s="1"/>
      <c r="AK39" s="1" t="s">
        <v>831</v>
      </c>
      <c r="AL39" s="1"/>
      <c r="AM39" s="1"/>
      <c r="AN39" s="1"/>
    </row>
    <row r="40" hidden="1">
      <c r="A40" s="1" t="s">
        <v>832</v>
      </c>
      <c r="B40" s="1" t="s">
        <v>810</v>
      </c>
      <c r="C40" s="4">
        <v>45968.5594212963</v>
      </c>
      <c r="D40" s="5">
        <v>1.762521934E9</v>
      </c>
      <c r="E40" s="7" t="s">
        <v>834</v>
      </c>
      <c r="F40" s="1" t="s">
        <v>837</v>
      </c>
      <c r="G40" s="1" t="s">
        <v>820</v>
      </c>
      <c r="H40" s="1" t="s">
        <v>821</v>
      </c>
      <c r="I40" s="1" t="s">
        <v>822</v>
      </c>
      <c r="J40" s="7" t="s">
        <v>823</v>
      </c>
      <c r="K40" s="7" t="s">
        <v>826</v>
      </c>
      <c r="L40" s="9" t="b">
        <v>0</v>
      </c>
      <c r="M40" s="1" t="s">
        <v>67</v>
      </c>
      <c r="N40" s="1" t="s">
        <v>68</v>
      </c>
      <c r="O40" s="1" t="s">
        <v>65</v>
      </c>
      <c r="P40" s="5">
        <v>0.0</v>
      </c>
      <c r="Q40" s="5">
        <v>1.0</v>
      </c>
      <c r="R40" s="5">
        <v>5.0</v>
      </c>
      <c r="S40" s="5">
        <v>0.0</v>
      </c>
      <c r="T40" s="5">
        <v>98.0</v>
      </c>
      <c r="U40" s="1" t="s">
        <v>65</v>
      </c>
      <c r="V40" s="1"/>
      <c r="W40" s="1" t="s">
        <v>65</v>
      </c>
      <c r="X40" s="1"/>
      <c r="Y40" s="1"/>
      <c r="Z40" s="1"/>
      <c r="AA40" s="1"/>
      <c r="AB40" s="1"/>
      <c r="AC40" s="1" t="s">
        <v>65</v>
      </c>
      <c r="AD40" s="1" t="s">
        <v>71</v>
      </c>
      <c r="AE40" s="1" t="s">
        <v>831</v>
      </c>
      <c r="AF40" s="1" t="s">
        <v>65</v>
      </c>
      <c r="AG40" s="1"/>
      <c r="AH40" s="1"/>
      <c r="AI40" s="1"/>
      <c r="AJ40" s="1"/>
      <c r="AK40" s="1" t="s">
        <v>831</v>
      </c>
      <c r="AL40" s="1"/>
      <c r="AM40" s="1"/>
      <c r="AN40" s="1"/>
    </row>
    <row r="41" hidden="1">
      <c r="A41" s="1" t="s">
        <v>842</v>
      </c>
      <c r="B41" s="1" t="s">
        <v>843</v>
      </c>
      <c r="C41" s="4">
        <v>45967.829976851855</v>
      </c>
      <c r="D41" s="5">
        <v>1.76245891E9</v>
      </c>
      <c r="E41" s="7" t="s">
        <v>844</v>
      </c>
      <c r="F41" s="1" t="s">
        <v>847</v>
      </c>
      <c r="G41" s="1" t="s">
        <v>848</v>
      </c>
      <c r="H41" s="1" t="s">
        <v>849</v>
      </c>
      <c r="I41" s="1" t="s">
        <v>850</v>
      </c>
      <c r="J41" s="7" t="s">
        <v>851</v>
      </c>
      <c r="K41" s="7" t="s">
        <v>856</v>
      </c>
      <c r="L41" s="9" t="b">
        <v>0</v>
      </c>
      <c r="M41" s="1" t="s">
        <v>67</v>
      </c>
      <c r="N41" s="1" t="s">
        <v>68</v>
      </c>
      <c r="O41" s="1" t="s">
        <v>65</v>
      </c>
      <c r="P41" s="5">
        <v>0.0</v>
      </c>
      <c r="Q41" s="5">
        <v>2.0</v>
      </c>
      <c r="R41" s="5">
        <v>5.0</v>
      </c>
      <c r="S41" s="5">
        <v>0.0</v>
      </c>
      <c r="T41" s="5">
        <v>401.0</v>
      </c>
      <c r="U41" s="1" t="s">
        <v>65</v>
      </c>
      <c r="V41" s="1"/>
      <c r="W41" s="1" t="s">
        <v>65</v>
      </c>
      <c r="X41" s="1"/>
      <c r="Y41" s="1"/>
      <c r="Z41" s="1"/>
      <c r="AA41" s="1"/>
      <c r="AB41" s="1"/>
      <c r="AC41" s="1" t="s">
        <v>65</v>
      </c>
      <c r="AD41" s="1" t="s">
        <v>71</v>
      </c>
      <c r="AE41" s="1" t="s">
        <v>861</v>
      </c>
      <c r="AF41" s="1" t="s">
        <v>65</v>
      </c>
      <c r="AG41" s="1"/>
      <c r="AH41" s="1"/>
      <c r="AI41" s="7" t="s">
        <v>862</v>
      </c>
      <c r="AJ41" s="1"/>
      <c r="AK41" s="1" t="s">
        <v>867</v>
      </c>
      <c r="AL41" s="1"/>
      <c r="AM41" s="1"/>
      <c r="AN41" s="1"/>
    </row>
    <row r="42" hidden="1">
      <c r="A42" s="1" t="s">
        <v>869</v>
      </c>
      <c r="B42" s="1" t="s">
        <v>871</v>
      </c>
      <c r="C42" s="4">
        <v>45964.19060185185</v>
      </c>
      <c r="D42" s="5">
        <v>1.762144468E9</v>
      </c>
      <c r="E42" s="7" t="s">
        <v>873</v>
      </c>
      <c r="F42" s="1" t="s">
        <v>874</v>
      </c>
      <c r="G42" s="1" t="s">
        <v>876</v>
      </c>
      <c r="H42" s="1" t="s">
        <v>877</v>
      </c>
      <c r="I42" s="1" t="s">
        <v>878</v>
      </c>
      <c r="J42" s="7" t="s">
        <v>879</v>
      </c>
      <c r="K42" s="7" t="s">
        <v>883</v>
      </c>
      <c r="L42" s="9" t="b">
        <v>0</v>
      </c>
      <c r="M42" s="1" t="s">
        <v>85</v>
      </c>
      <c r="N42" s="1" t="s">
        <v>68</v>
      </c>
      <c r="O42" s="1" t="s">
        <v>65</v>
      </c>
      <c r="P42" s="5">
        <v>0.0</v>
      </c>
      <c r="Q42" s="5">
        <v>0.0</v>
      </c>
      <c r="R42" s="5">
        <v>1.0</v>
      </c>
      <c r="S42" s="5">
        <v>0.0</v>
      </c>
      <c r="T42" s="5">
        <v>14.0</v>
      </c>
      <c r="U42" s="1" t="s">
        <v>65</v>
      </c>
      <c r="V42" s="1"/>
      <c r="W42" s="1" t="s">
        <v>65</v>
      </c>
      <c r="X42" s="1"/>
      <c r="Y42" s="1"/>
      <c r="Z42" s="1"/>
      <c r="AA42" s="1"/>
      <c r="AB42" s="1"/>
      <c r="AC42" s="1" t="s">
        <v>65</v>
      </c>
      <c r="AD42" s="1" t="s">
        <v>71</v>
      </c>
      <c r="AE42" s="1" t="s">
        <v>890</v>
      </c>
      <c r="AF42" s="1" t="s">
        <v>65</v>
      </c>
      <c r="AG42" s="1"/>
      <c r="AH42" s="1"/>
      <c r="AI42" s="1"/>
      <c r="AJ42" s="1"/>
      <c r="AK42" s="1" t="s">
        <v>890</v>
      </c>
      <c r="AL42" s="1"/>
      <c r="AM42" s="1"/>
      <c r="AN42" s="1"/>
    </row>
    <row r="43" hidden="1">
      <c r="A43" s="1" t="s">
        <v>894</v>
      </c>
      <c r="B43" s="1" t="s">
        <v>895</v>
      </c>
      <c r="C43" s="4">
        <v>45963.81107638889</v>
      </c>
      <c r="D43" s="5">
        <v>1.762111677E9</v>
      </c>
      <c r="E43" s="7" t="s">
        <v>896</v>
      </c>
      <c r="F43" s="1" t="s">
        <v>902</v>
      </c>
      <c r="G43" s="1" t="s">
        <v>903</v>
      </c>
      <c r="H43" s="1" t="s">
        <v>904</v>
      </c>
      <c r="I43" s="5">
        <v>1.16099511E8</v>
      </c>
      <c r="J43" s="7" t="s">
        <v>905</v>
      </c>
      <c r="K43" s="7" t="s">
        <v>910</v>
      </c>
      <c r="L43" s="9" t="b">
        <v>0</v>
      </c>
      <c r="M43" s="1" t="s">
        <v>85</v>
      </c>
      <c r="N43" s="1" t="s">
        <v>68</v>
      </c>
      <c r="O43" s="1" t="s">
        <v>65</v>
      </c>
      <c r="P43" s="5">
        <v>0.0</v>
      </c>
      <c r="Q43" s="5">
        <v>1.0</v>
      </c>
      <c r="R43" s="5">
        <v>0.0</v>
      </c>
      <c r="S43" s="5">
        <v>0.0</v>
      </c>
      <c r="T43" s="5">
        <v>91.0</v>
      </c>
      <c r="U43" s="1" t="s">
        <v>65</v>
      </c>
      <c r="V43" s="1"/>
      <c r="W43" s="1" t="s">
        <v>65</v>
      </c>
      <c r="X43" s="1"/>
      <c r="Y43" s="1"/>
      <c r="Z43" s="1"/>
      <c r="AA43" s="1"/>
      <c r="AB43" s="1"/>
      <c r="AC43" s="1" t="s">
        <v>65</v>
      </c>
      <c r="AD43" s="1" t="s">
        <v>71</v>
      </c>
      <c r="AE43" s="1" t="s">
        <v>914</v>
      </c>
      <c r="AF43" s="1" t="s">
        <v>65</v>
      </c>
      <c r="AG43" s="1"/>
      <c r="AH43" s="1"/>
      <c r="AI43" s="1"/>
      <c r="AJ43" s="1"/>
      <c r="AK43" s="1" t="s">
        <v>915</v>
      </c>
      <c r="AL43" s="1"/>
      <c r="AM43" s="1"/>
      <c r="AN43" s="1"/>
    </row>
    <row r="44" hidden="1">
      <c r="A44" s="1" t="s">
        <v>916</v>
      </c>
      <c r="B44" s="1" t="s">
        <v>916</v>
      </c>
      <c r="C44" s="4">
        <v>45963.47353009259</v>
      </c>
      <c r="D44" s="5">
        <v>1.762082513E9</v>
      </c>
      <c r="E44" s="7" t="s">
        <v>918</v>
      </c>
      <c r="F44" s="1" t="s">
        <v>920</v>
      </c>
      <c r="G44" s="1" t="s">
        <v>921</v>
      </c>
      <c r="H44" s="1" t="s">
        <v>922</v>
      </c>
      <c r="I44" s="1" t="s">
        <v>924</v>
      </c>
      <c r="J44" s="7" t="s">
        <v>925</v>
      </c>
      <c r="K44" s="1"/>
      <c r="L44" s="9" t="b">
        <v>0</v>
      </c>
      <c r="M44" s="1" t="s">
        <v>85</v>
      </c>
      <c r="N44" s="1" t="s">
        <v>68</v>
      </c>
      <c r="O44" s="1" t="s">
        <v>65</v>
      </c>
      <c r="P44" s="5">
        <v>0.0</v>
      </c>
      <c r="Q44" s="5">
        <v>0.0</v>
      </c>
      <c r="R44" s="5">
        <v>0.0</v>
      </c>
      <c r="S44" s="5">
        <v>3.0</v>
      </c>
      <c r="T44" s="5">
        <v>936.0</v>
      </c>
      <c r="U44" s="1" t="s">
        <v>65</v>
      </c>
      <c r="V44" s="1"/>
      <c r="W44" s="1" t="s">
        <v>71</v>
      </c>
      <c r="X44" s="1" t="s">
        <v>929</v>
      </c>
      <c r="Y44" s="1" t="s">
        <v>930</v>
      </c>
      <c r="Z44" s="1" t="s">
        <v>932</v>
      </c>
      <c r="AA44" s="1"/>
      <c r="AB44" s="1"/>
      <c r="AC44" s="1" t="s">
        <v>65</v>
      </c>
      <c r="AD44" s="1" t="s">
        <v>65</v>
      </c>
      <c r="AE44" s="1"/>
      <c r="AF44" s="1" t="s">
        <v>65</v>
      </c>
      <c r="AG44" s="1"/>
      <c r="AH44" s="1"/>
      <c r="AI44" s="1"/>
      <c r="AJ44" s="1"/>
      <c r="AK44" s="1"/>
      <c r="AL44" s="1"/>
      <c r="AM44" s="1"/>
      <c r="AN44" s="1"/>
    </row>
    <row r="45">
      <c r="A45" s="1" t="s">
        <v>933</v>
      </c>
      <c r="B45" s="1" t="s">
        <v>933</v>
      </c>
      <c r="C45" s="4">
        <v>45962.54833333333</v>
      </c>
      <c r="D45" s="5">
        <v>1.762002576E9</v>
      </c>
      <c r="E45" s="7" t="s">
        <v>934</v>
      </c>
      <c r="F45" s="1" t="s">
        <v>939</v>
      </c>
      <c r="G45" s="1" t="s">
        <v>940</v>
      </c>
      <c r="H45" s="1" t="s">
        <v>941</v>
      </c>
      <c r="I45" s="5">
        <v>1.03701474E8</v>
      </c>
      <c r="J45" s="7" t="s">
        <v>942</v>
      </c>
      <c r="K45" s="7" t="s">
        <v>944</v>
      </c>
      <c r="L45" s="9" t="b">
        <v>0</v>
      </c>
      <c r="M45" s="1" t="s">
        <v>67</v>
      </c>
      <c r="N45" s="1" t="s">
        <v>64</v>
      </c>
      <c r="O45" s="1" t="s">
        <v>65</v>
      </c>
      <c r="P45" s="5">
        <v>0.0</v>
      </c>
      <c r="Q45" s="5">
        <v>1.0</v>
      </c>
      <c r="R45" s="5">
        <v>0.0</v>
      </c>
      <c r="S45" s="5">
        <v>0.0</v>
      </c>
      <c r="T45" s="5">
        <v>14.0</v>
      </c>
      <c r="U45" s="1" t="s">
        <v>65</v>
      </c>
      <c r="V45" s="1"/>
      <c r="W45" s="1" t="s">
        <v>65</v>
      </c>
      <c r="X45" s="1"/>
      <c r="Y45" s="1"/>
      <c r="Z45" s="1"/>
      <c r="AA45" s="1"/>
      <c r="AB45" s="1"/>
      <c r="AC45" s="1" t="s">
        <v>65</v>
      </c>
      <c r="AD45" s="1" t="s">
        <v>65</v>
      </c>
      <c r="AE45" s="1"/>
      <c r="AF45" s="1" t="s">
        <v>65</v>
      </c>
      <c r="AG45" s="1"/>
      <c r="AH45" s="1"/>
      <c r="AI45" s="1"/>
      <c r="AJ45" s="1"/>
      <c r="AK45" s="1"/>
      <c r="AL45" s="1"/>
      <c r="AM45" s="1"/>
      <c r="AN45" s="1"/>
    </row>
    <row r="46">
      <c r="A46" s="1" t="s">
        <v>946</v>
      </c>
      <c r="B46" s="1" t="s">
        <v>946</v>
      </c>
      <c r="C46" s="4">
        <v>45962.44949074074</v>
      </c>
      <c r="D46" s="5">
        <v>1.761994036E9</v>
      </c>
      <c r="E46" s="7" t="s">
        <v>947</v>
      </c>
      <c r="F46" s="1" t="s">
        <v>948</v>
      </c>
      <c r="G46" s="1" t="s">
        <v>949</v>
      </c>
      <c r="H46" s="1" t="s">
        <v>950</v>
      </c>
      <c r="I46" s="5">
        <v>3.504318874E9</v>
      </c>
      <c r="J46" s="7" t="s">
        <v>952</v>
      </c>
      <c r="K46" s="7" t="s">
        <v>960</v>
      </c>
      <c r="L46" s="9" t="b">
        <v>1</v>
      </c>
      <c r="M46" s="1" t="s">
        <v>964</v>
      </c>
      <c r="N46" s="1" t="s">
        <v>64</v>
      </c>
      <c r="O46" s="1" t="s">
        <v>65</v>
      </c>
      <c r="P46" s="5">
        <v>0.0</v>
      </c>
      <c r="Q46" s="5">
        <v>0.0</v>
      </c>
      <c r="R46" s="5">
        <v>0.0</v>
      </c>
      <c r="S46" s="5">
        <v>0.0</v>
      </c>
      <c r="T46" s="5">
        <v>56.0</v>
      </c>
      <c r="U46" s="1" t="s">
        <v>65</v>
      </c>
      <c r="V46" s="1"/>
      <c r="W46" s="1" t="s">
        <v>65</v>
      </c>
      <c r="X46" s="1"/>
      <c r="Y46" s="1"/>
      <c r="Z46" s="1"/>
      <c r="AA46" s="1"/>
      <c r="AB46" s="1"/>
      <c r="AC46" s="1" t="s">
        <v>65</v>
      </c>
      <c r="AD46" s="1" t="s">
        <v>65</v>
      </c>
      <c r="AE46" s="1"/>
      <c r="AF46" s="1" t="s">
        <v>65</v>
      </c>
      <c r="AG46" s="1"/>
      <c r="AH46" s="7" t="s">
        <v>966</v>
      </c>
      <c r="AI46" s="1"/>
      <c r="AJ46" s="1"/>
      <c r="AK46" s="1"/>
      <c r="AL46" s="1"/>
      <c r="AM46" s="1"/>
      <c r="AN46" s="1"/>
    </row>
    <row r="47">
      <c r="A47" s="1" t="s">
        <v>974</v>
      </c>
      <c r="B47" s="1" t="s">
        <v>975</v>
      </c>
      <c r="C47" s="4">
        <v>45961.97537037037</v>
      </c>
      <c r="D47" s="5">
        <v>1.761953072E9</v>
      </c>
      <c r="E47" s="7" t="s">
        <v>976</v>
      </c>
      <c r="F47" s="1" t="s">
        <v>981</v>
      </c>
      <c r="G47" s="1" t="s">
        <v>982</v>
      </c>
      <c r="H47" s="1" t="s">
        <v>983</v>
      </c>
      <c r="I47" s="5">
        <v>2.558325912E9</v>
      </c>
      <c r="J47" s="7" t="s">
        <v>984</v>
      </c>
      <c r="K47" s="7" t="s">
        <v>990</v>
      </c>
      <c r="L47" s="9" t="b">
        <v>0</v>
      </c>
      <c r="M47" s="1" t="s">
        <v>67</v>
      </c>
      <c r="N47" s="1" t="s">
        <v>64</v>
      </c>
      <c r="O47" s="1" t="s">
        <v>65</v>
      </c>
      <c r="P47" s="5">
        <v>0.0</v>
      </c>
      <c r="Q47" s="5">
        <v>0.0</v>
      </c>
      <c r="R47" s="5">
        <v>0.0</v>
      </c>
      <c r="S47" s="5">
        <v>0.0</v>
      </c>
      <c r="T47" s="5">
        <v>55.0</v>
      </c>
      <c r="U47" s="1" t="s">
        <v>65</v>
      </c>
      <c r="V47" s="1"/>
      <c r="W47" s="1" t="s">
        <v>65</v>
      </c>
      <c r="X47" s="1"/>
      <c r="Y47" s="1"/>
      <c r="Z47" s="1"/>
      <c r="AA47" s="1"/>
      <c r="AB47" s="1"/>
      <c r="AC47" s="1" t="s">
        <v>65</v>
      </c>
      <c r="AD47" s="1" t="s">
        <v>71</v>
      </c>
      <c r="AE47" s="1" t="s">
        <v>993</v>
      </c>
      <c r="AF47" s="1" t="s">
        <v>65</v>
      </c>
      <c r="AG47" s="1"/>
      <c r="AH47" s="1"/>
      <c r="AI47" s="1"/>
      <c r="AJ47" s="1"/>
      <c r="AK47" s="1" t="s">
        <v>993</v>
      </c>
      <c r="AL47" s="1"/>
      <c r="AM47" s="1"/>
      <c r="AN47" s="1"/>
    </row>
    <row r="48">
      <c r="A48" s="1" t="s">
        <v>995</v>
      </c>
      <c r="B48" s="1" t="s">
        <v>996</v>
      </c>
      <c r="C48" s="4">
        <v>45961.915358796294</v>
      </c>
      <c r="D48" s="5">
        <v>1.761947887E9</v>
      </c>
      <c r="E48" s="7" t="s">
        <v>997</v>
      </c>
      <c r="F48" s="1" t="s">
        <v>1001</v>
      </c>
      <c r="G48" s="1" t="s">
        <v>1003</v>
      </c>
      <c r="H48" s="1" t="s">
        <v>1005</v>
      </c>
      <c r="I48" s="5">
        <v>9.6588996E7</v>
      </c>
      <c r="J48" s="7" t="s">
        <v>1006</v>
      </c>
      <c r="K48" s="7" t="s">
        <v>1009</v>
      </c>
      <c r="L48" s="9" t="b">
        <v>0</v>
      </c>
      <c r="M48" s="1" t="s">
        <v>85</v>
      </c>
      <c r="N48" s="1" t="s">
        <v>64</v>
      </c>
      <c r="O48" s="1" t="s">
        <v>65</v>
      </c>
      <c r="P48" s="5">
        <v>2.0</v>
      </c>
      <c r="Q48" s="5">
        <v>2.0</v>
      </c>
      <c r="R48" s="5">
        <v>12.0</v>
      </c>
      <c r="S48" s="5">
        <v>0.0</v>
      </c>
      <c r="T48" s="5">
        <v>957.0</v>
      </c>
      <c r="U48" s="1" t="s">
        <v>65</v>
      </c>
      <c r="V48" s="1"/>
      <c r="W48" s="1" t="s">
        <v>65</v>
      </c>
      <c r="X48" s="1"/>
      <c r="Y48" s="1"/>
      <c r="Z48" s="1"/>
      <c r="AA48" s="1"/>
      <c r="AB48" s="1"/>
      <c r="AC48" s="1" t="s">
        <v>65</v>
      </c>
      <c r="AD48" s="1" t="s">
        <v>71</v>
      </c>
      <c r="AE48" s="1" t="s">
        <v>864</v>
      </c>
      <c r="AF48" s="1" t="s">
        <v>65</v>
      </c>
      <c r="AG48" s="1"/>
      <c r="AH48" s="1"/>
      <c r="AI48" s="1"/>
      <c r="AJ48" s="1"/>
      <c r="AK48" s="1" t="s">
        <v>864</v>
      </c>
      <c r="AL48" s="1"/>
      <c r="AM48" s="1"/>
      <c r="AN48" s="1"/>
    </row>
    <row r="49" hidden="1">
      <c r="A49" s="1" t="s">
        <v>1014</v>
      </c>
      <c r="B49" s="1" t="s">
        <v>1015</v>
      </c>
      <c r="C49" s="4">
        <v>45961.6221875</v>
      </c>
      <c r="D49" s="5">
        <v>1.761922557E9</v>
      </c>
      <c r="E49" s="7" t="s">
        <v>1016</v>
      </c>
      <c r="F49" s="1" t="s">
        <v>1019</v>
      </c>
      <c r="G49" s="1" t="s">
        <v>1020</v>
      </c>
      <c r="H49" s="1" t="s">
        <v>1021</v>
      </c>
      <c r="I49" s="1" t="s">
        <v>1022</v>
      </c>
      <c r="J49" s="7" t="s">
        <v>1023</v>
      </c>
      <c r="K49" s="7" t="s">
        <v>1026</v>
      </c>
      <c r="L49" s="9" t="b">
        <v>0</v>
      </c>
      <c r="M49" s="1" t="s">
        <v>85</v>
      </c>
      <c r="N49" s="1" t="s">
        <v>68</v>
      </c>
      <c r="O49" s="1" t="s">
        <v>65</v>
      </c>
      <c r="P49" s="5">
        <v>0.0</v>
      </c>
      <c r="Q49" s="5">
        <v>1.0</v>
      </c>
      <c r="R49" s="5">
        <v>7.0</v>
      </c>
      <c r="S49" s="5">
        <v>0.0</v>
      </c>
      <c r="T49" s="5">
        <v>736.0</v>
      </c>
      <c r="U49" s="1" t="s">
        <v>65</v>
      </c>
      <c r="V49" s="1"/>
      <c r="W49" s="1" t="s">
        <v>65</v>
      </c>
      <c r="X49" s="1"/>
      <c r="Y49" s="1"/>
      <c r="Z49" s="1"/>
      <c r="AA49" s="1"/>
      <c r="AB49" s="1"/>
      <c r="AC49" s="1" t="s">
        <v>65</v>
      </c>
      <c r="AD49" s="1" t="s">
        <v>71</v>
      </c>
      <c r="AE49" s="1" t="s">
        <v>1041</v>
      </c>
      <c r="AF49" s="1" t="s">
        <v>65</v>
      </c>
      <c r="AG49" s="1"/>
      <c r="AH49" s="1"/>
      <c r="AI49" s="1"/>
      <c r="AJ49" s="1"/>
      <c r="AK49" s="1" t="s">
        <v>1041</v>
      </c>
      <c r="AL49" s="1"/>
      <c r="AM49" s="1"/>
      <c r="AN49" s="1"/>
    </row>
    <row r="50" hidden="1">
      <c r="A50" s="1" t="s">
        <v>1042</v>
      </c>
      <c r="B50" s="1" t="s">
        <v>1042</v>
      </c>
      <c r="C50" s="4">
        <v>45960.81061342593</v>
      </c>
      <c r="D50" s="5">
        <v>1.761852437E9</v>
      </c>
      <c r="E50" s="7" t="s">
        <v>1043</v>
      </c>
      <c r="F50" s="1" t="s">
        <v>1045</v>
      </c>
      <c r="G50" s="1" t="s">
        <v>1046</v>
      </c>
      <c r="H50" s="1" t="s">
        <v>1047</v>
      </c>
      <c r="I50" s="1" t="s">
        <v>1048</v>
      </c>
      <c r="J50" s="7" t="s">
        <v>1049</v>
      </c>
      <c r="K50" s="7" t="s">
        <v>1053</v>
      </c>
      <c r="L50" s="9" t="b">
        <v>0</v>
      </c>
      <c r="M50" s="1" t="s">
        <v>67</v>
      </c>
      <c r="N50" s="1" t="s">
        <v>68</v>
      </c>
      <c r="O50" s="1" t="s">
        <v>65</v>
      </c>
      <c r="P50" s="5">
        <v>0.0</v>
      </c>
      <c r="Q50" s="5">
        <v>0.0</v>
      </c>
      <c r="R50" s="5">
        <v>1.0</v>
      </c>
      <c r="S50" s="5">
        <v>0.0</v>
      </c>
      <c r="T50" s="5">
        <v>64.0</v>
      </c>
      <c r="U50" s="1" t="s">
        <v>65</v>
      </c>
      <c r="V50" s="1"/>
      <c r="W50" s="1" t="s">
        <v>65</v>
      </c>
      <c r="X50" s="1"/>
      <c r="Y50" s="1"/>
      <c r="Z50" s="1"/>
      <c r="AA50" s="1"/>
      <c r="AB50" s="1"/>
      <c r="AC50" s="1" t="s">
        <v>65</v>
      </c>
      <c r="AD50" s="1" t="s">
        <v>65</v>
      </c>
      <c r="AE50" s="1"/>
      <c r="AF50" s="1" t="s">
        <v>65</v>
      </c>
      <c r="AG50" s="1"/>
      <c r="AH50" s="1"/>
      <c r="AI50" s="1"/>
      <c r="AJ50" s="1"/>
      <c r="AK50" s="1"/>
      <c r="AL50" s="1"/>
      <c r="AM50" s="1"/>
      <c r="AN50" s="1"/>
    </row>
    <row r="51">
      <c r="A51" s="1" t="s">
        <v>1058</v>
      </c>
      <c r="B51" s="1" t="s">
        <v>1058</v>
      </c>
      <c r="C51" s="4">
        <v>45960.05037037037</v>
      </c>
      <c r="D51" s="5">
        <v>1.761786752E9</v>
      </c>
      <c r="E51" s="7" t="s">
        <v>1059</v>
      </c>
      <c r="F51" s="1" t="s">
        <v>1063</v>
      </c>
      <c r="G51" s="1" t="s">
        <v>1064</v>
      </c>
      <c r="H51" s="1" t="s">
        <v>1065</v>
      </c>
      <c r="I51" s="5">
        <v>2.800326913E9</v>
      </c>
      <c r="J51" s="7" t="s">
        <v>1066</v>
      </c>
      <c r="K51" s="7" t="s">
        <v>1073</v>
      </c>
      <c r="L51" s="9" t="b">
        <v>0</v>
      </c>
      <c r="M51" s="1" t="s">
        <v>85</v>
      </c>
      <c r="N51" s="1" t="s">
        <v>64</v>
      </c>
      <c r="O51" s="1" t="s">
        <v>65</v>
      </c>
      <c r="P51" s="5">
        <v>0.0</v>
      </c>
      <c r="Q51" s="5">
        <v>0.0</v>
      </c>
      <c r="R51" s="5">
        <v>0.0</v>
      </c>
      <c r="S51" s="5">
        <v>0.0</v>
      </c>
      <c r="T51" s="5">
        <v>27.0</v>
      </c>
      <c r="U51" s="1" t="s">
        <v>65</v>
      </c>
      <c r="V51" s="1"/>
      <c r="W51" s="1" t="s">
        <v>71</v>
      </c>
      <c r="X51" s="1" t="s">
        <v>1076</v>
      </c>
      <c r="Y51" s="1" t="s">
        <v>1078</v>
      </c>
      <c r="Z51" s="1" t="s">
        <v>1079</v>
      </c>
      <c r="AA51" s="7" t="s">
        <v>1080</v>
      </c>
      <c r="AB51" s="1"/>
      <c r="AC51" s="1" t="s">
        <v>65</v>
      </c>
      <c r="AD51" s="1" t="s">
        <v>65</v>
      </c>
      <c r="AE51" s="1"/>
      <c r="AF51" s="1" t="s">
        <v>65</v>
      </c>
      <c r="AG51" s="1"/>
      <c r="AH51" s="1"/>
      <c r="AI51" s="1"/>
      <c r="AJ51" s="1"/>
      <c r="AK51" s="1"/>
      <c r="AL51" s="1"/>
      <c r="AM51" s="1"/>
      <c r="AN51" s="1"/>
    </row>
    <row r="52">
      <c r="A52" s="1" t="s">
        <v>1083</v>
      </c>
      <c r="B52" s="1" t="s">
        <v>1083</v>
      </c>
      <c r="C52" s="4">
        <v>45959.805555555555</v>
      </c>
      <c r="D52" s="5">
        <v>1.7617656E9</v>
      </c>
      <c r="E52" s="7" t="s">
        <v>1084</v>
      </c>
      <c r="F52" s="1" t="s">
        <v>1087</v>
      </c>
      <c r="G52" s="1" t="s">
        <v>1088</v>
      </c>
      <c r="H52" s="1" t="s">
        <v>1090</v>
      </c>
      <c r="I52" s="5">
        <v>8.2608449E7</v>
      </c>
      <c r="J52" s="7" t="s">
        <v>1092</v>
      </c>
      <c r="K52" s="7" t="s">
        <v>1094</v>
      </c>
      <c r="L52" s="9" t="b">
        <v>0</v>
      </c>
      <c r="M52" s="1" t="s">
        <v>66</v>
      </c>
      <c r="N52" s="1" t="s">
        <v>64</v>
      </c>
      <c r="O52" s="1" t="s">
        <v>65</v>
      </c>
      <c r="P52" s="5">
        <v>1.0</v>
      </c>
      <c r="Q52" s="5">
        <v>0.0</v>
      </c>
      <c r="R52" s="5">
        <v>0.0</v>
      </c>
      <c r="S52" s="5">
        <v>0.0</v>
      </c>
      <c r="T52" s="5">
        <v>173.0</v>
      </c>
      <c r="U52" s="1" t="s">
        <v>65</v>
      </c>
      <c r="V52" s="1"/>
      <c r="W52" s="1" t="s">
        <v>65</v>
      </c>
      <c r="X52" s="1"/>
      <c r="Y52" s="1"/>
      <c r="Z52" s="1"/>
      <c r="AA52" s="1"/>
      <c r="AB52" s="1"/>
      <c r="AC52" s="1" t="s">
        <v>65</v>
      </c>
      <c r="AD52" s="1" t="s">
        <v>65</v>
      </c>
      <c r="AE52" s="1"/>
      <c r="AF52" s="1" t="s">
        <v>65</v>
      </c>
      <c r="AG52" s="1" t="s">
        <v>1096</v>
      </c>
      <c r="AH52" s="7" t="s">
        <v>1097</v>
      </c>
      <c r="AI52" s="7" t="s">
        <v>1102</v>
      </c>
      <c r="AJ52" s="1"/>
      <c r="AK52" s="1"/>
      <c r="AL52" s="1"/>
      <c r="AM52" s="1"/>
      <c r="AN52" s="1"/>
    </row>
    <row r="53">
      <c r="A53" s="1" t="s">
        <v>1109</v>
      </c>
      <c r="B53" s="1" t="s">
        <v>1109</v>
      </c>
      <c r="C53" s="4">
        <v>45958.72064814815</v>
      </c>
      <c r="D53" s="5">
        <v>1.761671864E9</v>
      </c>
      <c r="E53" s="7" t="s">
        <v>1110</v>
      </c>
      <c r="F53" s="1" t="s">
        <v>1111</v>
      </c>
      <c r="G53" s="1" t="s">
        <v>864</v>
      </c>
      <c r="H53" s="1" t="s">
        <v>865</v>
      </c>
      <c r="I53" s="5">
        <v>2.825615947E9</v>
      </c>
      <c r="J53" s="7" t="s">
        <v>866</v>
      </c>
      <c r="K53" s="7" t="s">
        <v>870</v>
      </c>
      <c r="L53" s="9" t="b">
        <v>1</v>
      </c>
      <c r="M53" s="1" t="s">
        <v>1116</v>
      </c>
      <c r="N53" s="1" t="s">
        <v>64</v>
      </c>
      <c r="O53" s="1" t="s">
        <v>65</v>
      </c>
      <c r="P53" s="5">
        <v>2.0</v>
      </c>
      <c r="Q53" s="5">
        <v>0.0</v>
      </c>
      <c r="R53" s="5">
        <v>14.0</v>
      </c>
      <c r="S53" s="5">
        <v>1.0</v>
      </c>
      <c r="T53" s="5">
        <v>414.0</v>
      </c>
      <c r="U53" s="1" t="s">
        <v>65</v>
      </c>
      <c r="V53" s="1"/>
      <c r="W53" s="1" t="s">
        <v>65</v>
      </c>
      <c r="X53" s="1"/>
      <c r="Y53" s="1"/>
      <c r="Z53" s="1"/>
      <c r="AA53" s="1"/>
      <c r="AB53" s="1"/>
      <c r="AC53" s="1" t="s">
        <v>65</v>
      </c>
      <c r="AD53" s="1" t="s">
        <v>65</v>
      </c>
      <c r="AE53" s="1"/>
      <c r="AF53" s="1" t="s">
        <v>65</v>
      </c>
      <c r="AG53" s="1"/>
      <c r="AH53" s="7" t="s">
        <v>1117</v>
      </c>
      <c r="AI53" s="1"/>
      <c r="AJ53" s="1"/>
      <c r="AK53" s="1"/>
      <c r="AL53" s="1"/>
      <c r="AM53" s="1"/>
      <c r="AN53" s="1"/>
    </row>
    <row r="54">
      <c r="A54" s="1" t="s">
        <v>1120</v>
      </c>
      <c r="B54" s="1" t="s">
        <v>1121</v>
      </c>
      <c r="C54" s="4">
        <v>45957.935590277775</v>
      </c>
      <c r="D54" s="5">
        <v>1.761604035E9</v>
      </c>
      <c r="E54" s="7" t="s">
        <v>1122</v>
      </c>
      <c r="F54" s="1" t="s">
        <v>1126</v>
      </c>
      <c r="G54" s="1" t="s">
        <v>158</v>
      </c>
      <c r="H54" s="1" t="s">
        <v>159</v>
      </c>
      <c r="I54" s="5">
        <v>2.36621586E8</v>
      </c>
      <c r="J54" s="7" t="s">
        <v>160</v>
      </c>
      <c r="K54" s="7" t="s">
        <v>162</v>
      </c>
      <c r="L54" s="9" t="b">
        <v>0</v>
      </c>
      <c r="M54" s="1" t="s">
        <v>66</v>
      </c>
      <c r="N54" s="1" t="s">
        <v>64</v>
      </c>
      <c r="O54" s="1" t="s">
        <v>65</v>
      </c>
      <c r="P54" s="5">
        <v>0.0</v>
      </c>
      <c r="Q54" s="5">
        <v>1.0</v>
      </c>
      <c r="R54" s="5">
        <v>2.0</v>
      </c>
      <c r="S54" s="5">
        <v>0.0</v>
      </c>
      <c r="T54" s="5">
        <v>107.0</v>
      </c>
      <c r="U54" s="1" t="s">
        <v>65</v>
      </c>
      <c r="V54" s="1"/>
      <c r="W54" s="1" t="s">
        <v>65</v>
      </c>
      <c r="X54" s="1"/>
      <c r="Y54" s="1"/>
      <c r="Z54" s="1"/>
      <c r="AA54" s="1"/>
      <c r="AB54" s="1"/>
      <c r="AC54" s="1" t="s">
        <v>65</v>
      </c>
      <c r="AD54" s="1" t="s">
        <v>71</v>
      </c>
      <c r="AE54" s="1" t="s">
        <v>158</v>
      </c>
      <c r="AF54" s="1" t="s">
        <v>65</v>
      </c>
      <c r="AG54" s="1"/>
      <c r="AH54" s="1"/>
      <c r="AI54" s="1"/>
      <c r="AJ54" s="1"/>
      <c r="AK54" s="1"/>
      <c r="AL54" s="1"/>
      <c r="AM54" s="1"/>
      <c r="AN54" s="1"/>
    </row>
    <row r="55">
      <c r="A55" s="1" t="s">
        <v>1136</v>
      </c>
      <c r="B55" s="1" t="s">
        <v>1121</v>
      </c>
      <c r="C55" s="4">
        <v>45957.93556712963</v>
      </c>
      <c r="D55" s="5">
        <v>1.761604033E9</v>
      </c>
      <c r="E55" s="7" t="s">
        <v>1137</v>
      </c>
      <c r="F55" s="1" t="s">
        <v>1139</v>
      </c>
      <c r="G55" s="1" t="s">
        <v>158</v>
      </c>
      <c r="H55" s="1" t="s">
        <v>159</v>
      </c>
      <c r="I55" s="5">
        <v>2.36621586E8</v>
      </c>
      <c r="J55" s="7" t="s">
        <v>160</v>
      </c>
      <c r="K55" s="7" t="s">
        <v>162</v>
      </c>
      <c r="L55" s="9" t="b">
        <v>0</v>
      </c>
      <c r="M55" s="1" t="s">
        <v>66</v>
      </c>
      <c r="N55" s="1" t="s">
        <v>64</v>
      </c>
      <c r="O55" s="1" t="s">
        <v>65</v>
      </c>
      <c r="P55" s="5">
        <v>0.0</v>
      </c>
      <c r="Q55" s="5">
        <v>1.0</v>
      </c>
      <c r="R55" s="5">
        <v>4.0</v>
      </c>
      <c r="S55" s="5">
        <v>0.0</v>
      </c>
      <c r="T55" s="5">
        <v>101.0</v>
      </c>
      <c r="U55" s="1" t="s">
        <v>65</v>
      </c>
      <c r="V55" s="1"/>
      <c r="W55" s="1" t="s">
        <v>65</v>
      </c>
      <c r="X55" s="1"/>
      <c r="Y55" s="1"/>
      <c r="Z55" s="1"/>
      <c r="AA55" s="1"/>
      <c r="AB55" s="1"/>
      <c r="AC55" s="1" t="s">
        <v>65</v>
      </c>
      <c r="AD55" s="1" t="s">
        <v>71</v>
      </c>
      <c r="AE55" s="1" t="s">
        <v>158</v>
      </c>
      <c r="AF55" s="1" t="s">
        <v>65</v>
      </c>
      <c r="AG55" s="1"/>
      <c r="AH55" s="1"/>
      <c r="AI55" s="1"/>
      <c r="AJ55" s="1"/>
      <c r="AK55" s="1"/>
      <c r="AL55" s="1"/>
      <c r="AM55" s="1"/>
      <c r="AN55" s="1"/>
    </row>
    <row r="56" hidden="1">
      <c r="A56" s="1" t="s">
        <v>1142</v>
      </c>
      <c r="B56" s="1" t="s">
        <v>1142</v>
      </c>
      <c r="C56" s="4">
        <v>45957.5434375</v>
      </c>
      <c r="D56" s="5">
        <v>1.761570153E9</v>
      </c>
      <c r="E56" s="7" t="s">
        <v>1143</v>
      </c>
      <c r="F56" s="1" t="s">
        <v>1149</v>
      </c>
      <c r="G56" s="1" t="s">
        <v>1150</v>
      </c>
      <c r="H56" s="1" t="s">
        <v>1151</v>
      </c>
      <c r="I56" s="1" t="s">
        <v>1152</v>
      </c>
      <c r="J56" s="7" t="s">
        <v>1153</v>
      </c>
      <c r="K56" s="1"/>
      <c r="L56" s="9" t="b">
        <v>0</v>
      </c>
      <c r="M56" s="1" t="s">
        <v>85</v>
      </c>
      <c r="N56" s="1" t="s">
        <v>68</v>
      </c>
      <c r="O56" s="1" t="s">
        <v>65</v>
      </c>
      <c r="P56" s="5">
        <v>0.0</v>
      </c>
      <c r="Q56" s="5">
        <v>0.0</v>
      </c>
      <c r="R56" s="5">
        <v>0.0</v>
      </c>
      <c r="S56" s="5">
        <v>0.0</v>
      </c>
      <c r="T56" s="5">
        <v>18.0</v>
      </c>
      <c r="U56" s="1" t="s">
        <v>65</v>
      </c>
      <c r="V56" s="1"/>
      <c r="W56" s="1" t="s">
        <v>65</v>
      </c>
      <c r="X56" s="1"/>
      <c r="Y56" s="1"/>
      <c r="Z56" s="1"/>
      <c r="AA56" s="1"/>
      <c r="AB56" s="1"/>
      <c r="AC56" s="1" t="s">
        <v>65</v>
      </c>
      <c r="AD56" s="1" t="s">
        <v>65</v>
      </c>
      <c r="AE56" s="1"/>
      <c r="AF56" s="1" t="s">
        <v>65</v>
      </c>
      <c r="AG56" s="1"/>
      <c r="AH56" s="1"/>
      <c r="AI56" s="1"/>
      <c r="AJ56" s="1"/>
      <c r="AK56" s="1"/>
      <c r="AL56" s="1"/>
      <c r="AM56" s="1"/>
      <c r="AN56" s="1"/>
    </row>
    <row r="57" hidden="1">
      <c r="A57" s="1" t="s">
        <v>1160</v>
      </c>
      <c r="B57" s="1" t="s">
        <v>1161</v>
      </c>
      <c r="C57" s="4">
        <v>45957.43996527778</v>
      </c>
      <c r="D57" s="5">
        <v>1.761561213E9</v>
      </c>
      <c r="E57" s="7" t="s">
        <v>1162</v>
      </c>
      <c r="F57" s="1" t="s">
        <v>1164</v>
      </c>
      <c r="G57" s="1" t="s">
        <v>1165</v>
      </c>
      <c r="H57" s="1" t="s">
        <v>1166</v>
      </c>
      <c r="I57" s="5">
        <v>7.0080751E7</v>
      </c>
      <c r="J57" s="7" t="s">
        <v>1167</v>
      </c>
      <c r="K57" s="7" t="s">
        <v>1168</v>
      </c>
      <c r="L57" s="9" t="b">
        <v>0</v>
      </c>
      <c r="M57" s="1" t="s">
        <v>66</v>
      </c>
      <c r="N57" s="1" t="s">
        <v>68</v>
      </c>
      <c r="O57" s="1" t="s">
        <v>65</v>
      </c>
      <c r="P57" s="5">
        <v>0.0</v>
      </c>
      <c r="Q57" s="5">
        <v>2.0</v>
      </c>
      <c r="R57" s="5">
        <v>2.0</v>
      </c>
      <c r="S57" s="5">
        <v>0.0</v>
      </c>
      <c r="T57" s="5">
        <v>32.0</v>
      </c>
      <c r="U57" s="1" t="s">
        <v>65</v>
      </c>
      <c r="V57" s="1"/>
      <c r="W57" s="1" t="s">
        <v>65</v>
      </c>
      <c r="X57" s="1"/>
      <c r="Y57" s="1"/>
      <c r="Z57" s="1"/>
      <c r="AA57" s="1"/>
      <c r="AB57" s="1"/>
      <c r="AC57" s="1" t="s">
        <v>65</v>
      </c>
      <c r="AD57" s="1" t="s">
        <v>71</v>
      </c>
      <c r="AE57" s="1" t="s">
        <v>1173</v>
      </c>
      <c r="AF57" s="1" t="s">
        <v>65</v>
      </c>
      <c r="AG57" s="1"/>
      <c r="AH57" s="1"/>
      <c r="AI57" s="1"/>
      <c r="AJ57" s="1"/>
      <c r="AK57" s="1" t="s">
        <v>1174</v>
      </c>
      <c r="AL57" s="1"/>
      <c r="AM57" s="1"/>
      <c r="AN57" s="1"/>
    </row>
    <row r="58">
      <c r="A58" s="1" t="s">
        <v>627</v>
      </c>
      <c r="B58" s="1" t="s">
        <v>627</v>
      </c>
      <c r="C58" s="4">
        <v>45957.31300925926</v>
      </c>
      <c r="D58" s="5">
        <v>1.761550244E9</v>
      </c>
      <c r="E58" s="7" t="s">
        <v>628</v>
      </c>
      <c r="F58" s="1" t="s">
        <v>638</v>
      </c>
      <c r="G58" s="1" t="s">
        <v>639</v>
      </c>
      <c r="H58" s="1" t="s">
        <v>640</v>
      </c>
      <c r="I58" s="5">
        <v>6.4585862E7</v>
      </c>
      <c r="J58" s="7" t="s">
        <v>641</v>
      </c>
      <c r="K58" s="7" t="s">
        <v>644</v>
      </c>
      <c r="L58" s="9" t="b">
        <v>0</v>
      </c>
      <c r="M58" s="1" t="s">
        <v>85</v>
      </c>
      <c r="N58" s="1" t="s">
        <v>64</v>
      </c>
      <c r="O58" s="1" t="s">
        <v>65</v>
      </c>
      <c r="P58" s="5">
        <v>3.0</v>
      </c>
      <c r="Q58" s="5">
        <v>1.0</v>
      </c>
      <c r="R58" s="5">
        <v>16.0</v>
      </c>
      <c r="S58" s="5">
        <v>0.0</v>
      </c>
      <c r="T58" s="5">
        <v>1439.0</v>
      </c>
      <c r="U58" s="1" t="s">
        <v>65</v>
      </c>
      <c r="V58" s="1"/>
      <c r="W58" s="1" t="s">
        <v>65</v>
      </c>
      <c r="X58" s="1"/>
      <c r="Y58" s="1"/>
      <c r="Z58" s="1"/>
      <c r="AA58" s="1"/>
      <c r="AB58" s="1"/>
      <c r="AC58" s="1" t="s">
        <v>65</v>
      </c>
      <c r="AD58" s="1" t="s">
        <v>65</v>
      </c>
      <c r="AE58" s="1"/>
      <c r="AF58" s="1" t="s">
        <v>65</v>
      </c>
      <c r="AG58" s="1"/>
      <c r="AH58" s="1"/>
      <c r="AI58" s="1"/>
      <c r="AJ58" s="1"/>
      <c r="AK58" s="1"/>
      <c r="AL58" s="1"/>
      <c r="AM58" s="1"/>
      <c r="AN58" s="1"/>
    </row>
    <row r="59">
      <c r="A59" s="1" t="s">
        <v>1189</v>
      </c>
      <c r="B59" s="1" t="s">
        <v>1189</v>
      </c>
      <c r="C59" s="4">
        <v>45956.41106481481</v>
      </c>
      <c r="D59" s="5">
        <v>1.761472316E9</v>
      </c>
      <c r="E59" s="7" t="s">
        <v>1190</v>
      </c>
      <c r="F59" s="1" t="s">
        <v>1193</v>
      </c>
      <c r="G59" s="1" t="s">
        <v>1194</v>
      </c>
      <c r="H59" s="1" t="s">
        <v>1195</v>
      </c>
      <c r="I59" s="5">
        <v>4.868557389E9</v>
      </c>
      <c r="J59" s="7" t="s">
        <v>1196</v>
      </c>
      <c r="K59" s="7" t="s">
        <v>1197</v>
      </c>
      <c r="L59" s="9" t="b">
        <v>0</v>
      </c>
      <c r="M59" s="1" t="s">
        <v>85</v>
      </c>
      <c r="N59" s="1" t="s">
        <v>64</v>
      </c>
      <c r="O59" s="1" t="s">
        <v>65</v>
      </c>
      <c r="P59" s="5">
        <v>0.0</v>
      </c>
      <c r="Q59" s="5">
        <v>0.0</v>
      </c>
      <c r="R59" s="5">
        <v>0.0</v>
      </c>
      <c r="S59" s="5">
        <v>0.0</v>
      </c>
      <c r="T59" s="5">
        <v>108.0</v>
      </c>
      <c r="U59" s="1" t="s">
        <v>65</v>
      </c>
      <c r="V59" s="1"/>
      <c r="W59" s="1" t="s">
        <v>65</v>
      </c>
      <c r="X59" s="1"/>
      <c r="Y59" s="1"/>
      <c r="Z59" s="1"/>
      <c r="AA59" s="1"/>
      <c r="AB59" s="1"/>
      <c r="AC59" s="1" t="s">
        <v>65</v>
      </c>
      <c r="AD59" s="1" t="s">
        <v>65</v>
      </c>
      <c r="AE59" s="1"/>
      <c r="AF59" s="1" t="s">
        <v>65</v>
      </c>
      <c r="AG59" s="1"/>
      <c r="AH59" s="7" t="s">
        <v>1201</v>
      </c>
      <c r="AI59" s="1"/>
      <c r="AJ59" s="1"/>
      <c r="AK59" s="1"/>
      <c r="AL59" s="1"/>
      <c r="AM59" s="1"/>
      <c r="AN59" s="1"/>
    </row>
    <row r="60" hidden="1">
      <c r="A60" s="1" t="s">
        <v>1203</v>
      </c>
      <c r="B60" s="1" t="s">
        <v>1203</v>
      </c>
      <c r="C60" s="4">
        <v>45955.537083333336</v>
      </c>
      <c r="D60" s="5">
        <v>1.761396804E9</v>
      </c>
      <c r="E60" s="7" t="s">
        <v>1204</v>
      </c>
      <c r="F60" s="1" t="s">
        <v>1205</v>
      </c>
      <c r="G60" s="1" t="s">
        <v>1206</v>
      </c>
      <c r="H60" s="1" t="s">
        <v>1207</v>
      </c>
      <c r="I60" s="1" t="s">
        <v>1208</v>
      </c>
      <c r="J60" s="7" t="s">
        <v>1209</v>
      </c>
      <c r="K60" s="7" t="s">
        <v>1213</v>
      </c>
      <c r="L60" s="9" t="b">
        <v>0</v>
      </c>
      <c r="M60" s="1" t="s">
        <v>66</v>
      </c>
      <c r="N60" s="1" t="s">
        <v>68</v>
      </c>
      <c r="O60" s="1" t="s">
        <v>65</v>
      </c>
      <c r="P60" s="5">
        <v>0.0</v>
      </c>
      <c r="Q60" s="5">
        <v>0.0</v>
      </c>
      <c r="R60" s="5">
        <v>0.0</v>
      </c>
      <c r="S60" s="5">
        <v>0.0</v>
      </c>
      <c r="T60" s="5">
        <v>42.0</v>
      </c>
      <c r="U60" s="1" t="s">
        <v>65</v>
      </c>
      <c r="V60" s="1"/>
      <c r="W60" s="1" t="s">
        <v>65</v>
      </c>
      <c r="X60" s="1"/>
      <c r="Y60" s="1"/>
      <c r="Z60" s="1"/>
      <c r="AA60" s="1"/>
      <c r="AB60" s="1"/>
      <c r="AC60" s="1" t="s">
        <v>65</v>
      </c>
      <c r="AD60" s="1" t="s">
        <v>65</v>
      </c>
      <c r="AE60" s="1"/>
      <c r="AF60" s="1" t="s">
        <v>65</v>
      </c>
      <c r="AG60" s="1"/>
      <c r="AH60" s="1"/>
      <c r="AI60" s="1"/>
      <c r="AJ60" s="1"/>
      <c r="AK60" s="1"/>
      <c r="AL60" s="1"/>
      <c r="AM60" s="1"/>
      <c r="AN60" s="1"/>
    </row>
    <row r="61" hidden="1">
      <c r="A61" s="1" t="s">
        <v>1219</v>
      </c>
      <c r="B61" s="1" t="s">
        <v>1219</v>
      </c>
      <c r="C61" s="4">
        <v>45955.35</v>
      </c>
      <c r="D61" s="5">
        <v>1.76138064E9</v>
      </c>
      <c r="E61" s="7" t="s">
        <v>1220</v>
      </c>
      <c r="F61" s="1" t="s">
        <v>1225</v>
      </c>
      <c r="G61" s="1" t="s">
        <v>1227</v>
      </c>
      <c r="H61" s="1" t="s">
        <v>1228</v>
      </c>
      <c r="I61" s="5">
        <v>1.8556155E7</v>
      </c>
      <c r="J61" s="7" t="s">
        <v>1229</v>
      </c>
      <c r="K61" s="7" t="s">
        <v>1232</v>
      </c>
      <c r="L61" s="9" t="b">
        <v>0</v>
      </c>
      <c r="M61" s="1" t="s">
        <v>1234</v>
      </c>
      <c r="N61" s="1" t="s">
        <v>1235</v>
      </c>
      <c r="O61" s="1" t="s">
        <v>65</v>
      </c>
      <c r="P61" s="5">
        <v>0.0</v>
      </c>
      <c r="Q61" s="5">
        <v>0.0</v>
      </c>
      <c r="R61" s="5">
        <v>1.0</v>
      </c>
      <c r="S61" s="5">
        <v>0.0</v>
      </c>
      <c r="T61" s="5">
        <v>120.0</v>
      </c>
      <c r="U61" s="1" t="s">
        <v>65</v>
      </c>
      <c r="V61" s="1"/>
      <c r="W61" s="1" t="s">
        <v>65</v>
      </c>
      <c r="X61" s="1"/>
      <c r="Y61" s="1"/>
      <c r="Z61" s="1"/>
      <c r="AA61" s="1"/>
      <c r="AB61" s="1"/>
      <c r="AC61" s="1" t="s">
        <v>65</v>
      </c>
      <c r="AD61" s="1" t="s">
        <v>65</v>
      </c>
      <c r="AE61" s="1"/>
      <c r="AF61" s="1" t="s">
        <v>65</v>
      </c>
      <c r="AG61" s="1"/>
      <c r="AH61" s="7" t="s">
        <v>1201</v>
      </c>
      <c r="AI61" s="7" t="s">
        <v>1237</v>
      </c>
      <c r="AJ61" s="1"/>
      <c r="AK61" s="1" t="s">
        <v>1241</v>
      </c>
      <c r="AL61" s="1"/>
      <c r="AM61" s="1"/>
      <c r="AN61" s="1"/>
    </row>
    <row r="62" hidden="1">
      <c r="A62" s="1" t="s">
        <v>1243</v>
      </c>
      <c r="B62" s="1" t="s">
        <v>1245</v>
      </c>
      <c r="C62" s="4">
        <v>45954.55637731482</v>
      </c>
      <c r="D62" s="5">
        <v>1.761312071E9</v>
      </c>
      <c r="E62" s="7" t="s">
        <v>1247</v>
      </c>
      <c r="F62" s="1" t="s">
        <v>1249</v>
      </c>
      <c r="G62" s="1" t="s">
        <v>1250</v>
      </c>
      <c r="H62" s="1" t="s">
        <v>1251</v>
      </c>
      <c r="I62" s="5">
        <v>4.1901913E7</v>
      </c>
      <c r="J62" s="7" t="s">
        <v>1254</v>
      </c>
      <c r="K62" s="7" t="s">
        <v>1263</v>
      </c>
      <c r="L62" s="9" t="b">
        <v>0</v>
      </c>
      <c r="M62" s="1" t="s">
        <v>67</v>
      </c>
      <c r="N62" s="1" t="s">
        <v>68</v>
      </c>
      <c r="O62" s="1" t="s">
        <v>65</v>
      </c>
      <c r="P62" s="5">
        <v>0.0</v>
      </c>
      <c r="Q62" s="5">
        <v>2.0</v>
      </c>
      <c r="R62" s="5">
        <v>0.0</v>
      </c>
      <c r="S62" s="5">
        <v>0.0</v>
      </c>
      <c r="T62" s="5">
        <v>27.0</v>
      </c>
      <c r="U62" s="1" t="s">
        <v>65</v>
      </c>
      <c r="V62" s="1"/>
      <c r="W62" s="1" t="s">
        <v>65</v>
      </c>
      <c r="X62" s="1"/>
      <c r="Y62" s="1"/>
      <c r="Z62" s="1"/>
      <c r="AA62" s="1"/>
      <c r="AB62" s="1"/>
      <c r="AC62" s="1" t="s">
        <v>65</v>
      </c>
      <c r="AD62" s="1" t="s">
        <v>71</v>
      </c>
      <c r="AE62" s="1" t="s">
        <v>1266</v>
      </c>
      <c r="AF62" s="1" t="s">
        <v>65</v>
      </c>
      <c r="AG62" s="1"/>
      <c r="AH62" s="1"/>
      <c r="AI62" s="1"/>
      <c r="AJ62" s="1"/>
      <c r="AK62" s="1" t="s">
        <v>1267</v>
      </c>
      <c r="AL62" s="1"/>
      <c r="AM62" s="1"/>
      <c r="AN62" s="1"/>
    </row>
    <row r="63">
      <c r="A63" s="1" t="s">
        <v>1268</v>
      </c>
      <c r="B63" s="1" t="s">
        <v>1269</v>
      </c>
      <c r="C63" s="4">
        <v>45953.64202546296</v>
      </c>
      <c r="D63" s="5">
        <v>1.761233071E9</v>
      </c>
      <c r="E63" s="7" t="s">
        <v>1270</v>
      </c>
      <c r="F63" s="1" t="s">
        <v>1272</v>
      </c>
      <c r="G63" s="1" t="s">
        <v>709</v>
      </c>
      <c r="H63" s="1" t="s">
        <v>710</v>
      </c>
      <c r="I63" s="1" t="s">
        <v>711</v>
      </c>
      <c r="J63" s="7" t="s">
        <v>712</v>
      </c>
      <c r="K63" s="7" t="s">
        <v>719</v>
      </c>
      <c r="L63" s="9" t="b">
        <v>1</v>
      </c>
      <c r="M63" s="1" t="s">
        <v>721</v>
      </c>
      <c r="N63" s="1" t="s">
        <v>64</v>
      </c>
      <c r="O63" s="1" t="s">
        <v>65</v>
      </c>
      <c r="P63" s="5">
        <v>0.0</v>
      </c>
      <c r="Q63" s="5">
        <v>2.0</v>
      </c>
      <c r="R63" s="5">
        <v>1.0</v>
      </c>
      <c r="S63" s="5">
        <v>0.0</v>
      </c>
      <c r="T63" s="5">
        <v>46.0</v>
      </c>
      <c r="U63" s="1" t="s">
        <v>65</v>
      </c>
      <c r="V63" s="1"/>
      <c r="W63" s="1" t="s">
        <v>65</v>
      </c>
      <c r="X63" s="1"/>
      <c r="Y63" s="1"/>
      <c r="Z63" s="1"/>
      <c r="AA63" s="1"/>
      <c r="AB63" s="1"/>
      <c r="AC63" s="1" t="s">
        <v>65</v>
      </c>
      <c r="AD63" s="1" t="s">
        <v>71</v>
      </c>
      <c r="AE63" s="1" t="s">
        <v>1273</v>
      </c>
      <c r="AF63" s="1" t="s">
        <v>65</v>
      </c>
      <c r="AG63" s="1"/>
      <c r="AH63" s="1"/>
      <c r="AI63" s="1"/>
      <c r="AJ63" s="1"/>
      <c r="AK63" s="1" t="s">
        <v>1274</v>
      </c>
      <c r="AL63" s="1"/>
      <c r="AM63" s="1"/>
      <c r="AN63" s="1"/>
    </row>
    <row r="64" hidden="1">
      <c r="A64" s="1" t="s">
        <v>1275</v>
      </c>
      <c r="B64" s="1" t="s">
        <v>1277</v>
      </c>
      <c r="C64" s="4">
        <v>45952.733310185184</v>
      </c>
      <c r="D64" s="5">
        <v>1.761154558E9</v>
      </c>
      <c r="E64" s="7" t="s">
        <v>1278</v>
      </c>
      <c r="F64" s="1" t="s">
        <v>1280</v>
      </c>
      <c r="G64" s="1" t="s">
        <v>1281</v>
      </c>
      <c r="H64" s="1" t="s">
        <v>1282</v>
      </c>
      <c r="I64" s="1" t="s">
        <v>1283</v>
      </c>
      <c r="J64" s="7" t="s">
        <v>1284</v>
      </c>
      <c r="K64" s="7" t="s">
        <v>1287</v>
      </c>
      <c r="L64" s="9" t="b">
        <v>0</v>
      </c>
      <c r="M64" s="1" t="s">
        <v>66</v>
      </c>
      <c r="N64" s="1" t="s">
        <v>68</v>
      </c>
      <c r="O64" s="1" t="s">
        <v>65</v>
      </c>
      <c r="P64" s="5">
        <v>0.0</v>
      </c>
      <c r="Q64" s="5">
        <v>1.0</v>
      </c>
      <c r="R64" s="5">
        <v>12.0</v>
      </c>
      <c r="S64" s="5">
        <v>0.0</v>
      </c>
      <c r="T64" s="5">
        <v>1307.0</v>
      </c>
      <c r="U64" s="1" t="s">
        <v>65</v>
      </c>
      <c r="V64" s="1"/>
      <c r="W64" s="1" t="s">
        <v>65</v>
      </c>
      <c r="X64" s="1"/>
      <c r="Y64" s="1"/>
      <c r="Z64" s="1"/>
      <c r="AA64" s="1"/>
      <c r="AB64" s="1"/>
      <c r="AC64" s="1" t="s">
        <v>65</v>
      </c>
      <c r="AD64" s="1" t="s">
        <v>71</v>
      </c>
      <c r="AE64" s="1" t="s">
        <v>1290</v>
      </c>
      <c r="AF64" s="1" t="s">
        <v>65</v>
      </c>
      <c r="AG64" s="1"/>
      <c r="AH64" s="1"/>
      <c r="AI64" s="1"/>
      <c r="AJ64" s="1"/>
      <c r="AK64" s="1" t="s">
        <v>1291</v>
      </c>
      <c r="AL64" s="1"/>
      <c r="AM64" s="1"/>
      <c r="AN64" s="1"/>
    </row>
    <row r="65">
      <c r="A65" s="1" t="s">
        <v>1292</v>
      </c>
      <c r="B65" s="1" t="s">
        <v>1292</v>
      </c>
      <c r="C65" s="4">
        <v>45952.46475694444</v>
      </c>
      <c r="D65" s="5">
        <v>1.761131355E9</v>
      </c>
      <c r="E65" s="7" t="s">
        <v>1293</v>
      </c>
      <c r="F65" s="1" t="s">
        <v>1296</v>
      </c>
      <c r="G65" s="1" t="s">
        <v>1297</v>
      </c>
      <c r="H65" s="1" t="s">
        <v>1298</v>
      </c>
      <c r="I65" s="1" t="s">
        <v>1299</v>
      </c>
      <c r="J65" s="7" t="s">
        <v>1300</v>
      </c>
      <c r="K65" s="7" t="s">
        <v>1308</v>
      </c>
      <c r="L65" s="9" t="b">
        <v>0</v>
      </c>
      <c r="M65" s="1" t="s">
        <v>67</v>
      </c>
      <c r="N65" s="1" t="s">
        <v>64</v>
      </c>
      <c r="O65" s="1" t="s">
        <v>65</v>
      </c>
      <c r="P65" s="5">
        <v>0.0</v>
      </c>
      <c r="Q65" s="5">
        <v>0.0</v>
      </c>
      <c r="R65" s="5">
        <v>0.0</v>
      </c>
      <c r="S65" s="5">
        <v>0.0</v>
      </c>
      <c r="T65" s="5">
        <v>35.0</v>
      </c>
      <c r="U65" s="1" t="s">
        <v>65</v>
      </c>
      <c r="V65" s="1"/>
      <c r="W65" s="1" t="s">
        <v>71</v>
      </c>
      <c r="X65" s="1" t="s">
        <v>1311</v>
      </c>
      <c r="Y65" s="1" t="s">
        <v>1312</v>
      </c>
      <c r="Z65" s="1" t="s">
        <v>1313</v>
      </c>
      <c r="AA65" s="7" t="s">
        <v>1314</v>
      </c>
      <c r="AB65" s="1"/>
      <c r="AC65" s="1" t="s">
        <v>65</v>
      </c>
      <c r="AD65" s="1" t="s">
        <v>65</v>
      </c>
      <c r="AE65" s="1"/>
      <c r="AF65" s="1" t="s">
        <v>65</v>
      </c>
      <c r="AG65" s="1"/>
      <c r="AH65" s="1"/>
      <c r="AI65" s="1"/>
      <c r="AJ65" s="1"/>
      <c r="AK65" s="1"/>
      <c r="AL65" s="1"/>
      <c r="AM65" s="1"/>
      <c r="AN65" s="1"/>
    </row>
    <row r="66">
      <c r="A66" s="1" t="s">
        <v>1319</v>
      </c>
      <c r="B66" s="1" t="s">
        <v>1319</v>
      </c>
      <c r="C66" s="4">
        <v>45952.010358796295</v>
      </c>
      <c r="D66" s="5">
        <v>1.761092095E9</v>
      </c>
      <c r="E66" s="7" t="s">
        <v>1320</v>
      </c>
      <c r="F66" s="1" t="s">
        <v>1328</v>
      </c>
      <c r="G66" s="1" t="s">
        <v>1329</v>
      </c>
      <c r="H66" s="1" t="s">
        <v>1330</v>
      </c>
      <c r="I66" s="5">
        <v>1.21287943E8</v>
      </c>
      <c r="J66" s="7" t="s">
        <v>1331</v>
      </c>
      <c r="K66" s="7" t="s">
        <v>1338</v>
      </c>
      <c r="L66" s="9" t="b">
        <v>1</v>
      </c>
      <c r="M66" s="1" t="s">
        <v>85</v>
      </c>
      <c r="N66" s="1" t="s">
        <v>64</v>
      </c>
      <c r="O66" s="1" t="s">
        <v>65</v>
      </c>
      <c r="P66" s="5">
        <v>0.0</v>
      </c>
      <c r="Q66" s="5">
        <v>0.0</v>
      </c>
      <c r="R66" s="5">
        <v>1.0</v>
      </c>
      <c r="S66" s="5">
        <v>0.0</v>
      </c>
      <c r="T66" s="5">
        <v>341.0</v>
      </c>
      <c r="U66" s="1" t="s">
        <v>65</v>
      </c>
      <c r="V66" s="1"/>
      <c r="W66" s="1" t="s">
        <v>65</v>
      </c>
      <c r="X66" s="1"/>
      <c r="Y66" s="1"/>
      <c r="Z66" s="1"/>
      <c r="AA66" s="1"/>
      <c r="AB66" s="1"/>
      <c r="AC66" s="1" t="s">
        <v>65</v>
      </c>
      <c r="AD66" s="1" t="s">
        <v>65</v>
      </c>
      <c r="AE66" s="1"/>
      <c r="AF66" s="1" t="s">
        <v>65</v>
      </c>
      <c r="AG66" s="1"/>
      <c r="AH66" s="1"/>
      <c r="AI66" s="7" t="s">
        <v>1341</v>
      </c>
      <c r="AJ66" s="7" t="s">
        <v>1345</v>
      </c>
      <c r="AK66" s="1"/>
      <c r="AL66" s="1"/>
      <c r="AM66" s="1"/>
      <c r="AN66" s="1"/>
    </row>
    <row r="67">
      <c r="A67" s="1" t="s">
        <v>1350</v>
      </c>
      <c r="B67" s="1" t="s">
        <v>1350</v>
      </c>
      <c r="C67" s="4">
        <v>45951.69847222222</v>
      </c>
      <c r="D67" s="5">
        <v>1.761065148E9</v>
      </c>
      <c r="E67" s="7" t="s">
        <v>1351</v>
      </c>
      <c r="F67" s="1" t="s">
        <v>1354</v>
      </c>
      <c r="G67" s="1" t="s">
        <v>1355</v>
      </c>
      <c r="H67" s="1" t="s">
        <v>1356</v>
      </c>
      <c r="I67" s="1" t="s">
        <v>1357</v>
      </c>
      <c r="J67" s="7" t="s">
        <v>1358</v>
      </c>
      <c r="K67" s="7" t="s">
        <v>1362</v>
      </c>
      <c r="L67" s="9" t="b">
        <v>0</v>
      </c>
      <c r="M67" s="1" t="s">
        <v>66</v>
      </c>
      <c r="N67" s="1" t="s">
        <v>64</v>
      </c>
      <c r="O67" s="1" t="s">
        <v>65</v>
      </c>
      <c r="P67" s="5">
        <v>0.0</v>
      </c>
      <c r="Q67" s="5">
        <v>0.0</v>
      </c>
      <c r="R67" s="5">
        <v>1.0</v>
      </c>
      <c r="S67" s="5">
        <v>0.0</v>
      </c>
      <c r="T67" s="5">
        <v>17.0</v>
      </c>
      <c r="U67" s="1" t="s">
        <v>65</v>
      </c>
      <c r="V67" s="1"/>
      <c r="W67" s="1" t="s">
        <v>65</v>
      </c>
      <c r="X67" s="1"/>
      <c r="Y67" s="1"/>
      <c r="Z67" s="1"/>
      <c r="AA67" s="1"/>
      <c r="AB67" s="1"/>
      <c r="AC67" s="1" t="s">
        <v>65</v>
      </c>
      <c r="AD67" s="1" t="s">
        <v>65</v>
      </c>
      <c r="AE67" s="1"/>
      <c r="AF67" s="1" t="s">
        <v>65</v>
      </c>
      <c r="AG67" s="1"/>
      <c r="AH67" s="1"/>
      <c r="AI67" s="1"/>
      <c r="AJ67" s="1"/>
      <c r="AK67" s="1"/>
      <c r="AL67" s="1"/>
      <c r="AM67" s="1"/>
      <c r="AN67" s="1"/>
    </row>
    <row r="68">
      <c r="A68" s="1" t="s">
        <v>1372</v>
      </c>
      <c r="B68" s="1" t="s">
        <v>1373</v>
      </c>
      <c r="C68" s="4">
        <v>45951.56119212963</v>
      </c>
      <c r="D68" s="5">
        <v>1.761053287E9</v>
      </c>
      <c r="E68" s="7" t="s">
        <v>1374</v>
      </c>
      <c r="F68" s="1" t="s">
        <v>1377</v>
      </c>
      <c r="G68" s="1" t="s">
        <v>1378</v>
      </c>
      <c r="H68" s="1" t="s">
        <v>1379</v>
      </c>
      <c r="I68" s="5">
        <v>1.53311206E8</v>
      </c>
      <c r="J68" s="7" t="s">
        <v>1380</v>
      </c>
      <c r="K68" s="7" t="s">
        <v>1382</v>
      </c>
      <c r="L68" s="9" t="b">
        <v>0</v>
      </c>
      <c r="M68" s="1" t="s">
        <v>67</v>
      </c>
      <c r="N68" s="1" t="s">
        <v>64</v>
      </c>
      <c r="O68" s="1" t="s">
        <v>65</v>
      </c>
      <c r="P68" s="5">
        <v>0.0</v>
      </c>
      <c r="Q68" s="5">
        <v>1.0</v>
      </c>
      <c r="R68" s="5">
        <v>1.0</v>
      </c>
      <c r="S68" s="5">
        <v>0.0</v>
      </c>
      <c r="T68" s="5">
        <v>123.0</v>
      </c>
      <c r="U68" s="1" t="s">
        <v>65</v>
      </c>
      <c r="V68" s="1"/>
      <c r="W68" s="1" t="s">
        <v>65</v>
      </c>
      <c r="X68" s="1"/>
      <c r="Y68" s="1"/>
      <c r="Z68" s="1"/>
      <c r="AA68" s="1"/>
      <c r="AB68" s="1"/>
      <c r="AC68" s="1" t="s">
        <v>65</v>
      </c>
      <c r="AD68" s="1" t="s">
        <v>71</v>
      </c>
      <c r="AE68" s="1" t="s">
        <v>1378</v>
      </c>
      <c r="AF68" s="1" t="s">
        <v>65</v>
      </c>
      <c r="AG68" s="1"/>
      <c r="AH68" s="1"/>
      <c r="AI68" s="1"/>
      <c r="AJ68" s="1"/>
      <c r="AK68" s="1" t="s">
        <v>1385</v>
      </c>
      <c r="AL68" s="1"/>
      <c r="AM68" s="1"/>
      <c r="AN68" s="1"/>
    </row>
    <row r="69" hidden="1">
      <c r="A69" s="1" t="s">
        <v>44</v>
      </c>
      <c r="B69" s="1" t="s">
        <v>44</v>
      </c>
      <c r="C69" s="4">
        <v>45950.849641203706</v>
      </c>
      <c r="D69" s="5">
        <v>1.760991809E9</v>
      </c>
      <c r="E69" s="7" t="s">
        <v>46</v>
      </c>
      <c r="F69" s="1" t="s">
        <v>56</v>
      </c>
      <c r="G69" s="1" t="s">
        <v>57</v>
      </c>
      <c r="H69" s="1" t="s">
        <v>1387</v>
      </c>
      <c r="I69" s="1" t="s">
        <v>59</v>
      </c>
      <c r="J69" s="7" t="s">
        <v>60</v>
      </c>
      <c r="K69" s="7" t="s">
        <v>1389</v>
      </c>
      <c r="L69" s="9" t="b">
        <v>0</v>
      </c>
      <c r="M69" s="1" t="s">
        <v>67</v>
      </c>
      <c r="N69" s="1" t="s">
        <v>68</v>
      </c>
      <c r="O69" s="1" t="s">
        <v>65</v>
      </c>
      <c r="P69" s="5">
        <v>1.0</v>
      </c>
      <c r="Q69" s="5">
        <v>1.0</v>
      </c>
      <c r="R69" s="5">
        <v>16.0</v>
      </c>
      <c r="S69" s="5">
        <v>0.0</v>
      </c>
      <c r="T69" s="5">
        <v>884.0</v>
      </c>
      <c r="U69" s="1" t="s">
        <v>65</v>
      </c>
      <c r="V69" s="1"/>
      <c r="W69" s="1" t="s">
        <v>65</v>
      </c>
      <c r="X69" s="1"/>
      <c r="Y69" s="1"/>
      <c r="Z69" s="1"/>
      <c r="AA69" s="1"/>
      <c r="AB69" s="1"/>
      <c r="AC69" s="1" t="s">
        <v>65</v>
      </c>
      <c r="AD69" s="1" t="s">
        <v>65</v>
      </c>
      <c r="AE69" s="1"/>
      <c r="AF69" s="1" t="s">
        <v>65</v>
      </c>
      <c r="AG69" s="1"/>
      <c r="AH69" s="1"/>
      <c r="AI69" s="7" t="s">
        <v>73</v>
      </c>
      <c r="AJ69" s="7" t="s">
        <v>82</v>
      </c>
      <c r="AK69" s="1"/>
      <c r="AL69" s="1"/>
      <c r="AM69" s="1"/>
      <c r="AN69" s="1"/>
    </row>
    <row r="70">
      <c r="A70" s="1" t="s">
        <v>1397</v>
      </c>
      <c r="B70" s="1" t="s">
        <v>1397</v>
      </c>
      <c r="C70" s="4">
        <v>45950.70756944444</v>
      </c>
      <c r="D70" s="5">
        <v>1.760979534E9</v>
      </c>
      <c r="E70" s="7" t="s">
        <v>1399</v>
      </c>
      <c r="F70" s="1" t="s">
        <v>1405</v>
      </c>
      <c r="G70" s="1" t="s">
        <v>1407</v>
      </c>
      <c r="H70" s="1" t="s">
        <v>1408</v>
      </c>
      <c r="I70" s="1" t="s">
        <v>1409</v>
      </c>
      <c r="J70" s="7" t="s">
        <v>1410</v>
      </c>
      <c r="K70" s="1"/>
      <c r="L70" s="9" t="b">
        <v>0</v>
      </c>
      <c r="M70" s="1" t="s">
        <v>66</v>
      </c>
      <c r="N70" s="1" t="s">
        <v>64</v>
      </c>
      <c r="O70" s="1" t="s">
        <v>65</v>
      </c>
      <c r="P70" s="5">
        <v>0.0</v>
      </c>
      <c r="Q70" s="5">
        <v>0.0</v>
      </c>
      <c r="R70" s="5">
        <v>0.0</v>
      </c>
      <c r="S70" s="5">
        <v>0.0</v>
      </c>
      <c r="T70" s="5">
        <v>15.0</v>
      </c>
      <c r="U70" s="1" t="s">
        <v>65</v>
      </c>
      <c r="V70" s="1"/>
      <c r="W70" s="1" t="s">
        <v>65</v>
      </c>
      <c r="X70" s="1"/>
      <c r="Y70" s="1"/>
      <c r="Z70" s="1"/>
      <c r="AA70" s="1"/>
      <c r="AB70" s="1"/>
      <c r="AC70" s="1" t="s">
        <v>65</v>
      </c>
      <c r="AD70" s="1" t="s">
        <v>65</v>
      </c>
      <c r="AE70" s="1"/>
      <c r="AF70" s="1" t="s">
        <v>65</v>
      </c>
      <c r="AG70" s="1"/>
      <c r="AH70" s="7" t="s">
        <v>1420</v>
      </c>
      <c r="AI70" s="7" t="s">
        <v>1426</v>
      </c>
      <c r="AJ70" s="1"/>
      <c r="AK70" s="1"/>
      <c r="AL70" s="1"/>
      <c r="AM70" s="1"/>
      <c r="AN70" s="1"/>
    </row>
    <row r="71">
      <c r="A71" s="1" t="s">
        <v>1430</v>
      </c>
      <c r="B71" s="1" t="s">
        <v>1430</v>
      </c>
      <c r="C71" s="4">
        <v>45950.68002314815</v>
      </c>
      <c r="D71" s="5">
        <v>1.760977154E9</v>
      </c>
      <c r="E71" s="7" t="s">
        <v>1433</v>
      </c>
      <c r="F71" s="1" t="s">
        <v>1434</v>
      </c>
      <c r="G71" s="1" t="s">
        <v>1435</v>
      </c>
      <c r="H71" s="1" t="s">
        <v>1437</v>
      </c>
      <c r="I71" s="5">
        <v>6.742092E7</v>
      </c>
      <c r="J71" s="7" t="s">
        <v>1439</v>
      </c>
      <c r="K71" s="7" t="s">
        <v>1444</v>
      </c>
      <c r="L71" s="9" t="b">
        <v>0</v>
      </c>
      <c r="M71" s="1" t="s">
        <v>85</v>
      </c>
      <c r="N71" s="1" t="s">
        <v>64</v>
      </c>
      <c r="O71" s="1" t="s">
        <v>65</v>
      </c>
      <c r="P71" s="5">
        <v>0.0</v>
      </c>
      <c r="Q71" s="5">
        <v>0.0</v>
      </c>
      <c r="R71" s="5">
        <v>0.0</v>
      </c>
      <c r="S71" s="5">
        <v>0.0</v>
      </c>
      <c r="T71" s="5">
        <v>12.0</v>
      </c>
      <c r="U71" s="1" t="s">
        <v>65</v>
      </c>
      <c r="V71" s="1"/>
      <c r="W71" s="1" t="s">
        <v>65</v>
      </c>
      <c r="X71" s="1"/>
      <c r="Y71" s="1"/>
      <c r="Z71" s="1"/>
      <c r="AA71" s="1"/>
      <c r="AB71" s="1"/>
      <c r="AC71" s="1" t="s">
        <v>65</v>
      </c>
      <c r="AD71" s="1" t="s">
        <v>65</v>
      </c>
      <c r="AE71" s="1"/>
      <c r="AF71" s="1" t="s">
        <v>65</v>
      </c>
      <c r="AG71" s="1"/>
      <c r="AH71" s="1"/>
      <c r="AI71" s="1"/>
      <c r="AJ71" s="1"/>
      <c r="AK71" s="1"/>
      <c r="AL71" s="1"/>
      <c r="AM71" s="1"/>
      <c r="AN71" s="1"/>
    </row>
    <row r="72" hidden="1">
      <c r="A72" s="1" t="s">
        <v>1448</v>
      </c>
      <c r="B72" s="1" t="s">
        <v>1448</v>
      </c>
      <c r="C72" s="4">
        <v>45948.57017361111</v>
      </c>
      <c r="D72" s="5">
        <v>1.760794863E9</v>
      </c>
      <c r="E72" s="7" t="s">
        <v>1449</v>
      </c>
      <c r="F72" s="1" t="s">
        <v>1450</v>
      </c>
      <c r="G72" s="1" t="s">
        <v>1452</v>
      </c>
      <c r="H72" s="1" t="s">
        <v>1453</v>
      </c>
      <c r="I72" s="5">
        <v>5.0846061E7</v>
      </c>
      <c r="J72" s="7" t="s">
        <v>1455</v>
      </c>
      <c r="K72" s="7" t="s">
        <v>1460</v>
      </c>
      <c r="L72" s="9" t="b">
        <v>0</v>
      </c>
      <c r="M72" s="1" t="s">
        <v>67</v>
      </c>
      <c r="N72" s="1" t="s">
        <v>824</v>
      </c>
      <c r="O72" s="1" t="s">
        <v>65</v>
      </c>
      <c r="P72" s="5">
        <v>0.0</v>
      </c>
      <c r="Q72" s="5">
        <v>0.0</v>
      </c>
      <c r="R72" s="5">
        <v>1.0</v>
      </c>
      <c r="S72" s="5">
        <v>0.0</v>
      </c>
      <c r="T72" s="5">
        <v>89.0</v>
      </c>
      <c r="U72" s="1" t="s">
        <v>65</v>
      </c>
      <c r="V72" s="1"/>
      <c r="W72" s="1" t="s">
        <v>65</v>
      </c>
      <c r="X72" s="1"/>
      <c r="Y72" s="1"/>
      <c r="Z72" s="1"/>
      <c r="AA72" s="1"/>
      <c r="AB72" s="1"/>
      <c r="AC72" s="1" t="s">
        <v>65</v>
      </c>
      <c r="AD72" s="1" t="s">
        <v>65</v>
      </c>
      <c r="AE72" s="1"/>
      <c r="AF72" s="1" t="s">
        <v>65</v>
      </c>
      <c r="AG72" s="1"/>
      <c r="AH72" s="7" t="s">
        <v>1464</v>
      </c>
      <c r="AI72" s="1"/>
      <c r="AJ72" s="1"/>
      <c r="AK72" s="1" t="s">
        <v>1469</v>
      </c>
      <c r="AL72" s="1"/>
      <c r="AM72" s="1"/>
      <c r="AN72" s="1"/>
    </row>
    <row r="73">
      <c r="A73" s="1" t="s">
        <v>1471</v>
      </c>
      <c r="B73" s="1" t="s">
        <v>1471</v>
      </c>
      <c r="C73" s="4">
        <v>45947.70329861111</v>
      </c>
      <c r="D73" s="5">
        <v>1.760719965E9</v>
      </c>
      <c r="E73" s="7" t="s">
        <v>1472</v>
      </c>
      <c r="F73" s="1" t="s">
        <v>1474</v>
      </c>
      <c r="G73" s="1" t="s">
        <v>1475</v>
      </c>
      <c r="H73" s="1" t="s">
        <v>1477</v>
      </c>
      <c r="I73" s="1" t="s">
        <v>1478</v>
      </c>
      <c r="J73" s="7" t="s">
        <v>1479</v>
      </c>
      <c r="K73" s="1"/>
      <c r="L73" s="9" t="b">
        <v>0</v>
      </c>
      <c r="M73" s="1" t="s">
        <v>85</v>
      </c>
      <c r="N73" s="1" t="s">
        <v>64</v>
      </c>
      <c r="O73" s="1" t="s">
        <v>65</v>
      </c>
      <c r="P73" s="5">
        <v>0.0</v>
      </c>
      <c r="Q73" s="5">
        <v>0.0</v>
      </c>
      <c r="R73" s="5">
        <v>1.0</v>
      </c>
      <c r="S73" s="5">
        <v>0.0</v>
      </c>
      <c r="T73" s="5">
        <v>7.0</v>
      </c>
      <c r="U73" s="1" t="s">
        <v>65</v>
      </c>
      <c r="V73" s="1"/>
      <c r="W73" s="1" t="s">
        <v>65</v>
      </c>
      <c r="X73" s="1"/>
      <c r="Y73" s="1"/>
      <c r="Z73" s="1"/>
      <c r="AA73" s="1"/>
      <c r="AB73" s="1"/>
      <c r="AC73" s="1" t="s">
        <v>65</v>
      </c>
      <c r="AD73" s="1" t="s">
        <v>65</v>
      </c>
      <c r="AE73" s="1"/>
      <c r="AF73" s="1" t="s">
        <v>65</v>
      </c>
      <c r="AG73" s="1" t="s">
        <v>1484</v>
      </c>
      <c r="AH73" s="1"/>
      <c r="AI73" s="7" t="s">
        <v>1485</v>
      </c>
      <c r="AJ73" s="1"/>
      <c r="AK73" s="1"/>
      <c r="AL73" s="1"/>
      <c r="AM73" s="1"/>
      <c r="AN73" s="1"/>
    </row>
    <row r="74" hidden="1">
      <c r="A74" s="1" t="s">
        <v>1488</v>
      </c>
      <c r="B74" s="1" t="s">
        <v>1489</v>
      </c>
      <c r="C74" s="4">
        <v>45946.9009375</v>
      </c>
      <c r="D74" s="5">
        <v>1.760650641E9</v>
      </c>
      <c r="E74" s="7" t="s">
        <v>1490</v>
      </c>
      <c r="F74" s="1" t="s">
        <v>1491</v>
      </c>
      <c r="G74" s="1" t="s">
        <v>1493</v>
      </c>
      <c r="H74" s="1" t="s">
        <v>1494</v>
      </c>
      <c r="I74" s="1" t="s">
        <v>1495</v>
      </c>
      <c r="J74" s="7" t="s">
        <v>1496</v>
      </c>
      <c r="K74" s="1"/>
      <c r="L74" s="9" t="b">
        <v>0</v>
      </c>
      <c r="M74" s="1" t="s">
        <v>85</v>
      </c>
      <c r="N74" s="1" t="s">
        <v>68</v>
      </c>
      <c r="O74" s="1" t="s">
        <v>65</v>
      </c>
      <c r="P74" s="5">
        <v>0.0</v>
      </c>
      <c r="Q74" s="5">
        <v>0.0</v>
      </c>
      <c r="R74" s="5">
        <v>0.0</v>
      </c>
      <c r="S74" s="5">
        <v>0.0</v>
      </c>
      <c r="T74" s="5">
        <v>6.0</v>
      </c>
      <c r="U74" s="1" t="s">
        <v>65</v>
      </c>
      <c r="V74" s="1"/>
      <c r="W74" s="1" t="s">
        <v>65</v>
      </c>
      <c r="X74" s="1"/>
      <c r="Y74" s="1"/>
      <c r="Z74" s="1"/>
      <c r="AA74" s="1"/>
      <c r="AB74" s="1"/>
      <c r="AC74" s="1" t="s">
        <v>65</v>
      </c>
      <c r="AD74" s="1" t="s">
        <v>71</v>
      </c>
      <c r="AE74" s="1" t="s">
        <v>1498</v>
      </c>
      <c r="AF74" s="1" t="s">
        <v>65</v>
      </c>
      <c r="AG74" s="1"/>
      <c r="AH74" s="1"/>
      <c r="AI74" s="1"/>
      <c r="AJ74" s="1"/>
      <c r="AK74" s="1" t="s">
        <v>1498</v>
      </c>
      <c r="AL74" s="1"/>
      <c r="AM74" s="1"/>
      <c r="AN74" s="1"/>
    </row>
    <row r="75" hidden="1">
      <c r="A75" s="1" t="s">
        <v>1499</v>
      </c>
      <c r="B75" s="1" t="s">
        <v>1499</v>
      </c>
      <c r="C75" s="4">
        <v>45944.668020833335</v>
      </c>
      <c r="D75" s="5">
        <v>1.760457717E9</v>
      </c>
      <c r="E75" s="7" t="s">
        <v>1500</v>
      </c>
      <c r="F75" s="1" t="s">
        <v>1503</v>
      </c>
      <c r="G75" s="1" t="s">
        <v>1504</v>
      </c>
      <c r="H75" s="1" t="s">
        <v>1505</v>
      </c>
      <c r="I75" s="5">
        <v>2.347392518E9</v>
      </c>
      <c r="J75" s="7" t="s">
        <v>1506</v>
      </c>
      <c r="K75" s="7" t="s">
        <v>1512</v>
      </c>
      <c r="L75" s="9" t="b">
        <v>0</v>
      </c>
      <c r="M75" s="1" t="s">
        <v>66</v>
      </c>
      <c r="N75" s="1" t="s">
        <v>68</v>
      </c>
      <c r="O75" s="1" t="s">
        <v>65</v>
      </c>
      <c r="P75" s="5">
        <v>1.0</v>
      </c>
      <c r="Q75" s="5">
        <v>1.0</v>
      </c>
      <c r="R75" s="5">
        <v>1.0</v>
      </c>
      <c r="S75" s="5">
        <v>0.0</v>
      </c>
      <c r="T75" s="5">
        <v>72.0</v>
      </c>
      <c r="U75" s="1" t="s">
        <v>65</v>
      </c>
      <c r="V75" s="1"/>
      <c r="W75" s="1" t="s">
        <v>65</v>
      </c>
      <c r="X75" s="1"/>
      <c r="Y75" s="1"/>
      <c r="Z75" s="1"/>
      <c r="AA75" s="1"/>
      <c r="AB75" s="1"/>
      <c r="AC75" s="1" t="s">
        <v>65</v>
      </c>
      <c r="AD75" s="1" t="s">
        <v>65</v>
      </c>
      <c r="AE75" s="1"/>
      <c r="AF75" s="1" t="s">
        <v>65</v>
      </c>
      <c r="AG75" s="1"/>
      <c r="AH75" s="1"/>
      <c r="AI75" s="1"/>
      <c r="AJ75" s="1"/>
      <c r="AK75" s="1"/>
      <c r="AL75" s="1"/>
      <c r="AM75" s="1"/>
      <c r="AN75" s="1"/>
    </row>
    <row r="76">
      <c r="A76" s="1" t="s">
        <v>1521</v>
      </c>
      <c r="B76" s="1" t="s">
        <v>1522</v>
      </c>
      <c r="C76" s="4">
        <v>45944.51097222222</v>
      </c>
      <c r="D76" s="5">
        <v>1.760444148E9</v>
      </c>
      <c r="E76" s="7" t="s">
        <v>1523</v>
      </c>
      <c r="F76" s="1" t="s">
        <v>1524</v>
      </c>
      <c r="G76" s="1" t="s">
        <v>1525</v>
      </c>
      <c r="H76" s="1" t="s">
        <v>1526</v>
      </c>
      <c r="I76" s="5">
        <v>1.487686428E9</v>
      </c>
      <c r="J76" s="7" t="s">
        <v>1527</v>
      </c>
      <c r="K76" s="7" t="s">
        <v>1531</v>
      </c>
      <c r="L76" s="9" t="b">
        <v>0</v>
      </c>
      <c r="M76" s="1" t="s">
        <v>67</v>
      </c>
      <c r="N76" s="1" t="s">
        <v>64</v>
      </c>
      <c r="O76" s="1" t="s">
        <v>65</v>
      </c>
      <c r="P76" s="5">
        <v>0.0</v>
      </c>
      <c r="Q76" s="5">
        <v>0.0</v>
      </c>
      <c r="R76" s="5">
        <v>0.0</v>
      </c>
      <c r="S76" s="5">
        <v>0.0</v>
      </c>
      <c r="T76" s="5">
        <v>9.0</v>
      </c>
      <c r="U76" s="1" t="s">
        <v>65</v>
      </c>
      <c r="V76" s="1"/>
      <c r="W76" s="1" t="s">
        <v>65</v>
      </c>
      <c r="X76" s="1"/>
      <c r="Y76" s="1"/>
      <c r="Z76" s="1"/>
      <c r="AA76" s="1"/>
      <c r="AB76" s="1"/>
      <c r="AC76" s="1" t="s">
        <v>65</v>
      </c>
      <c r="AD76" s="1" t="s">
        <v>71</v>
      </c>
      <c r="AE76" s="1" t="s">
        <v>1539</v>
      </c>
      <c r="AF76" s="1" t="s">
        <v>65</v>
      </c>
      <c r="AG76" s="1"/>
      <c r="AH76" s="1"/>
      <c r="AI76" s="1"/>
      <c r="AJ76" s="1"/>
      <c r="AK76" s="1" t="s">
        <v>1539</v>
      </c>
      <c r="AL76" s="1"/>
      <c r="AM76" s="1"/>
      <c r="AN76" s="1"/>
    </row>
    <row r="77">
      <c r="A77" s="1" t="s">
        <v>1541</v>
      </c>
      <c r="B77" s="1" t="s">
        <v>1542</v>
      </c>
      <c r="C77" s="4">
        <v>45944.31762731481</v>
      </c>
      <c r="D77" s="5">
        <v>1.760427443E9</v>
      </c>
      <c r="E77" s="7" t="s">
        <v>1543</v>
      </c>
      <c r="F77" s="1" t="s">
        <v>1548</v>
      </c>
      <c r="G77" s="1" t="s">
        <v>1549</v>
      </c>
      <c r="H77" s="1" t="s">
        <v>1550</v>
      </c>
      <c r="I77" s="5">
        <v>2.76388974E8</v>
      </c>
      <c r="J77" s="7" t="s">
        <v>1552</v>
      </c>
      <c r="K77" s="7" t="s">
        <v>1556</v>
      </c>
      <c r="L77" s="9" t="b">
        <v>0</v>
      </c>
      <c r="M77" s="1" t="s">
        <v>66</v>
      </c>
      <c r="N77" s="1" t="s">
        <v>64</v>
      </c>
      <c r="O77" s="1" t="s">
        <v>65</v>
      </c>
      <c r="P77" s="5">
        <v>3.0</v>
      </c>
      <c r="Q77" s="5">
        <v>1.0</v>
      </c>
      <c r="R77" s="5">
        <v>66.0</v>
      </c>
      <c r="S77" s="5">
        <v>0.0</v>
      </c>
      <c r="T77" s="5">
        <v>2780.0</v>
      </c>
      <c r="U77" s="1" t="s">
        <v>65</v>
      </c>
      <c r="V77" s="1"/>
      <c r="W77" s="1" t="s">
        <v>65</v>
      </c>
      <c r="X77" s="1"/>
      <c r="Y77" s="1"/>
      <c r="Z77" s="1"/>
      <c r="AA77" s="1"/>
      <c r="AB77" s="1"/>
      <c r="AC77" s="1" t="s">
        <v>65</v>
      </c>
      <c r="AD77" s="1" t="s">
        <v>71</v>
      </c>
      <c r="AE77" s="1" t="s">
        <v>1564</v>
      </c>
      <c r="AF77" s="1" t="s">
        <v>65</v>
      </c>
      <c r="AG77" s="1"/>
      <c r="AH77" s="1"/>
      <c r="AI77" s="1"/>
      <c r="AJ77" s="1"/>
      <c r="AK77" s="1" t="s">
        <v>1564</v>
      </c>
      <c r="AL77" s="1"/>
      <c r="AM77" s="1"/>
      <c r="AN77" s="1"/>
    </row>
    <row r="78">
      <c r="A78" s="1" t="s">
        <v>1565</v>
      </c>
      <c r="B78" s="1" t="s">
        <v>1565</v>
      </c>
      <c r="C78" s="4">
        <v>45944.19679398148</v>
      </c>
      <c r="D78" s="5">
        <v>1.760417003E9</v>
      </c>
      <c r="E78" s="7" t="s">
        <v>1567</v>
      </c>
      <c r="F78" s="1" t="s">
        <v>1569</v>
      </c>
      <c r="G78" s="1" t="s">
        <v>1570</v>
      </c>
      <c r="H78" s="1" t="s">
        <v>1571</v>
      </c>
      <c r="I78" s="5">
        <v>1.4121418E8</v>
      </c>
      <c r="J78" s="7" t="s">
        <v>1572</v>
      </c>
      <c r="K78" s="7" t="s">
        <v>1577</v>
      </c>
      <c r="L78" s="9" t="b">
        <v>0</v>
      </c>
      <c r="M78" s="1" t="s">
        <v>66</v>
      </c>
      <c r="N78" s="1" t="s">
        <v>64</v>
      </c>
      <c r="O78" s="1" t="s">
        <v>65</v>
      </c>
      <c r="P78" s="5">
        <v>0.0</v>
      </c>
      <c r="Q78" s="5">
        <v>0.0</v>
      </c>
      <c r="R78" s="5">
        <v>0.0</v>
      </c>
      <c r="S78" s="5">
        <v>0.0</v>
      </c>
      <c r="T78" s="5">
        <v>7.0</v>
      </c>
      <c r="U78" s="1" t="s">
        <v>65</v>
      </c>
      <c r="V78" s="1"/>
      <c r="W78" s="1" t="s">
        <v>65</v>
      </c>
      <c r="X78" s="1"/>
      <c r="Y78" s="1"/>
      <c r="Z78" s="1"/>
      <c r="AA78" s="1"/>
      <c r="AB78" s="1"/>
      <c r="AC78" s="1" t="s">
        <v>65</v>
      </c>
      <c r="AD78" s="1" t="s">
        <v>65</v>
      </c>
      <c r="AE78" s="1"/>
      <c r="AF78" s="1" t="s">
        <v>65</v>
      </c>
      <c r="AG78" s="1" t="s">
        <v>1582</v>
      </c>
      <c r="AH78" s="7" t="s">
        <v>1583</v>
      </c>
      <c r="AI78" s="1"/>
      <c r="AJ78" s="1"/>
      <c r="AK78" s="1"/>
      <c r="AL78" s="1"/>
      <c r="AM78" s="1"/>
      <c r="AN78" s="1"/>
    </row>
    <row r="79" hidden="1">
      <c r="A79" s="1" t="s">
        <v>1591</v>
      </c>
      <c r="B79" s="1" t="s">
        <v>1592</v>
      </c>
      <c r="C79" s="4">
        <v>45942.09775462963</v>
      </c>
      <c r="D79" s="5">
        <v>1.760235646E9</v>
      </c>
      <c r="E79" s="7" t="s">
        <v>1593</v>
      </c>
      <c r="F79" s="1" t="s">
        <v>1596</v>
      </c>
      <c r="G79" s="1" t="s">
        <v>1598</v>
      </c>
      <c r="H79" s="1" t="s">
        <v>1599</v>
      </c>
      <c r="I79" s="1" t="s">
        <v>1600</v>
      </c>
      <c r="J79" s="7" t="s">
        <v>1601</v>
      </c>
      <c r="K79" s="7" t="s">
        <v>1605</v>
      </c>
      <c r="L79" s="9" t="b">
        <v>0</v>
      </c>
      <c r="M79" s="1" t="s">
        <v>85</v>
      </c>
      <c r="N79" s="1" t="s">
        <v>68</v>
      </c>
      <c r="O79" s="1" t="s">
        <v>65</v>
      </c>
      <c r="P79" s="5">
        <v>0.0</v>
      </c>
      <c r="Q79" s="5">
        <v>2.0</v>
      </c>
      <c r="R79" s="5">
        <v>1.0</v>
      </c>
      <c r="S79" s="5">
        <v>0.0</v>
      </c>
      <c r="T79" s="5">
        <v>23.0</v>
      </c>
      <c r="U79" s="1" t="s">
        <v>65</v>
      </c>
      <c r="V79" s="1"/>
      <c r="W79" s="1" t="s">
        <v>65</v>
      </c>
      <c r="X79" s="1"/>
      <c r="Y79" s="1"/>
      <c r="Z79" s="1"/>
      <c r="AA79" s="1"/>
      <c r="AB79" s="1"/>
      <c r="AC79" s="1" t="s">
        <v>65</v>
      </c>
      <c r="AD79" s="1" t="s">
        <v>71</v>
      </c>
      <c r="AE79" s="1" t="s">
        <v>1609</v>
      </c>
      <c r="AF79" s="1" t="s">
        <v>65</v>
      </c>
      <c r="AG79" s="1"/>
      <c r="AH79" s="1"/>
      <c r="AI79" s="1"/>
      <c r="AJ79" s="1"/>
      <c r="AK79" s="1" t="s">
        <v>1609</v>
      </c>
      <c r="AL79" s="1"/>
      <c r="AM79" s="1"/>
      <c r="AN79" s="1"/>
    </row>
    <row r="80">
      <c r="A80" s="1" t="s">
        <v>1610</v>
      </c>
      <c r="B80" s="1" t="s">
        <v>1610</v>
      </c>
      <c r="C80" s="4">
        <v>45941.750185185185</v>
      </c>
      <c r="D80" s="5">
        <v>1.760205616E9</v>
      </c>
      <c r="E80" s="7" t="s">
        <v>1611</v>
      </c>
      <c r="F80" s="1" t="s">
        <v>1618</v>
      </c>
      <c r="G80" s="1" t="s">
        <v>1619</v>
      </c>
      <c r="H80" s="1" t="s">
        <v>1620</v>
      </c>
      <c r="I80" s="5">
        <v>3.1093614E7</v>
      </c>
      <c r="J80" s="7" t="s">
        <v>1621</v>
      </c>
      <c r="K80" s="7" t="s">
        <v>1627</v>
      </c>
      <c r="L80" s="9" t="b">
        <v>0</v>
      </c>
      <c r="M80" s="1" t="s">
        <v>829</v>
      </c>
      <c r="N80" s="1" t="s">
        <v>64</v>
      </c>
      <c r="O80" s="1" t="s">
        <v>65</v>
      </c>
      <c r="P80" s="5">
        <v>0.0</v>
      </c>
      <c r="Q80" s="5">
        <v>0.0</v>
      </c>
      <c r="R80" s="5">
        <v>0.0</v>
      </c>
      <c r="S80" s="5">
        <v>0.0</v>
      </c>
      <c r="T80" s="5">
        <v>43.0</v>
      </c>
      <c r="U80" s="1" t="s">
        <v>65</v>
      </c>
      <c r="V80" s="1"/>
      <c r="W80" s="1" t="s">
        <v>65</v>
      </c>
      <c r="X80" s="1"/>
      <c r="Y80" s="1"/>
      <c r="Z80" s="1"/>
      <c r="AA80" s="1"/>
      <c r="AB80" s="1"/>
      <c r="AC80" s="1" t="s">
        <v>65</v>
      </c>
      <c r="AD80" s="1" t="s">
        <v>65</v>
      </c>
      <c r="AE80" s="1"/>
      <c r="AF80" s="1" t="s">
        <v>65</v>
      </c>
      <c r="AG80" s="1"/>
      <c r="AH80" s="7" t="s">
        <v>1630</v>
      </c>
      <c r="AI80" s="7" t="s">
        <v>1632</v>
      </c>
      <c r="AJ80" s="1"/>
      <c r="AK80" s="1"/>
      <c r="AL80" s="1"/>
      <c r="AM80" s="1"/>
      <c r="AN80" s="1"/>
    </row>
    <row r="81" hidden="1">
      <c r="A81" s="1" t="s">
        <v>1638</v>
      </c>
      <c r="B81" s="1" t="s">
        <v>1640</v>
      </c>
      <c r="C81" s="4">
        <v>45941.72314814815</v>
      </c>
      <c r="D81" s="5">
        <v>1.76020328E9</v>
      </c>
      <c r="E81" s="7" t="s">
        <v>1642</v>
      </c>
      <c r="F81" s="1" t="s">
        <v>1645</v>
      </c>
      <c r="G81" s="1" t="s">
        <v>1646</v>
      </c>
      <c r="H81" s="1" t="s">
        <v>1647</v>
      </c>
      <c r="I81" s="5">
        <v>2.6004099E8</v>
      </c>
      <c r="J81" s="7" t="s">
        <v>1648</v>
      </c>
      <c r="K81" s="7" t="s">
        <v>1651</v>
      </c>
      <c r="L81" s="9" t="b">
        <v>0</v>
      </c>
      <c r="M81" s="1" t="s">
        <v>85</v>
      </c>
      <c r="N81" s="1" t="s">
        <v>68</v>
      </c>
      <c r="O81" s="1" t="s">
        <v>65</v>
      </c>
      <c r="P81" s="5">
        <v>0.0</v>
      </c>
      <c r="Q81" s="5">
        <v>0.0</v>
      </c>
      <c r="R81" s="5">
        <v>0.0</v>
      </c>
      <c r="S81" s="5">
        <v>0.0</v>
      </c>
      <c r="T81" s="5">
        <v>45.0</v>
      </c>
      <c r="U81" s="1" t="s">
        <v>65</v>
      </c>
      <c r="V81" s="1"/>
      <c r="W81" s="1" t="s">
        <v>65</v>
      </c>
      <c r="X81" s="1"/>
      <c r="Y81" s="1"/>
      <c r="Z81" s="1"/>
      <c r="AA81" s="1"/>
      <c r="AB81" s="1"/>
      <c r="AC81" s="1" t="s">
        <v>65</v>
      </c>
      <c r="AD81" s="1" t="s">
        <v>71</v>
      </c>
      <c r="AE81" s="1" t="s">
        <v>1646</v>
      </c>
      <c r="AF81" s="1" t="s">
        <v>65</v>
      </c>
      <c r="AG81" s="1"/>
      <c r="AH81" s="1"/>
      <c r="AI81" s="1"/>
      <c r="AJ81" s="1"/>
      <c r="AK81" s="1"/>
      <c r="AL81" s="1"/>
      <c r="AM81" s="1"/>
      <c r="AN81" s="1"/>
    </row>
    <row r="82">
      <c r="A82" s="1" t="s">
        <v>1655</v>
      </c>
      <c r="B82" s="1" t="s">
        <v>1656</v>
      </c>
      <c r="C82" s="4">
        <v>45939.16496527778</v>
      </c>
      <c r="D82" s="5">
        <v>1.759982253E9</v>
      </c>
      <c r="E82" s="7" t="s">
        <v>1657</v>
      </c>
      <c r="F82" s="1" t="s">
        <v>1659</v>
      </c>
      <c r="G82" s="1" t="s">
        <v>1660</v>
      </c>
      <c r="H82" s="1" t="s">
        <v>1662</v>
      </c>
      <c r="I82" s="1" t="s">
        <v>1663</v>
      </c>
      <c r="J82" s="7" t="s">
        <v>1665</v>
      </c>
      <c r="K82" s="7" t="s">
        <v>1668</v>
      </c>
      <c r="L82" s="9" t="b">
        <v>0</v>
      </c>
      <c r="M82" s="1" t="s">
        <v>85</v>
      </c>
      <c r="N82" s="1" t="s">
        <v>64</v>
      </c>
      <c r="O82" s="1" t="s">
        <v>65</v>
      </c>
      <c r="P82" s="5">
        <v>0.0</v>
      </c>
      <c r="Q82" s="5">
        <v>1.0</v>
      </c>
      <c r="R82" s="5">
        <v>4.0</v>
      </c>
      <c r="S82" s="5">
        <v>0.0</v>
      </c>
      <c r="T82" s="5">
        <v>153.0</v>
      </c>
      <c r="U82" s="1" t="s">
        <v>65</v>
      </c>
      <c r="V82" s="1"/>
      <c r="W82" s="1" t="s">
        <v>65</v>
      </c>
      <c r="X82" s="1"/>
      <c r="Y82" s="1"/>
      <c r="Z82" s="1"/>
      <c r="AA82" s="1"/>
      <c r="AB82" s="1"/>
      <c r="AC82" s="1" t="s">
        <v>65</v>
      </c>
      <c r="AD82" s="1" t="s">
        <v>71</v>
      </c>
      <c r="AE82" s="1" t="s">
        <v>1674</v>
      </c>
      <c r="AF82" s="1" t="s">
        <v>65</v>
      </c>
      <c r="AG82" s="1"/>
      <c r="AH82" s="1"/>
      <c r="AI82" s="1"/>
      <c r="AJ82" s="1"/>
      <c r="AK82" s="1" t="s">
        <v>1677</v>
      </c>
      <c r="AL82" s="1"/>
      <c r="AM82" s="1"/>
      <c r="AN82" s="1"/>
    </row>
    <row r="83">
      <c r="A83" s="1" t="s">
        <v>1678</v>
      </c>
      <c r="B83" s="1" t="s">
        <v>1679</v>
      </c>
      <c r="C83" s="4">
        <v>45938.975949074076</v>
      </c>
      <c r="D83" s="5">
        <v>1.759965922E9</v>
      </c>
      <c r="E83" s="7" t="s">
        <v>1681</v>
      </c>
      <c r="F83" s="1" t="s">
        <v>1683</v>
      </c>
      <c r="G83" s="1" t="s">
        <v>1685</v>
      </c>
      <c r="H83" s="1" t="s">
        <v>1687</v>
      </c>
      <c r="I83" s="1" t="s">
        <v>1689</v>
      </c>
      <c r="J83" s="7" t="s">
        <v>1692</v>
      </c>
      <c r="K83" s="7" t="s">
        <v>1695</v>
      </c>
      <c r="L83" s="9" t="b">
        <v>1</v>
      </c>
      <c r="M83" s="1" t="s">
        <v>66</v>
      </c>
      <c r="N83" s="1" t="s">
        <v>64</v>
      </c>
      <c r="O83" s="1" t="s">
        <v>65</v>
      </c>
      <c r="P83" s="5">
        <v>0.0</v>
      </c>
      <c r="Q83" s="5">
        <v>1.0</v>
      </c>
      <c r="R83" s="5">
        <v>1.0</v>
      </c>
      <c r="S83" s="5">
        <v>0.0</v>
      </c>
      <c r="T83" s="5">
        <v>16.0</v>
      </c>
      <c r="U83" s="1" t="s">
        <v>65</v>
      </c>
      <c r="V83" s="1"/>
      <c r="W83" s="1" t="s">
        <v>65</v>
      </c>
      <c r="X83" s="1"/>
      <c r="Y83" s="1"/>
      <c r="Z83" s="1"/>
      <c r="AA83" s="1"/>
      <c r="AB83" s="1"/>
      <c r="AC83" s="1" t="s">
        <v>65</v>
      </c>
      <c r="AD83" s="1" t="s">
        <v>71</v>
      </c>
      <c r="AE83" s="1" t="s">
        <v>1700</v>
      </c>
      <c r="AF83" s="1" t="s">
        <v>65</v>
      </c>
      <c r="AG83" s="1"/>
      <c r="AH83" s="1"/>
      <c r="AI83" s="1"/>
      <c r="AJ83" s="1"/>
      <c r="AK83" s="1" t="s">
        <v>1700</v>
      </c>
      <c r="AL83" s="1"/>
      <c r="AM83" s="1"/>
      <c r="AN83" s="1"/>
    </row>
    <row r="84">
      <c r="A84" s="1" t="s">
        <v>1701</v>
      </c>
      <c r="B84" s="1" t="s">
        <v>1702</v>
      </c>
      <c r="C84" s="4">
        <v>45938.37427083333</v>
      </c>
      <c r="D84" s="5">
        <v>1.759913937E9</v>
      </c>
      <c r="E84" s="7" t="s">
        <v>1703</v>
      </c>
      <c r="F84" s="1" t="s">
        <v>1709</v>
      </c>
      <c r="G84" s="1" t="s">
        <v>709</v>
      </c>
      <c r="H84" s="1" t="s">
        <v>710</v>
      </c>
      <c r="I84" s="1" t="s">
        <v>711</v>
      </c>
      <c r="J84" s="7" t="s">
        <v>712</v>
      </c>
      <c r="K84" s="7" t="s">
        <v>719</v>
      </c>
      <c r="L84" s="9" t="b">
        <v>1</v>
      </c>
      <c r="M84" s="1" t="s">
        <v>721</v>
      </c>
      <c r="N84" s="1" t="s">
        <v>64</v>
      </c>
      <c r="O84" s="1" t="s">
        <v>65</v>
      </c>
      <c r="P84" s="5">
        <v>0.0</v>
      </c>
      <c r="Q84" s="5">
        <v>2.0</v>
      </c>
      <c r="R84" s="5">
        <v>1.0</v>
      </c>
      <c r="S84" s="5">
        <v>0.0</v>
      </c>
      <c r="T84" s="5">
        <v>32.0</v>
      </c>
      <c r="U84" s="1" t="s">
        <v>65</v>
      </c>
      <c r="V84" s="1"/>
      <c r="W84" s="1" t="s">
        <v>65</v>
      </c>
      <c r="X84" s="1"/>
      <c r="Y84" s="1"/>
      <c r="Z84" s="1"/>
      <c r="AA84" s="1"/>
      <c r="AB84" s="1"/>
      <c r="AC84" s="1" t="s">
        <v>65</v>
      </c>
      <c r="AD84" s="1" t="s">
        <v>71</v>
      </c>
      <c r="AE84" s="1" t="s">
        <v>1304</v>
      </c>
      <c r="AF84" s="1" t="s">
        <v>65</v>
      </c>
      <c r="AG84" s="1"/>
      <c r="AH84" s="1"/>
      <c r="AI84" s="1"/>
      <c r="AJ84" s="1"/>
      <c r="AK84" s="1" t="s">
        <v>1304</v>
      </c>
      <c r="AL84" s="1"/>
      <c r="AM84" s="1"/>
      <c r="AN84" s="1"/>
    </row>
    <row r="85" hidden="1">
      <c r="A85" s="1" t="s">
        <v>1719</v>
      </c>
      <c r="B85" s="1" t="s">
        <v>1720</v>
      </c>
      <c r="C85" s="4">
        <v>45937.65540509259</v>
      </c>
      <c r="D85" s="5">
        <v>1.759851827E9</v>
      </c>
      <c r="E85" s="7" t="s">
        <v>1721</v>
      </c>
      <c r="F85" s="1" t="s">
        <v>1723</v>
      </c>
      <c r="G85" s="1" t="s">
        <v>1724</v>
      </c>
      <c r="H85" s="1" t="s">
        <v>1725</v>
      </c>
      <c r="I85" s="1" t="s">
        <v>1726</v>
      </c>
      <c r="J85" s="7" t="s">
        <v>1728</v>
      </c>
      <c r="K85" s="7" t="s">
        <v>1733</v>
      </c>
      <c r="L85" s="9" t="b">
        <v>0</v>
      </c>
      <c r="M85" s="1" t="s">
        <v>66</v>
      </c>
      <c r="N85" s="1" t="s">
        <v>68</v>
      </c>
      <c r="O85" s="1" t="s">
        <v>65</v>
      </c>
      <c r="P85" s="5">
        <v>0.0</v>
      </c>
      <c r="Q85" s="5">
        <v>0.0</v>
      </c>
      <c r="R85" s="5">
        <v>1.0</v>
      </c>
      <c r="S85" s="5">
        <v>0.0</v>
      </c>
      <c r="T85" s="5">
        <v>42.0</v>
      </c>
      <c r="U85" s="1" t="s">
        <v>65</v>
      </c>
      <c r="V85" s="1"/>
      <c r="W85" s="1" t="s">
        <v>65</v>
      </c>
      <c r="X85" s="1"/>
      <c r="Y85" s="1"/>
      <c r="Z85" s="1"/>
      <c r="AA85" s="1"/>
      <c r="AB85" s="1"/>
      <c r="AC85" s="1" t="s">
        <v>65</v>
      </c>
      <c r="AD85" s="1" t="s">
        <v>71</v>
      </c>
      <c r="AE85" s="1" t="s">
        <v>1740</v>
      </c>
      <c r="AF85" s="1" t="s">
        <v>65</v>
      </c>
      <c r="AG85" s="1"/>
      <c r="AH85" s="1"/>
      <c r="AI85" s="1"/>
      <c r="AJ85" s="1"/>
      <c r="AK85" s="1" t="s">
        <v>1740</v>
      </c>
      <c r="AL85" s="1"/>
      <c r="AM85" s="1"/>
      <c r="AN85" s="1"/>
    </row>
    <row r="86" hidden="1">
      <c r="A86" s="1" t="s">
        <v>1741</v>
      </c>
      <c r="B86" s="1" t="s">
        <v>1720</v>
      </c>
      <c r="C86" s="4">
        <v>45937.62451388889</v>
      </c>
      <c r="D86" s="5">
        <v>1.759849158E9</v>
      </c>
      <c r="E86" s="7" t="s">
        <v>1743</v>
      </c>
      <c r="F86" s="1" t="s">
        <v>1750</v>
      </c>
      <c r="G86" s="1" t="s">
        <v>1751</v>
      </c>
      <c r="H86" s="1" t="s">
        <v>1752</v>
      </c>
      <c r="I86" s="1" t="s">
        <v>1753</v>
      </c>
      <c r="J86" s="7" t="s">
        <v>1754</v>
      </c>
      <c r="K86" s="7" t="s">
        <v>1757</v>
      </c>
      <c r="L86" s="9" t="b">
        <v>0</v>
      </c>
      <c r="M86" s="1" t="s">
        <v>67</v>
      </c>
      <c r="N86" s="1" t="s">
        <v>68</v>
      </c>
      <c r="O86" s="1" t="s">
        <v>65</v>
      </c>
      <c r="P86" s="5">
        <v>0.0</v>
      </c>
      <c r="Q86" s="5">
        <v>1.0</v>
      </c>
      <c r="R86" s="5">
        <v>16.0</v>
      </c>
      <c r="S86" s="5">
        <v>0.0</v>
      </c>
      <c r="T86" s="5">
        <v>338.0</v>
      </c>
      <c r="U86" s="1" t="s">
        <v>65</v>
      </c>
      <c r="V86" s="1"/>
      <c r="W86" s="1" t="s">
        <v>65</v>
      </c>
      <c r="X86" s="1"/>
      <c r="Y86" s="1"/>
      <c r="Z86" s="1"/>
      <c r="AA86" s="1"/>
      <c r="AB86" s="1"/>
      <c r="AC86" s="1" t="s">
        <v>65</v>
      </c>
      <c r="AD86" s="1" t="s">
        <v>71</v>
      </c>
      <c r="AE86" s="1" t="s">
        <v>1751</v>
      </c>
      <c r="AF86" s="1" t="s">
        <v>65</v>
      </c>
      <c r="AG86" s="1"/>
      <c r="AH86" s="1"/>
      <c r="AI86" s="1"/>
      <c r="AJ86" s="1"/>
      <c r="AK86" s="1" t="s">
        <v>1740</v>
      </c>
      <c r="AL86" s="1"/>
      <c r="AM86" s="1"/>
      <c r="AN86" s="1"/>
    </row>
    <row r="87">
      <c r="A87" s="1" t="s">
        <v>1765</v>
      </c>
      <c r="B87" s="1" t="s">
        <v>1765</v>
      </c>
      <c r="C87" s="4">
        <v>45936.22313657407</v>
      </c>
      <c r="D87" s="5">
        <v>1.759728079E9</v>
      </c>
      <c r="E87" s="7" t="s">
        <v>1766</v>
      </c>
      <c r="F87" s="1" t="s">
        <v>1771</v>
      </c>
      <c r="G87" s="1" t="s">
        <v>1772</v>
      </c>
      <c r="H87" s="1" t="s">
        <v>1773</v>
      </c>
      <c r="I87" s="5">
        <v>2.187251041E9</v>
      </c>
      <c r="J87" s="7" t="s">
        <v>1774</v>
      </c>
      <c r="K87" s="7" t="s">
        <v>1777</v>
      </c>
      <c r="L87" s="9" t="b">
        <v>0</v>
      </c>
      <c r="M87" s="1" t="s">
        <v>67</v>
      </c>
      <c r="N87" s="1" t="s">
        <v>64</v>
      </c>
      <c r="O87" s="1" t="s">
        <v>65</v>
      </c>
      <c r="P87" s="5">
        <v>0.0</v>
      </c>
      <c r="Q87" s="5">
        <v>0.0</v>
      </c>
      <c r="R87" s="5">
        <v>2.0</v>
      </c>
      <c r="S87" s="5">
        <v>0.0</v>
      </c>
      <c r="T87" s="5">
        <v>41.0</v>
      </c>
      <c r="U87" s="1" t="s">
        <v>65</v>
      </c>
      <c r="V87" s="1"/>
      <c r="W87" s="1" t="s">
        <v>65</v>
      </c>
      <c r="X87" s="1"/>
      <c r="Y87" s="1"/>
      <c r="Z87" s="1"/>
      <c r="AA87" s="1"/>
      <c r="AB87" s="1"/>
      <c r="AC87" s="1" t="s">
        <v>65</v>
      </c>
      <c r="AD87" s="1" t="s">
        <v>65</v>
      </c>
      <c r="AE87" s="1"/>
      <c r="AF87" s="1" t="s">
        <v>65</v>
      </c>
      <c r="AG87" s="1"/>
      <c r="AH87" s="1"/>
      <c r="AI87" s="1"/>
      <c r="AJ87" s="1"/>
      <c r="AK87" s="1"/>
      <c r="AL87" s="1"/>
      <c r="AM87" s="1"/>
      <c r="AN87" s="1"/>
    </row>
    <row r="88">
      <c r="A88" s="1" t="s">
        <v>1781</v>
      </c>
      <c r="B88" s="1" t="s">
        <v>1781</v>
      </c>
      <c r="C88" s="4">
        <v>45936.0337037037</v>
      </c>
      <c r="D88" s="5">
        <v>1.759711712E9</v>
      </c>
      <c r="E88" s="7" t="s">
        <v>1783</v>
      </c>
      <c r="F88" s="1" t="s">
        <v>1785</v>
      </c>
      <c r="G88" s="1" t="s">
        <v>1786</v>
      </c>
      <c r="H88" s="1" t="s">
        <v>1787</v>
      </c>
      <c r="I88" s="5">
        <v>1.54403438E8</v>
      </c>
      <c r="J88" s="7" t="s">
        <v>1789</v>
      </c>
      <c r="K88" s="7" t="s">
        <v>1793</v>
      </c>
      <c r="L88" s="9" t="b">
        <v>1</v>
      </c>
      <c r="M88" s="7" t="s">
        <v>1800</v>
      </c>
      <c r="N88" s="1" t="s">
        <v>64</v>
      </c>
      <c r="O88" s="1" t="s">
        <v>65</v>
      </c>
      <c r="P88" s="5">
        <v>0.0</v>
      </c>
      <c r="Q88" s="5">
        <v>0.0</v>
      </c>
      <c r="R88" s="5">
        <v>0.0</v>
      </c>
      <c r="S88" s="5">
        <v>0.0</v>
      </c>
      <c r="T88" s="5">
        <v>279.0</v>
      </c>
      <c r="U88" s="1" t="s">
        <v>65</v>
      </c>
      <c r="V88" s="1"/>
      <c r="W88" s="1" t="s">
        <v>65</v>
      </c>
      <c r="X88" s="1"/>
      <c r="Y88" s="1"/>
      <c r="Z88" s="1"/>
      <c r="AA88" s="1"/>
      <c r="AB88" s="1"/>
      <c r="AC88" s="1" t="s">
        <v>65</v>
      </c>
      <c r="AD88" s="1" t="s">
        <v>65</v>
      </c>
      <c r="AE88" s="1"/>
      <c r="AF88" s="1" t="s">
        <v>65</v>
      </c>
      <c r="AG88" s="1" t="s">
        <v>1807</v>
      </c>
      <c r="AH88" s="1"/>
      <c r="AI88" s="7" t="s">
        <v>1808</v>
      </c>
      <c r="AJ88" s="7" t="s">
        <v>1812</v>
      </c>
      <c r="AK88" s="1"/>
      <c r="AL88" s="1"/>
      <c r="AM88" s="1"/>
      <c r="AN88" s="1"/>
    </row>
    <row r="89" hidden="1">
      <c r="A89" s="1" t="s">
        <v>1820</v>
      </c>
      <c r="B89" s="1" t="s">
        <v>1820</v>
      </c>
      <c r="C89" s="4">
        <v>45935.12918981481</v>
      </c>
      <c r="D89" s="5">
        <v>1.759633562E9</v>
      </c>
      <c r="E89" s="7" t="s">
        <v>1821</v>
      </c>
      <c r="F89" s="1" t="s">
        <v>1824</v>
      </c>
      <c r="G89" s="1" t="s">
        <v>1825</v>
      </c>
      <c r="H89" s="1" t="s">
        <v>1827</v>
      </c>
      <c r="I89" s="1" t="s">
        <v>1828</v>
      </c>
      <c r="J89" s="7" t="s">
        <v>1829</v>
      </c>
      <c r="K89" s="7" t="s">
        <v>1833</v>
      </c>
      <c r="L89" s="9" t="b">
        <v>0</v>
      </c>
      <c r="M89" s="1" t="s">
        <v>67</v>
      </c>
      <c r="N89" s="1" t="s">
        <v>68</v>
      </c>
      <c r="O89" s="1" t="s">
        <v>65</v>
      </c>
      <c r="P89" s="5">
        <v>0.0</v>
      </c>
      <c r="Q89" s="5">
        <v>0.0</v>
      </c>
      <c r="R89" s="5">
        <v>0.0</v>
      </c>
      <c r="S89" s="5">
        <v>0.0</v>
      </c>
      <c r="T89" s="5">
        <v>20.0</v>
      </c>
      <c r="U89" s="1" t="s">
        <v>65</v>
      </c>
      <c r="V89" s="1"/>
      <c r="W89" s="1" t="s">
        <v>65</v>
      </c>
      <c r="X89" s="1"/>
      <c r="Y89" s="1"/>
      <c r="Z89" s="1"/>
      <c r="AA89" s="1"/>
      <c r="AB89" s="1"/>
      <c r="AC89" s="1" t="s">
        <v>65</v>
      </c>
      <c r="AD89" s="1" t="s">
        <v>65</v>
      </c>
      <c r="AE89" s="1"/>
      <c r="AF89" s="1" t="s">
        <v>65</v>
      </c>
      <c r="AG89" s="1"/>
      <c r="AH89" s="1"/>
      <c r="AI89" s="1"/>
      <c r="AJ89" s="1"/>
      <c r="AK89" s="1"/>
      <c r="AL89" s="1"/>
      <c r="AM89" s="1"/>
      <c r="AN89" s="1"/>
    </row>
    <row r="90">
      <c r="A90" s="1" t="s">
        <v>1429</v>
      </c>
      <c r="B90" s="1" t="s">
        <v>1429</v>
      </c>
      <c r="C90" s="4">
        <v>45933.745162037034</v>
      </c>
      <c r="D90" s="5">
        <v>1.759513982E9</v>
      </c>
      <c r="E90" s="7" t="s">
        <v>1431</v>
      </c>
      <c r="F90" s="1" t="s">
        <v>1436</v>
      </c>
      <c r="G90" s="1" t="s">
        <v>1438</v>
      </c>
      <c r="H90" s="1" t="s">
        <v>1440</v>
      </c>
      <c r="I90" s="5">
        <v>3.01473763E8</v>
      </c>
      <c r="J90" s="7" t="s">
        <v>1441</v>
      </c>
      <c r="K90" s="7" t="s">
        <v>1445</v>
      </c>
      <c r="L90" s="9" t="b">
        <v>0</v>
      </c>
      <c r="M90" s="1" t="s">
        <v>66</v>
      </c>
      <c r="N90" s="1" t="s">
        <v>64</v>
      </c>
      <c r="O90" s="1" t="s">
        <v>65</v>
      </c>
      <c r="P90" s="5">
        <v>1.0</v>
      </c>
      <c r="Q90" s="5">
        <v>2.0</v>
      </c>
      <c r="R90" s="5">
        <v>14.0</v>
      </c>
      <c r="S90" s="5">
        <v>0.0</v>
      </c>
      <c r="T90" s="5">
        <v>646.0</v>
      </c>
      <c r="U90" s="1" t="s">
        <v>65</v>
      </c>
      <c r="V90" s="1"/>
      <c r="W90" s="1" t="s">
        <v>65</v>
      </c>
      <c r="X90" s="1"/>
      <c r="Y90" s="1"/>
      <c r="Z90" s="1"/>
      <c r="AA90" s="1"/>
      <c r="AB90" s="1"/>
      <c r="AC90" s="1" t="s">
        <v>65</v>
      </c>
      <c r="AD90" s="1" t="s">
        <v>65</v>
      </c>
      <c r="AE90" s="1"/>
      <c r="AF90" s="1" t="s">
        <v>65</v>
      </c>
      <c r="AG90" s="1" t="s">
        <v>1451</v>
      </c>
      <c r="AH90" s="1"/>
      <c r="AI90" s="7" t="s">
        <v>1454</v>
      </c>
      <c r="AJ90" s="1"/>
      <c r="AK90" s="1"/>
      <c r="AL90" s="1"/>
      <c r="AM90" s="1"/>
      <c r="AN90" s="1"/>
    </row>
    <row r="91" hidden="1">
      <c r="A91" s="1" t="s">
        <v>1853</v>
      </c>
      <c r="B91" s="1" t="s">
        <v>1854</v>
      </c>
      <c r="C91" s="4">
        <v>45932.753969907404</v>
      </c>
      <c r="D91" s="5">
        <v>1.759428343E9</v>
      </c>
      <c r="E91" s="7" t="s">
        <v>1855</v>
      </c>
      <c r="F91" s="1" t="s">
        <v>1858</v>
      </c>
      <c r="G91" s="1" t="s">
        <v>1859</v>
      </c>
      <c r="H91" s="1" t="s">
        <v>1860</v>
      </c>
      <c r="I91" s="1" t="s">
        <v>1861</v>
      </c>
      <c r="J91" s="7" t="s">
        <v>1862</v>
      </c>
      <c r="K91" s="7" t="s">
        <v>1870</v>
      </c>
      <c r="L91" s="9" t="b">
        <v>0</v>
      </c>
      <c r="M91" s="1" t="s">
        <v>85</v>
      </c>
      <c r="N91" s="1" t="s">
        <v>68</v>
      </c>
      <c r="O91" s="1" t="s">
        <v>65</v>
      </c>
      <c r="P91" s="5">
        <v>0.0</v>
      </c>
      <c r="Q91" s="5">
        <v>0.0</v>
      </c>
      <c r="R91" s="5">
        <v>0.0</v>
      </c>
      <c r="S91" s="5">
        <v>0.0</v>
      </c>
      <c r="T91" s="5">
        <v>18.0</v>
      </c>
      <c r="U91" s="1" t="s">
        <v>65</v>
      </c>
      <c r="V91" s="1"/>
      <c r="W91" s="1" t="s">
        <v>65</v>
      </c>
      <c r="X91" s="1"/>
      <c r="Y91" s="1"/>
      <c r="Z91" s="1"/>
      <c r="AA91" s="1"/>
      <c r="AB91" s="1"/>
      <c r="AC91" s="1" t="s">
        <v>65</v>
      </c>
      <c r="AD91" s="1" t="s">
        <v>71</v>
      </c>
      <c r="AE91" s="1" t="s">
        <v>1859</v>
      </c>
      <c r="AF91" s="1" t="s">
        <v>65</v>
      </c>
      <c r="AG91" s="1"/>
      <c r="AH91" s="1"/>
      <c r="AI91" s="1"/>
      <c r="AJ91" s="1"/>
      <c r="AK91" s="1"/>
      <c r="AL91" s="1"/>
      <c r="AM91" s="1"/>
      <c r="AN91" s="1"/>
    </row>
    <row r="92" hidden="1">
      <c r="A92" s="1" t="s">
        <v>1877</v>
      </c>
      <c r="B92" s="1" t="s">
        <v>1878</v>
      </c>
      <c r="C92" s="4">
        <v>45932.57743055555</v>
      </c>
      <c r="D92" s="5">
        <v>1.75941309E9</v>
      </c>
      <c r="E92" s="7" t="s">
        <v>1879</v>
      </c>
      <c r="F92" s="1" t="s">
        <v>1883</v>
      </c>
      <c r="G92" s="1" t="s">
        <v>1884</v>
      </c>
      <c r="H92" s="1" t="s">
        <v>1885</v>
      </c>
      <c r="I92" s="1" t="s">
        <v>1886</v>
      </c>
      <c r="J92" s="7" t="s">
        <v>1887</v>
      </c>
      <c r="K92" s="7" t="s">
        <v>1889</v>
      </c>
      <c r="L92" s="9" t="b">
        <v>0</v>
      </c>
      <c r="M92" s="1" t="s">
        <v>67</v>
      </c>
      <c r="N92" s="1" t="s">
        <v>68</v>
      </c>
      <c r="O92" s="1" t="s">
        <v>65</v>
      </c>
      <c r="P92" s="5">
        <v>0.0</v>
      </c>
      <c r="Q92" s="5">
        <v>2.0</v>
      </c>
      <c r="R92" s="5">
        <v>0.0</v>
      </c>
      <c r="S92" s="5">
        <v>0.0</v>
      </c>
      <c r="T92" s="5">
        <v>11.0</v>
      </c>
      <c r="U92" s="1" t="s">
        <v>65</v>
      </c>
      <c r="V92" s="1"/>
      <c r="W92" s="1" t="s">
        <v>65</v>
      </c>
      <c r="X92" s="1"/>
      <c r="Y92" s="1"/>
      <c r="Z92" s="1"/>
      <c r="AA92" s="1"/>
      <c r="AB92" s="1"/>
      <c r="AC92" s="1" t="s">
        <v>65</v>
      </c>
      <c r="AD92" s="1" t="s">
        <v>71</v>
      </c>
      <c r="AE92" s="1" t="s">
        <v>1896</v>
      </c>
      <c r="AF92" s="1" t="s">
        <v>65</v>
      </c>
      <c r="AG92" s="1"/>
      <c r="AH92" s="1"/>
      <c r="AI92" s="1"/>
      <c r="AJ92" s="1"/>
      <c r="AK92" s="1" t="s">
        <v>1899</v>
      </c>
      <c r="AL92" s="1"/>
      <c r="AM92" s="1"/>
      <c r="AN92" s="1"/>
    </row>
    <row r="93" hidden="1">
      <c r="A93" s="1" t="s">
        <v>1901</v>
      </c>
      <c r="B93" s="1" t="s">
        <v>1902</v>
      </c>
      <c r="C93" s="4">
        <v>45931.86519675926</v>
      </c>
      <c r="D93" s="5">
        <v>1.759351553E9</v>
      </c>
      <c r="E93" s="7" t="s">
        <v>1903</v>
      </c>
      <c r="F93" s="1" t="s">
        <v>1906</v>
      </c>
      <c r="G93" s="1" t="s">
        <v>1907</v>
      </c>
      <c r="H93" s="5" t="s">
        <v>1908</v>
      </c>
      <c r="I93" s="1" t="s">
        <v>1909</v>
      </c>
      <c r="J93" s="7" t="s">
        <v>1910</v>
      </c>
      <c r="K93" s="7" t="s">
        <v>1912</v>
      </c>
      <c r="L93" s="9" t="b">
        <v>0</v>
      </c>
      <c r="M93" s="1" t="s">
        <v>85</v>
      </c>
      <c r="N93" s="1" t="s">
        <v>68</v>
      </c>
      <c r="O93" s="1" t="s">
        <v>65</v>
      </c>
      <c r="P93" s="5">
        <v>0.0</v>
      </c>
      <c r="Q93" s="5">
        <v>0.0</v>
      </c>
      <c r="R93" s="5">
        <v>1.0</v>
      </c>
      <c r="S93" s="5">
        <v>0.0</v>
      </c>
      <c r="T93" s="5">
        <v>23.0</v>
      </c>
      <c r="U93" s="1" t="s">
        <v>65</v>
      </c>
      <c r="V93" s="1"/>
      <c r="W93" s="1" t="s">
        <v>65</v>
      </c>
      <c r="X93" s="1"/>
      <c r="Y93" s="1"/>
      <c r="Z93" s="1"/>
      <c r="AA93" s="1"/>
      <c r="AB93" s="1"/>
      <c r="AC93" s="1" t="s">
        <v>65</v>
      </c>
      <c r="AD93" s="1" t="s">
        <v>71</v>
      </c>
      <c r="AE93" s="1" t="s">
        <v>1918</v>
      </c>
      <c r="AF93" s="1" t="s">
        <v>65</v>
      </c>
      <c r="AG93" s="1"/>
      <c r="AH93" s="1"/>
      <c r="AI93" s="1"/>
      <c r="AJ93" s="1"/>
      <c r="AK93" s="1" t="s">
        <v>1918</v>
      </c>
      <c r="AL93" s="1"/>
      <c r="AM93" s="1"/>
      <c r="AN93" s="1"/>
    </row>
    <row r="94">
      <c r="A94" s="1" t="s">
        <v>1075</v>
      </c>
      <c r="B94" s="1" t="s">
        <v>1075</v>
      </c>
      <c r="C94" s="4">
        <v>45931.76055555556</v>
      </c>
      <c r="D94" s="5">
        <v>1.759342512E9</v>
      </c>
      <c r="E94" s="7" t="s">
        <v>1077</v>
      </c>
      <c r="F94" s="1" t="s">
        <v>1082</v>
      </c>
      <c r="G94" s="1" t="s">
        <v>864</v>
      </c>
      <c r="H94" s="1" t="s">
        <v>865</v>
      </c>
      <c r="I94" s="5">
        <v>2.825615947E9</v>
      </c>
      <c r="J94" s="7" t="s">
        <v>866</v>
      </c>
      <c r="K94" s="7" t="s">
        <v>870</v>
      </c>
      <c r="L94" s="9" t="b">
        <v>1</v>
      </c>
      <c r="M94" s="1" t="s">
        <v>66</v>
      </c>
      <c r="N94" s="1" t="s">
        <v>64</v>
      </c>
      <c r="O94" s="1" t="s">
        <v>65</v>
      </c>
      <c r="P94" s="5">
        <v>1.0</v>
      </c>
      <c r="Q94" s="5">
        <v>0.0</v>
      </c>
      <c r="R94" s="5">
        <v>10.0</v>
      </c>
      <c r="S94" s="5">
        <v>0.0</v>
      </c>
      <c r="T94" s="5">
        <v>778.0</v>
      </c>
      <c r="U94" s="1" t="s">
        <v>65</v>
      </c>
      <c r="V94" s="1"/>
      <c r="W94" s="1" t="s">
        <v>65</v>
      </c>
      <c r="X94" s="1"/>
      <c r="Y94" s="1"/>
      <c r="Z94" s="1"/>
      <c r="AA94" s="1"/>
      <c r="AB94" s="1"/>
      <c r="AC94" s="1" t="s">
        <v>65</v>
      </c>
      <c r="AD94" s="1" t="s">
        <v>65</v>
      </c>
      <c r="AE94" s="1"/>
      <c r="AF94" s="1" t="s">
        <v>65</v>
      </c>
      <c r="AG94" s="1" t="s">
        <v>1085</v>
      </c>
      <c r="AH94" s="1"/>
      <c r="AI94" s="7" t="s">
        <v>1086</v>
      </c>
      <c r="AJ94" s="7" t="s">
        <v>1093</v>
      </c>
      <c r="AK94" s="1"/>
      <c r="AL94" s="1"/>
      <c r="AM94" s="1"/>
      <c r="AN94" s="1"/>
    </row>
    <row r="95">
      <c r="A95" s="1" t="s">
        <v>1933</v>
      </c>
      <c r="B95" s="1" t="s">
        <v>1933</v>
      </c>
      <c r="C95" s="4">
        <v>45931.052928240744</v>
      </c>
      <c r="D95" s="5">
        <v>1.759281373E9</v>
      </c>
      <c r="E95" s="7" t="s">
        <v>1935</v>
      </c>
      <c r="F95" s="1" t="s">
        <v>1937</v>
      </c>
      <c r="G95" s="1" t="s">
        <v>1938</v>
      </c>
      <c r="H95" s="1" t="s">
        <v>1939</v>
      </c>
      <c r="I95" s="1" t="s">
        <v>1940</v>
      </c>
      <c r="J95" s="7" t="s">
        <v>1942</v>
      </c>
      <c r="K95" s="7" t="s">
        <v>1945</v>
      </c>
      <c r="L95" s="9" t="b">
        <v>0</v>
      </c>
      <c r="M95" s="1" t="s">
        <v>66</v>
      </c>
      <c r="N95" s="1" t="s">
        <v>64</v>
      </c>
      <c r="O95" s="1" t="s">
        <v>65</v>
      </c>
      <c r="P95" s="5">
        <v>0.0</v>
      </c>
      <c r="Q95" s="5">
        <v>0.0</v>
      </c>
      <c r="R95" s="5">
        <v>0.0</v>
      </c>
      <c r="S95" s="5">
        <v>0.0</v>
      </c>
      <c r="T95" s="5">
        <v>65.0</v>
      </c>
      <c r="U95" s="1" t="s">
        <v>65</v>
      </c>
      <c r="V95" s="1"/>
      <c r="W95" s="1" t="s">
        <v>71</v>
      </c>
      <c r="X95" s="1" t="s">
        <v>1952</v>
      </c>
      <c r="Y95" s="1" t="s">
        <v>1953</v>
      </c>
      <c r="Z95" s="1" t="s">
        <v>1954</v>
      </c>
      <c r="AA95" s="1"/>
      <c r="AB95" s="7" t="s">
        <v>1955</v>
      </c>
      <c r="AC95" s="1" t="s">
        <v>65</v>
      </c>
      <c r="AD95" s="1" t="s">
        <v>65</v>
      </c>
      <c r="AE95" s="1"/>
      <c r="AF95" s="1" t="s">
        <v>65</v>
      </c>
      <c r="AG95" s="1"/>
      <c r="AH95" s="1"/>
      <c r="AI95" s="1"/>
      <c r="AJ95" s="1"/>
      <c r="AK95" s="1"/>
      <c r="AL95" s="1"/>
      <c r="AM95" s="1"/>
      <c r="AN95" s="1"/>
    </row>
    <row r="96">
      <c r="A96" s="1" t="s">
        <v>209</v>
      </c>
      <c r="B96" s="1" t="s">
        <v>209</v>
      </c>
      <c r="C96" s="4">
        <v>45929.71771990741</v>
      </c>
      <c r="D96" s="5">
        <v>1.759166011E9</v>
      </c>
      <c r="E96" s="7" t="s">
        <v>210</v>
      </c>
      <c r="F96" s="1" t="s">
        <v>218</v>
      </c>
      <c r="G96" s="1" t="s">
        <v>219</v>
      </c>
      <c r="H96" s="1" t="s">
        <v>221</v>
      </c>
      <c r="I96" s="1" t="s">
        <v>222</v>
      </c>
      <c r="J96" s="7" t="s">
        <v>223</v>
      </c>
      <c r="K96" s="7" t="s">
        <v>226</v>
      </c>
      <c r="L96" s="9" t="b">
        <v>0</v>
      </c>
      <c r="M96" s="1" t="s">
        <v>67</v>
      </c>
      <c r="N96" s="1" t="s">
        <v>64</v>
      </c>
      <c r="O96" s="1" t="s">
        <v>65</v>
      </c>
      <c r="P96" s="5">
        <v>1.0</v>
      </c>
      <c r="Q96" s="5">
        <v>0.0</v>
      </c>
      <c r="R96" s="5">
        <v>1.0</v>
      </c>
      <c r="S96" s="5">
        <v>0.0</v>
      </c>
      <c r="T96" s="5">
        <v>17.0</v>
      </c>
      <c r="U96" s="1" t="s">
        <v>65</v>
      </c>
      <c r="V96" s="1"/>
      <c r="W96" s="1" t="s">
        <v>65</v>
      </c>
      <c r="X96" s="1"/>
      <c r="Y96" s="1"/>
      <c r="Z96" s="1"/>
      <c r="AA96" s="1"/>
      <c r="AB96" s="1"/>
      <c r="AC96" s="1" t="s">
        <v>65</v>
      </c>
      <c r="AD96" s="1" t="s">
        <v>65</v>
      </c>
      <c r="AE96" s="1"/>
      <c r="AF96" s="1" t="s">
        <v>65</v>
      </c>
      <c r="AG96" s="1" t="s">
        <v>236</v>
      </c>
      <c r="AH96" s="1"/>
      <c r="AI96" s="7" t="s">
        <v>237</v>
      </c>
      <c r="AJ96" s="1"/>
      <c r="AK96" s="1"/>
      <c r="AL96" s="1"/>
      <c r="AM96" s="1"/>
      <c r="AN96" s="1"/>
    </row>
    <row r="97">
      <c r="A97" s="1" t="s">
        <v>1099</v>
      </c>
      <c r="B97" s="1" t="s">
        <v>1099</v>
      </c>
      <c r="C97" s="4">
        <v>45929.05297453704</v>
      </c>
      <c r="D97" s="5">
        <v>1.759108577E9</v>
      </c>
      <c r="E97" s="7" t="s">
        <v>1101</v>
      </c>
      <c r="F97" s="1" t="s">
        <v>1107</v>
      </c>
      <c r="G97" s="1" t="s">
        <v>864</v>
      </c>
      <c r="H97" s="1" t="s">
        <v>865</v>
      </c>
      <c r="I97" s="5">
        <v>2.825615947E9</v>
      </c>
      <c r="J97" s="7" t="s">
        <v>866</v>
      </c>
      <c r="K97" s="7" t="s">
        <v>870</v>
      </c>
      <c r="L97" s="9" t="b">
        <v>1</v>
      </c>
      <c r="M97" s="1" t="s">
        <v>66</v>
      </c>
      <c r="N97" s="1" t="s">
        <v>64</v>
      </c>
      <c r="O97" s="1" t="s">
        <v>65</v>
      </c>
      <c r="P97" s="5">
        <v>3.0</v>
      </c>
      <c r="Q97" s="5">
        <v>2.0</v>
      </c>
      <c r="R97" s="5">
        <v>19.0</v>
      </c>
      <c r="S97" s="5">
        <v>0.0</v>
      </c>
      <c r="T97" s="5">
        <v>623.0</v>
      </c>
      <c r="U97" s="1" t="s">
        <v>65</v>
      </c>
      <c r="V97" s="1"/>
      <c r="W97" s="1" t="s">
        <v>65</v>
      </c>
      <c r="X97" s="1"/>
      <c r="Y97" s="1"/>
      <c r="Z97" s="1"/>
      <c r="AA97" s="1"/>
      <c r="AB97" s="1"/>
      <c r="AC97" s="1" t="s">
        <v>65</v>
      </c>
      <c r="AD97" s="1" t="s">
        <v>65</v>
      </c>
      <c r="AE97" s="1"/>
      <c r="AF97" s="1" t="s">
        <v>65</v>
      </c>
      <c r="AG97" s="1" t="s">
        <v>1112</v>
      </c>
      <c r="AH97" s="1"/>
      <c r="AI97" s="7" t="s">
        <v>1113</v>
      </c>
      <c r="AJ97" s="7" t="s">
        <v>1115</v>
      </c>
      <c r="AK97" s="1"/>
      <c r="AL97" s="1"/>
      <c r="AM97" s="1"/>
      <c r="AN97" s="1"/>
    </row>
    <row r="98">
      <c r="A98" s="1" t="s">
        <v>1839</v>
      </c>
      <c r="B98" s="1" t="s">
        <v>1839</v>
      </c>
      <c r="C98" s="4">
        <v>45925.876493055555</v>
      </c>
      <c r="D98" s="5">
        <v>1.758834129E9</v>
      </c>
      <c r="E98" s="7" t="s">
        <v>1840</v>
      </c>
      <c r="F98" s="1" t="s">
        <v>1842</v>
      </c>
      <c r="G98" s="1" t="s">
        <v>1843</v>
      </c>
      <c r="H98" s="1" t="s">
        <v>1844</v>
      </c>
      <c r="I98" s="1" t="s">
        <v>1845</v>
      </c>
      <c r="J98" s="7" t="s">
        <v>1846</v>
      </c>
      <c r="K98" s="7" t="s">
        <v>1848</v>
      </c>
      <c r="L98" s="9" t="b">
        <v>0</v>
      </c>
      <c r="M98" s="1" t="s">
        <v>67</v>
      </c>
      <c r="N98" s="1" t="s">
        <v>64</v>
      </c>
      <c r="O98" s="1" t="s">
        <v>65</v>
      </c>
      <c r="P98" s="5">
        <v>0.0</v>
      </c>
      <c r="Q98" s="5">
        <v>7.0</v>
      </c>
      <c r="R98" s="5">
        <v>18.0</v>
      </c>
      <c r="S98" s="5">
        <v>0.0</v>
      </c>
      <c r="T98" s="5">
        <v>568.0</v>
      </c>
      <c r="U98" s="1" t="s">
        <v>65</v>
      </c>
      <c r="V98" s="1"/>
      <c r="W98" s="1" t="s">
        <v>65</v>
      </c>
      <c r="X98" s="1"/>
      <c r="Y98" s="1"/>
      <c r="Z98" s="1"/>
      <c r="AA98" s="1"/>
      <c r="AB98" s="1"/>
      <c r="AC98" s="1" t="s">
        <v>65</v>
      </c>
      <c r="AD98" s="1" t="s">
        <v>65</v>
      </c>
      <c r="AE98" s="1"/>
      <c r="AF98" s="1" t="s">
        <v>65</v>
      </c>
      <c r="AG98" s="1"/>
      <c r="AH98" s="1"/>
      <c r="AI98" s="1"/>
      <c r="AJ98" s="1"/>
      <c r="AK98" s="1"/>
      <c r="AL98" s="1"/>
      <c r="AM98" s="1"/>
      <c r="AN98" s="1"/>
    </row>
    <row r="99" hidden="1">
      <c r="A99" s="1" t="s">
        <v>1986</v>
      </c>
      <c r="B99" s="1" t="s">
        <v>1986</v>
      </c>
      <c r="C99" s="4">
        <v>45925.86787037037</v>
      </c>
      <c r="D99" s="5">
        <v>1.758833384E9</v>
      </c>
      <c r="E99" s="7" t="s">
        <v>1987</v>
      </c>
      <c r="F99" s="1" t="s">
        <v>1991</v>
      </c>
      <c r="G99" s="1" t="s">
        <v>1992</v>
      </c>
      <c r="H99" s="1" t="s">
        <v>1993</v>
      </c>
      <c r="I99" s="1" t="s">
        <v>1994</v>
      </c>
      <c r="J99" s="7" t="s">
        <v>1995</v>
      </c>
      <c r="K99" s="7" t="s">
        <v>2004</v>
      </c>
      <c r="L99" s="9" t="b">
        <v>0</v>
      </c>
      <c r="M99" s="1" t="s">
        <v>66</v>
      </c>
      <c r="N99" s="1" t="s">
        <v>68</v>
      </c>
      <c r="O99" s="1" t="s">
        <v>65</v>
      </c>
      <c r="P99" s="5">
        <v>2.0</v>
      </c>
      <c r="Q99" s="5">
        <v>0.0</v>
      </c>
      <c r="R99" s="5">
        <v>3.0</v>
      </c>
      <c r="S99" s="5">
        <v>0.0</v>
      </c>
      <c r="T99" s="5">
        <v>173.0</v>
      </c>
      <c r="U99" s="1" t="s">
        <v>65</v>
      </c>
      <c r="V99" s="1"/>
      <c r="W99" s="1" t="s">
        <v>71</v>
      </c>
      <c r="X99" s="1" t="s">
        <v>2007</v>
      </c>
      <c r="Y99" s="1" t="s">
        <v>2008</v>
      </c>
      <c r="Z99" s="1" t="s">
        <v>2009</v>
      </c>
      <c r="AA99" s="1"/>
      <c r="AB99" s="7" t="s">
        <v>2010</v>
      </c>
      <c r="AC99" s="1" t="s">
        <v>65</v>
      </c>
      <c r="AD99" s="1" t="s">
        <v>65</v>
      </c>
      <c r="AE99" s="1"/>
      <c r="AF99" s="1" t="s">
        <v>65</v>
      </c>
      <c r="AG99" s="1"/>
      <c r="AH99" s="1"/>
      <c r="AI99" s="1"/>
      <c r="AJ99" s="1"/>
      <c r="AK99" s="1"/>
      <c r="AL99" s="1"/>
      <c r="AM99" s="1"/>
      <c r="AN99" s="1"/>
    </row>
    <row r="100">
      <c r="A100" s="1" t="s">
        <v>1123</v>
      </c>
      <c r="B100" s="1" t="s">
        <v>1123</v>
      </c>
      <c r="C100" s="4">
        <v>45925.777233796296</v>
      </c>
      <c r="D100" s="5">
        <v>1.758825553E9</v>
      </c>
      <c r="E100" s="7" t="s">
        <v>1125</v>
      </c>
      <c r="F100" s="1" t="s">
        <v>1127</v>
      </c>
      <c r="G100" s="1" t="s">
        <v>1128</v>
      </c>
      <c r="H100" s="1" t="s">
        <v>1129</v>
      </c>
      <c r="I100" s="1" t="s">
        <v>1131</v>
      </c>
      <c r="J100" s="7" t="s">
        <v>1132</v>
      </c>
      <c r="K100" s="7" t="s">
        <v>1135</v>
      </c>
      <c r="L100" s="9" t="b">
        <v>0</v>
      </c>
      <c r="M100" s="1" t="s">
        <v>66</v>
      </c>
      <c r="N100" s="1" t="s">
        <v>64</v>
      </c>
      <c r="O100" s="1" t="s">
        <v>65</v>
      </c>
      <c r="P100" s="5">
        <v>1.0</v>
      </c>
      <c r="Q100" s="5">
        <v>0.0</v>
      </c>
      <c r="R100" s="5">
        <v>30.0</v>
      </c>
      <c r="S100" s="5">
        <v>1.0</v>
      </c>
      <c r="T100" s="5">
        <v>1152.0</v>
      </c>
      <c r="U100" s="1" t="s">
        <v>65</v>
      </c>
      <c r="V100" s="1"/>
      <c r="W100" s="1" t="s">
        <v>65</v>
      </c>
      <c r="X100" s="1"/>
      <c r="Y100" s="1"/>
      <c r="Z100" s="1"/>
      <c r="AA100" s="1"/>
      <c r="AB100" s="1"/>
      <c r="AC100" s="1" t="s">
        <v>65</v>
      </c>
      <c r="AD100" s="1" t="s">
        <v>65</v>
      </c>
      <c r="AE100" s="1"/>
      <c r="AF100" s="1" t="s">
        <v>65</v>
      </c>
      <c r="AG100" s="1"/>
      <c r="AH100" s="1"/>
      <c r="AI100" s="1"/>
      <c r="AJ100" s="1"/>
      <c r="AK100" s="1"/>
      <c r="AL100" s="1"/>
      <c r="AM100" s="1"/>
      <c r="AN100" s="1"/>
    </row>
    <row r="101" hidden="1">
      <c r="A101" s="1" t="s">
        <v>412</v>
      </c>
      <c r="B101" s="1" t="s">
        <v>412</v>
      </c>
      <c r="C101" s="4">
        <v>45925.5077662037</v>
      </c>
      <c r="D101" s="5">
        <v>1.758802271E9</v>
      </c>
      <c r="E101" s="7" t="s">
        <v>413</v>
      </c>
      <c r="F101" s="1" t="s">
        <v>417</v>
      </c>
      <c r="G101" s="1" t="s">
        <v>418</v>
      </c>
      <c r="H101" s="1" t="s">
        <v>419</v>
      </c>
      <c r="I101" s="5">
        <v>2.8673574E7</v>
      </c>
      <c r="J101" s="7" t="s">
        <v>420</v>
      </c>
      <c r="K101" s="7" t="s">
        <v>423</v>
      </c>
      <c r="L101" s="9" t="b">
        <v>1</v>
      </c>
      <c r="M101" s="1" t="s">
        <v>427</v>
      </c>
      <c r="N101" s="1" t="s">
        <v>68</v>
      </c>
      <c r="O101" s="1" t="s">
        <v>65</v>
      </c>
      <c r="P101" s="5">
        <v>0.0</v>
      </c>
      <c r="Q101" s="5">
        <v>1.0</v>
      </c>
      <c r="R101" s="5">
        <v>0.0</v>
      </c>
      <c r="S101" s="5">
        <v>0.0</v>
      </c>
      <c r="T101" s="5">
        <v>19.0</v>
      </c>
      <c r="U101" s="1" t="s">
        <v>65</v>
      </c>
      <c r="V101" s="1"/>
      <c r="W101" s="1" t="s">
        <v>65</v>
      </c>
      <c r="X101" s="1"/>
      <c r="Y101" s="1"/>
      <c r="Z101" s="1"/>
      <c r="AA101" s="1"/>
      <c r="AB101" s="1"/>
      <c r="AC101" s="1" t="s">
        <v>65</v>
      </c>
      <c r="AD101" s="1" t="s">
        <v>65</v>
      </c>
      <c r="AE101" s="1"/>
      <c r="AF101" s="1" t="s">
        <v>65</v>
      </c>
      <c r="AG101" s="1" t="s">
        <v>429</v>
      </c>
      <c r="AH101" s="1"/>
      <c r="AI101" s="7" t="s">
        <v>431</v>
      </c>
      <c r="AJ101" s="7" t="s">
        <v>438</v>
      </c>
      <c r="AK101" s="1"/>
      <c r="AL101" s="1"/>
      <c r="AM101" s="1"/>
      <c r="AN101" s="1"/>
    </row>
    <row r="102" hidden="1">
      <c r="A102" s="1" t="s">
        <v>2035</v>
      </c>
      <c r="B102" s="1" t="s">
        <v>2035</v>
      </c>
      <c r="C102" s="4">
        <v>45924.871203703704</v>
      </c>
      <c r="D102" s="5">
        <v>1.758747272E9</v>
      </c>
      <c r="E102" s="7" t="s">
        <v>2036</v>
      </c>
      <c r="F102" s="1" t="s">
        <v>2043</v>
      </c>
      <c r="G102" s="1" t="s">
        <v>1150</v>
      </c>
      <c r="H102" s="1" t="s">
        <v>1151</v>
      </c>
      <c r="I102" s="1" t="s">
        <v>1152</v>
      </c>
      <c r="J102" s="7" t="s">
        <v>1153</v>
      </c>
      <c r="K102" s="1"/>
      <c r="L102" s="9" t="b">
        <v>0</v>
      </c>
      <c r="M102" s="1" t="s">
        <v>85</v>
      </c>
      <c r="N102" s="1" t="s">
        <v>68</v>
      </c>
      <c r="O102" s="1" t="s">
        <v>65</v>
      </c>
      <c r="P102" s="5">
        <v>0.0</v>
      </c>
      <c r="Q102" s="5">
        <v>0.0</v>
      </c>
      <c r="R102" s="5">
        <v>0.0</v>
      </c>
      <c r="S102" s="5">
        <v>0.0</v>
      </c>
      <c r="T102" s="5">
        <v>17.0</v>
      </c>
      <c r="U102" s="1" t="s">
        <v>65</v>
      </c>
      <c r="V102" s="1"/>
      <c r="W102" s="1" t="s">
        <v>65</v>
      </c>
      <c r="X102" s="1"/>
      <c r="Y102" s="1"/>
      <c r="Z102" s="1"/>
      <c r="AA102" s="1"/>
      <c r="AB102" s="1"/>
      <c r="AC102" s="1" t="s">
        <v>65</v>
      </c>
      <c r="AD102" s="1" t="s">
        <v>65</v>
      </c>
      <c r="AE102" s="1"/>
      <c r="AF102" s="1" t="s">
        <v>65</v>
      </c>
      <c r="AG102" s="1"/>
      <c r="AH102" s="1"/>
      <c r="AI102" s="1"/>
      <c r="AJ102" s="1"/>
      <c r="AK102" s="1"/>
      <c r="AL102" s="1"/>
      <c r="AM102" s="1"/>
      <c r="AN102" s="1"/>
    </row>
    <row r="103">
      <c r="A103" s="1" t="s">
        <v>2045</v>
      </c>
      <c r="B103" s="1" t="s">
        <v>2047</v>
      </c>
      <c r="C103" s="4">
        <v>45924.69155092593</v>
      </c>
      <c r="D103" s="5">
        <v>1.75873175E9</v>
      </c>
      <c r="E103" s="7" t="s">
        <v>2048</v>
      </c>
      <c r="F103" s="1" t="s">
        <v>2050</v>
      </c>
      <c r="G103" s="1" t="s">
        <v>2052</v>
      </c>
      <c r="H103" s="1" t="s">
        <v>2054</v>
      </c>
      <c r="I103" s="5">
        <v>2.40348628E8</v>
      </c>
      <c r="J103" s="7" t="s">
        <v>2056</v>
      </c>
      <c r="K103" s="1"/>
      <c r="L103" s="9" t="b">
        <v>0</v>
      </c>
      <c r="M103" s="1" t="s">
        <v>85</v>
      </c>
      <c r="N103" s="1" t="s">
        <v>64</v>
      </c>
      <c r="O103" s="1" t="s">
        <v>65</v>
      </c>
      <c r="P103" s="5">
        <v>0.0</v>
      </c>
      <c r="Q103" s="5">
        <v>1.0</v>
      </c>
      <c r="R103" s="5">
        <v>3.0</v>
      </c>
      <c r="S103" s="5">
        <v>0.0</v>
      </c>
      <c r="T103" s="5">
        <v>138.0</v>
      </c>
      <c r="U103" s="1" t="s">
        <v>65</v>
      </c>
      <c r="V103" s="1"/>
      <c r="W103" s="1" t="s">
        <v>65</v>
      </c>
      <c r="X103" s="1"/>
      <c r="Y103" s="1"/>
      <c r="Z103" s="1"/>
      <c r="AA103" s="1"/>
      <c r="AB103" s="1"/>
      <c r="AC103" s="1" t="s">
        <v>65</v>
      </c>
      <c r="AD103" s="1" t="s">
        <v>71</v>
      </c>
      <c r="AE103" s="1" t="s">
        <v>2059</v>
      </c>
      <c r="AF103" s="1" t="s">
        <v>65</v>
      </c>
      <c r="AG103" s="1"/>
      <c r="AH103" s="1"/>
      <c r="AI103" s="1"/>
      <c r="AJ103" s="1"/>
      <c r="AK103" s="1" t="s">
        <v>2060</v>
      </c>
      <c r="AL103" s="1"/>
      <c r="AM103" s="1"/>
      <c r="AN103" s="1"/>
    </row>
    <row r="104">
      <c r="A104" s="1" t="s">
        <v>2063</v>
      </c>
      <c r="B104" s="1" t="s">
        <v>2063</v>
      </c>
      <c r="C104" s="4">
        <v>45923.66365740741</v>
      </c>
      <c r="D104" s="5">
        <v>1.75864294E9</v>
      </c>
      <c r="E104" s="7" t="s">
        <v>2066</v>
      </c>
      <c r="F104" s="1" t="s">
        <v>2067</v>
      </c>
      <c r="G104" s="1" t="s">
        <v>2068</v>
      </c>
      <c r="H104" s="1" t="s">
        <v>2070</v>
      </c>
      <c r="I104" s="5">
        <v>3.309116567E9</v>
      </c>
      <c r="J104" s="7" t="s">
        <v>2071</v>
      </c>
      <c r="K104" s="7" t="s">
        <v>2072</v>
      </c>
      <c r="L104" s="9" t="b">
        <v>0</v>
      </c>
      <c r="M104" s="1" t="s">
        <v>2076</v>
      </c>
      <c r="N104" s="1" t="s">
        <v>64</v>
      </c>
      <c r="O104" s="1" t="s">
        <v>65</v>
      </c>
      <c r="P104" s="5">
        <v>0.0</v>
      </c>
      <c r="Q104" s="5">
        <v>0.0</v>
      </c>
      <c r="R104" s="5">
        <v>1.0</v>
      </c>
      <c r="S104" s="5">
        <v>0.0</v>
      </c>
      <c r="T104" s="5">
        <v>1512.0</v>
      </c>
      <c r="U104" s="1" t="s">
        <v>65</v>
      </c>
      <c r="V104" s="1"/>
      <c r="W104" s="1" t="s">
        <v>65</v>
      </c>
      <c r="X104" s="1"/>
      <c r="Y104" s="1"/>
      <c r="Z104" s="1"/>
      <c r="AA104" s="1"/>
      <c r="AB104" s="1"/>
      <c r="AC104" s="1" t="s">
        <v>65</v>
      </c>
      <c r="AD104" s="1" t="s">
        <v>65</v>
      </c>
      <c r="AE104" s="1"/>
      <c r="AF104" s="1" t="s">
        <v>65</v>
      </c>
      <c r="AG104" s="1"/>
      <c r="AH104" s="7" t="s">
        <v>2079</v>
      </c>
      <c r="AI104" s="1"/>
      <c r="AJ104" s="1"/>
      <c r="AK104" s="1"/>
      <c r="AL104" s="1"/>
      <c r="AM104" s="1"/>
      <c r="AN104" s="1"/>
    </row>
    <row r="105">
      <c r="A105" s="1" t="s">
        <v>2084</v>
      </c>
      <c r="B105" s="1" t="s">
        <v>2084</v>
      </c>
      <c r="C105" s="4">
        <v>45923.66365740741</v>
      </c>
      <c r="D105" s="5">
        <v>1.75864294E9</v>
      </c>
      <c r="E105" s="7" t="s">
        <v>2085</v>
      </c>
      <c r="F105" s="1" t="s">
        <v>2088</v>
      </c>
      <c r="G105" s="1" t="s">
        <v>2089</v>
      </c>
      <c r="H105" s="1" t="s">
        <v>2090</v>
      </c>
      <c r="I105" s="5">
        <v>2.45809028E8</v>
      </c>
      <c r="J105" s="7" t="s">
        <v>2091</v>
      </c>
      <c r="K105" s="7" t="s">
        <v>2093</v>
      </c>
      <c r="L105" s="9" t="b">
        <v>0</v>
      </c>
      <c r="M105" s="1" t="s">
        <v>2076</v>
      </c>
      <c r="N105" s="1" t="s">
        <v>64</v>
      </c>
      <c r="O105" s="1" t="s">
        <v>65</v>
      </c>
      <c r="P105" s="5">
        <v>0.0</v>
      </c>
      <c r="Q105" s="5">
        <v>0.0</v>
      </c>
      <c r="R105" s="5">
        <v>0.0</v>
      </c>
      <c r="S105" s="5">
        <v>0.0</v>
      </c>
      <c r="T105" s="5">
        <v>226.0</v>
      </c>
      <c r="U105" s="1" t="s">
        <v>65</v>
      </c>
      <c r="V105" s="1"/>
      <c r="W105" s="1" t="s">
        <v>65</v>
      </c>
      <c r="X105" s="1"/>
      <c r="Y105" s="1"/>
      <c r="Z105" s="1"/>
      <c r="AA105" s="1"/>
      <c r="AB105" s="1"/>
      <c r="AC105" s="1" t="s">
        <v>65</v>
      </c>
      <c r="AD105" s="1" t="s">
        <v>65</v>
      </c>
      <c r="AE105" s="1"/>
      <c r="AF105" s="1" t="s">
        <v>65</v>
      </c>
      <c r="AG105" s="1"/>
      <c r="AH105" s="7" t="s">
        <v>2098</v>
      </c>
      <c r="AI105" s="1"/>
      <c r="AJ105" s="1"/>
      <c r="AK105" s="1"/>
      <c r="AL105" s="1"/>
      <c r="AM105" s="1"/>
      <c r="AN105" s="1"/>
    </row>
    <row r="106">
      <c r="A106" s="1" t="s">
        <v>2101</v>
      </c>
      <c r="B106" s="1" t="s">
        <v>2101</v>
      </c>
      <c r="C106" s="4">
        <v>45923.66365740741</v>
      </c>
      <c r="D106" s="5">
        <v>1.75864294E9</v>
      </c>
      <c r="E106" s="7" t="s">
        <v>2102</v>
      </c>
      <c r="F106" s="1" t="s">
        <v>2109</v>
      </c>
      <c r="G106" s="1" t="s">
        <v>2110</v>
      </c>
      <c r="H106" s="1" t="s">
        <v>2111</v>
      </c>
      <c r="I106" s="5">
        <v>1.87948082E8</v>
      </c>
      <c r="J106" s="7" t="s">
        <v>2112</v>
      </c>
      <c r="K106" s="7" t="s">
        <v>2115</v>
      </c>
      <c r="L106" s="9" t="b">
        <v>0</v>
      </c>
      <c r="M106" s="1" t="s">
        <v>2076</v>
      </c>
      <c r="N106" s="1" t="s">
        <v>64</v>
      </c>
      <c r="O106" s="1" t="s">
        <v>65</v>
      </c>
      <c r="P106" s="5">
        <v>0.0</v>
      </c>
      <c r="Q106" s="5">
        <v>0.0</v>
      </c>
      <c r="R106" s="5">
        <v>0.0</v>
      </c>
      <c r="S106" s="5">
        <v>0.0</v>
      </c>
      <c r="T106" s="5">
        <v>46.0</v>
      </c>
      <c r="U106" s="1" t="s">
        <v>65</v>
      </c>
      <c r="V106" s="1"/>
      <c r="W106" s="1" t="s">
        <v>65</v>
      </c>
      <c r="X106" s="1"/>
      <c r="Y106" s="1"/>
      <c r="Z106" s="1"/>
      <c r="AA106" s="1"/>
      <c r="AB106" s="1"/>
      <c r="AC106" s="1" t="s">
        <v>65</v>
      </c>
      <c r="AD106" s="1" t="s">
        <v>65</v>
      </c>
      <c r="AE106" s="1"/>
      <c r="AF106" s="1" t="s">
        <v>65</v>
      </c>
      <c r="AG106" s="1"/>
      <c r="AH106" s="7" t="s">
        <v>2121</v>
      </c>
      <c r="AI106" s="1"/>
      <c r="AJ106" s="1"/>
      <c r="AK106" s="1"/>
      <c r="AL106" s="1"/>
      <c r="AM106" s="1"/>
      <c r="AN106" s="1"/>
    </row>
    <row r="107">
      <c r="A107" s="1" t="s">
        <v>2124</v>
      </c>
      <c r="B107" s="1" t="s">
        <v>2124</v>
      </c>
      <c r="C107" s="4">
        <v>45923.66365740741</v>
      </c>
      <c r="D107" s="5">
        <v>1.75864294E9</v>
      </c>
      <c r="E107" s="7" t="s">
        <v>2128</v>
      </c>
      <c r="F107" s="1" t="s">
        <v>2130</v>
      </c>
      <c r="G107" s="1" t="s">
        <v>2131</v>
      </c>
      <c r="H107" s="1" t="s">
        <v>2132</v>
      </c>
      <c r="I107" s="1" t="s">
        <v>2133</v>
      </c>
      <c r="J107" s="7" t="s">
        <v>2134</v>
      </c>
      <c r="K107" s="7" t="s">
        <v>2139</v>
      </c>
      <c r="L107" s="9" t="b">
        <v>0</v>
      </c>
      <c r="M107" s="1" t="s">
        <v>2076</v>
      </c>
      <c r="N107" s="1" t="s">
        <v>64</v>
      </c>
      <c r="O107" s="1" t="s">
        <v>65</v>
      </c>
      <c r="P107" s="5">
        <v>0.0</v>
      </c>
      <c r="Q107" s="5">
        <v>0.0</v>
      </c>
      <c r="R107" s="5">
        <v>0.0</v>
      </c>
      <c r="S107" s="5">
        <v>0.0</v>
      </c>
      <c r="T107" s="5">
        <v>44.0</v>
      </c>
      <c r="U107" s="1" t="s">
        <v>65</v>
      </c>
      <c r="V107" s="1"/>
      <c r="W107" s="1" t="s">
        <v>65</v>
      </c>
      <c r="X107" s="1"/>
      <c r="Y107" s="1"/>
      <c r="Z107" s="1"/>
      <c r="AA107" s="1"/>
      <c r="AB107" s="1"/>
      <c r="AC107" s="1" t="s">
        <v>65</v>
      </c>
      <c r="AD107" s="1" t="s">
        <v>65</v>
      </c>
      <c r="AE107" s="1"/>
      <c r="AF107" s="1" t="s">
        <v>65</v>
      </c>
      <c r="AG107" s="1"/>
      <c r="AH107" s="7" t="s">
        <v>2144</v>
      </c>
      <c r="AI107" s="1"/>
      <c r="AJ107" s="1"/>
      <c r="AK107" s="1"/>
      <c r="AL107" s="1"/>
      <c r="AM107" s="1"/>
      <c r="AN107" s="1"/>
    </row>
    <row r="108">
      <c r="A108" s="1" t="s">
        <v>2150</v>
      </c>
      <c r="B108" s="1" t="s">
        <v>2150</v>
      </c>
      <c r="C108" s="4">
        <v>45923.66364583333</v>
      </c>
      <c r="D108" s="5">
        <v>1.758642939E9</v>
      </c>
      <c r="E108" s="7" t="s">
        <v>2151</v>
      </c>
      <c r="F108" s="1" t="s">
        <v>2156</v>
      </c>
      <c r="G108" s="1" t="s">
        <v>2157</v>
      </c>
      <c r="H108" s="1" t="s">
        <v>2158</v>
      </c>
      <c r="I108" s="1" t="s">
        <v>2159</v>
      </c>
      <c r="J108" s="7" t="s">
        <v>2160</v>
      </c>
      <c r="K108" s="7" t="s">
        <v>2172</v>
      </c>
      <c r="L108" s="9" t="b">
        <v>0</v>
      </c>
      <c r="M108" s="1" t="s">
        <v>2076</v>
      </c>
      <c r="N108" s="1" t="s">
        <v>64</v>
      </c>
      <c r="O108" s="1" t="s">
        <v>65</v>
      </c>
      <c r="P108" s="5">
        <v>0.0</v>
      </c>
      <c r="Q108" s="5">
        <v>0.0</v>
      </c>
      <c r="R108" s="5">
        <v>1.0</v>
      </c>
      <c r="S108" s="5">
        <v>0.0</v>
      </c>
      <c r="T108" s="5">
        <v>48.0</v>
      </c>
      <c r="U108" s="1" t="s">
        <v>65</v>
      </c>
      <c r="V108" s="1"/>
      <c r="W108" s="1" t="s">
        <v>65</v>
      </c>
      <c r="X108" s="1"/>
      <c r="Y108" s="1"/>
      <c r="Z108" s="1"/>
      <c r="AA108" s="1"/>
      <c r="AB108" s="1"/>
      <c r="AC108" s="1" t="s">
        <v>65</v>
      </c>
      <c r="AD108" s="1" t="s">
        <v>65</v>
      </c>
      <c r="AE108" s="1"/>
      <c r="AF108" s="1" t="s">
        <v>65</v>
      </c>
      <c r="AG108" s="1"/>
      <c r="AH108" s="7" t="s">
        <v>2186</v>
      </c>
      <c r="AI108" s="1"/>
      <c r="AJ108" s="1"/>
      <c r="AK108" s="1"/>
      <c r="AL108" s="1"/>
      <c r="AM108" s="1"/>
      <c r="AN108" s="1"/>
    </row>
    <row r="109">
      <c r="A109" s="1" t="s">
        <v>2193</v>
      </c>
      <c r="B109" s="1" t="s">
        <v>2193</v>
      </c>
      <c r="C109" s="4">
        <v>45923.663622685184</v>
      </c>
      <c r="D109" s="5">
        <v>1.758642937E9</v>
      </c>
      <c r="E109" s="7" t="s">
        <v>2195</v>
      </c>
      <c r="F109" s="1" t="s">
        <v>2201</v>
      </c>
      <c r="G109" s="1" t="s">
        <v>2203</v>
      </c>
      <c r="H109" s="1" t="s">
        <v>2203</v>
      </c>
      <c r="I109" s="5">
        <v>9706822.0</v>
      </c>
      <c r="J109" s="7" t="s">
        <v>2204</v>
      </c>
      <c r="K109" s="7" t="s">
        <v>2211</v>
      </c>
      <c r="L109" s="9" t="b">
        <v>1</v>
      </c>
      <c r="M109" s="1" t="s">
        <v>2076</v>
      </c>
      <c r="N109" s="1" t="s">
        <v>64</v>
      </c>
      <c r="O109" s="1" t="s">
        <v>65</v>
      </c>
      <c r="P109" s="5">
        <v>0.0</v>
      </c>
      <c r="Q109" s="5">
        <v>0.0</v>
      </c>
      <c r="R109" s="5">
        <v>2.0</v>
      </c>
      <c r="S109" s="5">
        <v>0.0</v>
      </c>
      <c r="T109" s="5">
        <v>1639.0</v>
      </c>
      <c r="U109" s="1" t="s">
        <v>65</v>
      </c>
      <c r="V109" s="1"/>
      <c r="W109" s="1" t="s">
        <v>65</v>
      </c>
      <c r="X109" s="1"/>
      <c r="Y109" s="1"/>
      <c r="Z109" s="1"/>
      <c r="AA109" s="1"/>
      <c r="AB109" s="1"/>
      <c r="AC109" s="1" t="s">
        <v>65</v>
      </c>
      <c r="AD109" s="1" t="s">
        <v>65</v>
      </c>
      <c r="AE109" s="1"/>
      <c r="AF109" s="1" t="s">
        <v>65</v>
      </c>
      <c r="AG109" s="1"/>
      <c r="AH109" s="7" t="s">
        <v>2223</v>
      </c>
      <c r="AI109" s="1"/>
      <c r="AJ109" s="1"/>
      <c r="AK109" s="1"/>
      <c r="AL109" s="1"/>
      <c r="AM109" s="1"/>
      <c r="AN109" s="1"/>
    </row>
    <row r="110" hidden="1">
      <c r="A110" s="1" t="s">
        <v>2228</v>
      </c>
      <c r="B110" s="1" t="s">
        <v>2229</v>
      </c>
      <c r="C110" s="4">
        <v>45923.5315162037</v>
      </c>
      <c r="D110" s="5">
        <v>1.758631523E9</v>
      </c>
      <c r="E110" s="7" t="s">
        <v>2230</v>
      </c>
      <c r="F110" s="1" t="s">
        <v>2240</v>
      </c>
      <c r="G110" s="1" t="s">
        <v>733</v>
      </c>
      <c r="H110" s="1" t="s">
        <v>734</v>
      </c>
      <c r="I110" s="1" t="s">
        <v>736</v>
      </c>
      <c r="J110" s="7" t="s">
        <v>738</v>
      </c>
      <c r="K110" s="1"/>
      <c r="L110" s="9" t="b">
        <v>0</v>
      </c>
      <c r="M110" s="1" t="s">
        <v>67</v>
      </c>
      <c r="N110" s="1" t="s">
        <v>68</v>
      </c>
      <c r="O110" s="1" t="s">
        <v>65</v>
      </c>
      <c r="P110" s="5">
        <v>0.0</v>
      </c>
      <c r="Q110" s="5">
        <v>1.0</v>
      </c>
      <c r="R110" s="5">
        <v>0.0</v>
      </c>
      <c r="S110" s="5">
        <v>0.0</v>
      </c>
      <c r="T110" s="5">
        <v>12.0</v>
      </c>
      <c r="U110" s="1" t="s">
        <v>65</v>
      </c>
      <c r="V110" s="1"/>
      <c r="W110" s="1" t="s">
        <v>65</v>
      </c>
      <c r="X110" s="1"/>
      <c r="Y110" s="1"/>
      <c r="Z110" s="1"/>
      <c r="AA110" s="1"/>
      <c r="AB110" s="1"/>
      <c r="AC110" s="1" t="s">
        <v>65</v>
      </c>
      <c r="AD110" s="1" t="s">
        <v>71</v>
      </c>
      <c r="AE110" s="1" t="s">
        <v>2243</v>
      </c>
      <c r="AF110" s="1" t="s">
        <v>65</v>
      </c>
      <c r="AG110" s="1"/>
      <c r="AH110" s="1"/>
      <c r="AI110" s="1"/>
      <c r="AJ110" s="1"/>
      <c r="AK110" s="1" t="s">
        <v>2244</v>
      </c>
      <c r="AL110" s="1"/>
      <c r="AM110" s="1"/>
      <c r="AN110" s="1"/>
    </row>
    <row r="111">
      <c r="A111" s="1" t="s">
        <v>2245</v>
      </c>
      <c r="B111" s="1" t="s">
        <v>2245</v>
      </c>
      <c r="C111" s="4">
        <v>45923.10142361111</v>
      </c>
      <c r="D111" s="5">
        <v>1.758594363E9</v>
      </c>
      <c r="E111" s="7" t="s">
        <v>2246</v>
      </c>
      <c r="F111" s="1" t="s">
        <v>2251</v>
      </c>
      <c r="G111" s="1" t="s">
        <v>2253</v>
      </c>
      <c r="H111" s="1" t="s">
        <v>2254</v>
      </c>
      <c r="I111" s="1" t="s">
        <v>2256</v>
      </c>
      <c r="J111" s="7" t="s">
        <v>2258</v>
      </c>
      <c r="K111" s="7" t="s">
        <v>2269</v>
      </c>
      <c r="L111" s="9" t="b">
        <v>1</v>
      </c>
      <c r="M111" s="1" t="s">
        <v>67</v>
      </c>
      <c r="N111" s="1" t="s">
        <v>64</v>
      </c>
      <c r="O111" s="1" t="s">
        <v>65</v>
      </c>
      <c r="P111" s="5">
        <v>1.0</v>
      </c>
      <c r="Q111" s="5">
        <v>0.0</v>
      </c>
      <c r="R111" s="5">
        <v>3.0</v>
      </c>
      <c r="S111" s="5">
        <v>0.0</v>
      </c>
      <c r="T111" s="5">
        <v>473.0</v>
      </c>
      <c r="U111" s="1" t="s">
        <v>65</v>
      </c>
      <c r="V111" s="1"/>
      <c r="W111" s="1" t="s">
        <v>65</v>
      </c>
      <c r="X111" s="1"/>
      <c r="Y111" s="1"/>
      <c r="Z111" s="1"/>
      <c r="AA111" s="1"/>
      <c r="AB111" s="1"/>
      <c r="AC111" s="1" t="s">
        <v>65</v>
      </c>
      <c r="AD111" s="1" t="s">
        <v>65</v>
      </c>
      <c r="AE111" s="1"/>
      <c r="AF111" s="1" t="s">
        <v>65</v>
      </c>
      <c r="AG111" s="1"/>
      <c r="AH111" s="1"/>
      <c r="AI111" s="1"/>
      <c r="AJ111" s="1"/>
      <c r="AK111" s="1"/>
      <c r="AL111" s="1"/>
      <c r="AM111" s="1"/>
      <c r="AN111" s="1"/>
    </row>
    <row r="112" hidden="1">
      <c r="A112" s="1" t="s">
        <v>2278</v>
      </c>
      <c r="B112" s="1" t="s">
        <v>2279</v>
      </c>
      <c r="C112" s="4">
        <v>45922.90943287037</v>
      </c>
      <c r="D112" s="5">
        <v>1.758577775E9</v>
      </c>
      <c r="E112" s="7" t="s">
        <v>2280</v>
      </c>
      <c r="F112" s="1" t="s">
        <v>2289</v>
      </c>
      <c r="G112" s="1" t="s">
        <v>2291</v>
      </c>
      <c r="H112" s="1" t="s">
        <v>2292</v>
      </c>
      <c r="I112" s="1" t="s">
        <v>2293</v>
      </c>
      <c r="J112" s="7" t="s">
        <v>2294</v>
      </c>
      <c r="K112" s="7" t="s">
        <v>2298</v>
      </c>
      <c r="L112" s="9" t="b">
        <v>0</v>
      </c>
      <c r="M112" s="1" t="s">
        <v>66</v>
      </c>
      <c r="N112" s="1" t="s">
        <v>68</v>
      </c>
      <c r="O112" s="1" t="s">
        <v>65</v>
      </c>
      <c r="P112" s="5">
        <v>0.0</v>
      </c>
      <c r="Q112" s="5">
        <v>0.0</v>
      </c>
      <c r="R112" s="5">
        <v>0.0</v>
      </c>
      <c r="S112" s="5">
        <v>0.0</v>
      </c>
      <c r="T112" s="5">
        <v>62.0</v>
      </c>
      <c r="U112" s="1" t="s">
        <v>65</v>
      </c>
      <c r="V112" s="1"/>
      <c r="W112" s="1" t="s">
        <v>65</v>
      </c>
      <c r="X112" s="1"/>
      <c r="Y112" s="1"/>
      <c r="Z112" s="1"/>
      <c r="AA112" s="1"/>
      <c r="AB112" s="1"/>
      <c r="AC112" s="1" t="s">
        <v>65</v>
      </c>
      <c r="AD112" s="1" t="s">
        <v>71</v>
      </c>
      <c r="AE112" s="1" t="s">
        <v>2291</v>
      </c>
      <c r="AF112" s="1" t="s">
        <v>65</v>
      </c>
      <c r="AG112" s="1"/>
      <c r="AH112" s="1"/>
      <c r="AI112" s="1"/>
      <c r="AJ112" s="1"/>
      <c r="AK112" s="1"/>
      <c r="AL112" s="1"/>
      <c r="AM112" s="1"/>
      <c r="AN112" s="1"/>
    </row>
    <row r="113">
      <c r="A113" s="1" t="s">
        <v>2307</v>
      </c>
      <c r="B113" s="1" t="s">
        <v>2307</v>
      </c>
      <c r="C113" s="4">
        <v>45922.73684027778</v>
      </c>
      <c r="D113" s="5">
        <v>1.758562863E9</v>
      </c>
      <c r="E113" s="7" t="s">
        <v>2308</v>
      </c>
      <c r="F113" s="1" t="s">
        <v>2312</v>
      </c>
      <c r="G113" s="1" t="s">
        <v>2313</v>
      </c>
      <c r="H113" s="1" t="s">
        <v>2314</v>
      </c>
      <c r="I113" s="1" t="s">
        <v>2315</v>
      </c>
      <c r="J113" s="7" t="s">
        <v>2316</v>
      </c>
      <c r="K113" s="1"/>
      <c r="L113" s="9" t="b">
        <v>0</v>
      </c>
      <c r="M113" s="1" t="s">
        <v>66</v>
      </c>
      <c r="N113" s="1" t="s">
        <v>64</v>
      </c>
      <c r="O113" s="1" t="s">
        <v>65</v>
      </c>
      <c r="P113" s="5">
        <v>0.0</v>
      </c>
      <c r="Q113" s="5">
        <v>0.0</v>
      </c>
      <c r="R113" s="5">
        <v>0.0</v>
      </c>
      <c r="S113" s="5">
        <v>0.0</v>
      </c>
      <c r="T113" s="5">
        <v>16.0</v>
      </c>
      <c r="U113" s="1" t="s">
        <v>65</v>
      </c>
      <c r="V113" s="1"/>
      <c r="W113" s="1" t="s">
        <v>65</v>
      </c>
      <c r="X113" s="1"/>
      <c r="Y113" s="1"/>
      <c r="Z113" s="1"/>
      <c r="AA113" s="1"/>
      <c r="AB113" s="1"/>
      <c r="AC113" s="1" t="s">
        <v>65</v>
      </c>
      <c r="AD113" s="1" t="s">
        <v>65</v>
      </c>
      <c r="AE113" s="1"/>
      <c r="AF113" s="1" t="s">
        <v>65</v>
      </c>
      <c r="AG113" s="1"/>
      <c r="AH113" s="7" t="s">
        <v>2328</v>
      </c>
      <c r="AI113" s="7" t="s">
        <v>2337</v>
      </c>
      <c r="AJ113" s="1"/>
      <c r="AK113" s="1"/>
      <c r="AL113" s="1"/>
      <c r="AM113" s="1"/>
      <c r="AN113" s="1"/>
    </row>
    <row r="114">
      <c r="A114" s="1" t="s">
        <v>2340</v>
      </c>
      <c r="B114" s="1" t="s">
        <v>2341</v>
      </c>
      <c r="C114" s="4">
        <v>45921.45060185185</v>
      </c>
      <c r="D114" s="5">
        <v>1.758451732E9</v>
      </c>
      <c r="E114" s="7" t="s">
        <v>2342</v>
      </c>
      <c r="F114" s="1" t="s">
        <v>2347</v>
      </c>
      <c r="G114" s="1" t="s">
        <v>2348</v>
      </c>
      <c r="H114" s="1" t="s">
        <v>2350</v>
      </c>
      <c r="I114" s="5">
        <v>1.32699884E9</v>
      </c>
      <c r="J114" s="7" t="s">
        <v>2351</v>
      </c>
      <c r="K114" s="7" t="s">
        <v>2358</v>
      </c>
      <c r="L114" s="9" t="b">
        <v>0</v>
      </c>
      <c r="M114" s="1" t="s">
        <v>66</v>
      </c>
      <c r="N114" s="1" t="s">
        <v>64</v>
      </c>
      <c r="O114" s="1" t="s">
        <v>65</v>
      </c>
      <c r="P114" s="5">
        <v>1.0</v>
      </c>
      <c r="Q114" s="5">
        <v>0.0</v>
      </c>
      <c r="R114" s="5">
        <v>1.0</v>
      </c>
      <c r="S114" s="5">
        <v>0.0</v>
      </c>
      <c r="T114" s="5">
        <v>26.0</v>
      </c>
      <c r="U114" s="1" t="s">
        <v>65</v>
      </c>
      <c r="V114" s="1"/>
      <c r="W114" s="1" t="s">
        <v>65</v>
      </c>
      <c r="X114" s="1"/>
      <c r="Y114" s="1"/>
      <c r="Z114" s="1"/>
      <c r="AA114" s="1"/>
      <c r="AB114" s="1"/>
      <c r="AC114" s="1" t="s">
        <v>65</v>
      </c>
      <c r="AD114" s="1" t="s">
        <v>71</v>
      </c>
      <c r="AE114" s="1" t="s">
        <v>2348</v>
      </c>
      <c r="AF114" s="1" t="s">
        <v>65</v>
      </c>
      <c r="AG114" s="1"/>
      <c r="AH114" s="7" t="s">
        <v>2364</v>
      </c>
      <c r="AI114" s="7" t="s">
        <v>2376</v>
      </c>
      <c r="AJ114" s="1"/>
      <c r="AK114" s="1" t="s">
        <v>2388</v>
      </c>
      <c r="AL114" s="1"/>
      <c r="AM114" s="1"/>
      <c r="AN114" s="1"/>
    </row>
    <row r="115" hidden="1">
      <c r="A115" s="1" t="s">
        <v>2389</v>
      </c>
      <c r="B115" s="1" t="s">
        <v>2389</v>
      </c>
      <c r="C115" s="4">
        <v>45921.070439814815</v>
      </c>
      <c r="D115" s="5">
        <v>1.758418886E9</v>
      </c>
      <c r="E115" s="7" t="s">
        <v>2391</v>
      </c>
      <c r="F115" s="1" t="s">
        <v>2397</v>
      </c>
      <c r="G115" s="1" t="s">
        <v>2398</v>
      </c>
      <c r="H115" s="1" t="s">
        <v>2400</v>
      </c>
      <c r="I115" s="1" t="s">
        <v>2401</v>
      </c>
      <c r="J115" s="7" t="s">
        <v>2402</v>
      </c>
      <c r="K115" s="1"/>
      <c r="L115" s="9" t="b">
        <v>0</v>
      </c>
      <c r="M115" s="1" t="s">
        <v>67</v>
      </c>
      <c r="N115" s="1" t="s">
        <v>68</v>
      </c>
      <c r="O115" s="1" t="s">
        <v>65</v>
      </c>
      <c r="P115" s="5">
        <v>0.0</v>
      </c>
      <c r="Q115" s="5">
        <v>0.0</v>
      </c>
      <c r="R115" s="5">
        <v>0.0</v>
      </c>
      <c r="S115" s="5">
        <v>0.0</v>
      </c>
      <c r="T115" s="5">
        <v>16.0</v>
      </c>
      <c r="U115" s="1" t="s">
        <v>65</v>
      </c>
      <c r="V115" s="1"/>
      <c r="W115" s="1" t="s">
        <v>65</v>
      </c>
      <c r="X115" s="1"/>
      <c r="Y115" s="1"/>
      <c r="Z115" s="1"/>
      <c r="AA115" s="1"/>
      <c r="AB115" s="1"/>
      <c r="AC115" s="1" t="s">
        <v>65</v>
      </c>
      <c r="AD115" s="1" t="s">
        <v>65</v>
      </c>
      <c r="AE115" s="1"/>
      <c r="AF115" s="1" t="s">
        <v>65</v>
      </c>
      <c r="AG115" s="1"/>
      <c r="AH115" s="1"/>
      <c r="AI115" s="1"/>
      <c r="AJ115" s="1"/>
      <c r="AK115" s="1"/>
      <c r="AL115" s="1"/>
      <c r="AM115" s="1"/>
      <c r="AN115" s="1"/>
    </row>
    <row r="116" hidden="1">
      <c r="A116" s="1" t="s">
        <v>2415</v>
      </c>
      <c r="B116" s="1" t="s">
        <v>2415</v>
      </c>
      <c r="C116" s="4">
        <v>45919.123136574075</v>
      </c>
      <c r="D116" s="5">
        <v>1.758250639E9</v>
      </c>
      <c r="E116" s="7" t="s">
        <v>2417</v>
      </c>
      <c r="F116" s="1" t="s">
        <v>2424</v>
      </c>
      <c r="G116" s="1" t="s">
        <v>2426</v>
      </c>
      <c r="H116" s="1" t="s">
        <v>2428</v>
      </c>
      <c r="I116" s="1" t="s">
        <v>2429</v>
      </c>
      <c r="J116" s="7" t="s">
        <v>2430</v>
      </c>
      <c r="K116" s="7" t="s">
        <v>2436</v>
      </c>
      <c r="L116" s="9" t="b">
        <v>0</v>
      </c>
      <c r="M116" s="1" t="s">
        <v>85</v>
      </c>
      <c r="N116" s="1" t="s">
        <v>68</v>
      </c>
      <c r="O116" s="1" t="s">
        <v>65</v>
      </c>
      <c r="P116" s="5">
        <v>0.0</v>
      </c>
      <c r="Q116" s="5">
        <v>0.0</v>
      </c>
      <c r="R116" s="5">
        <v>1.0</v>
      </c>
      <c r="S116" s="5">
        <v>0.0</v>
      </c>
      <c r="T116" s="5">
        <v>70.0</v>
      </c>
      <c r="U116" s="1" t="s">
        <v>65</v>
      </c>
      <c r="V116" s="1"/>
      <c r="W116" s="1" t="s">
        <v>71</v>
      </c>
      <c r="X116" s="1" t="s">
        <v>2445</v>
      </c>
      <c r="Y116" s="1" t="s">
        <v>2446</v>
      </c>
      <c r="Z116" s="1" t="s">
        <v>2447</v>
      </c>
      <c r="AA116" s="7" t="s">
        <v>2448</v>
      </c>
      <c r="AB116" s="1"/>
      <c r="AC116" s="1" t="s">
        <v>65</v>
      </c>
      <c r="AD116" s="1" t="s">
        <v>65</v>
      </c>
      <c r="AE116" s="1"/>
      <c r="AF116" s="1" t="s">
        <v>65</v>
      </c>
      <c r="AG116" s="1"/>
      <c r="AH116" s="1"/>
      <c r="AI116" s="1"/>
      <c r="AJ116" s="1"/>
      <c r="AK116" s="1"/>
      <c r="AL116" s="1"/>
      <c r="AM116" s="1"/>
      <c r="AN116" s="1"/>
    </row>
    <row r="117" hidden="1">
      <c r="A117" s="1" t="s">
        <v>2454</v>
      </c>
      <c r="B117" s="1" t="s">
        <v>2455</v>
      </c>
      <c r="C117" s="4">
        <v>45919.05385416667</v>
      </c>
      <c r="D117" s="5">
        <v>1.758244653E9</v>
      </c>
      <c r="E117" s="7" t="s">
        <v>2456</v>
      </c>
      <c r="F117" s="1" t="s">
        <v>2462</v>
      </c>
      <c r="G117" s="1" t="s">
        <v>2463</v>
      </c>
      <c r="H117" s="1" t="s">
        <v>2464</v>
      </c>
      <c r="I117" s="1" t="s">
        <v>2465</v>
      </c>
      <c r="J117" s="7" t="s">
        <v>2466</v>
      </c>
      <c r="K117" s="7" t="s">
        <v>2471</v>
      </c>
      <c r="L117" s="9" t="b">
        <v>0</v>
      </c>
      <c r="M117" s="1" t="s">
        <v>66</v>
      </c>
      <c r="N117" s="1" t="s">
        <v>68</v>
      </c>
      <c r="O117" s="1" t="s">
        <v>65</v>
      </c>
      <c r="P117" s="5">
        <v>0.0</v>
      </c>
      <c r="Q117" s="5">
        <v>1.0</v>
      </c>
      <c r="R117" s="5">
        <v>1.0</v>
      </c>
      <c r="S117" s="5">
        <v>0.0</v>
      </c>
      <c r="T117" s="5">
        <v>50.0</v>
      </c>
      <c r="U117" s="1" t="s">
        <v>65</v>
      </c>
      <c r="V117" s="1"/>
      <c r="W117" s="1" t="s">
        <v>65</v>
      </c>
      <c r="X117" s="1"/>
      <c r="Y117" s="1"/>
      <c r="Z117" s="1"/>
      <c r="AA117" s="1"/>
      <c r="AB117" s="1"/>
      <c r="AC117" s="1" t="s">
        <v>65</v>
      </c>
      <c r="AD117" s="1" t="s">
        <v>71</v>
      </c>
      <c r="AE117" s="1" t="s">
        <v>2463</v>
      </c>
      <c r="AF117" s="1" t="s">
        <v>65</v>
      </c>
      <c r="AG117" s="1"/>
      <c r="AH117" s="1"/>
      <c r="AI117" s="1"/>
      <c r="AJ117" s="1"/>
      <c r="AK117" s="1"/>
      <c r="AL117" s="1"/>
      <c r="AM117" s="1"/>
      <c r="AN117" s="1"/>
    </row>
    <row r="118">
      <c r="A118" s="1" t="s">
        <v>2479</v>
      </c>
      <c r="B118" s="1" t="s">
        <v>2480</v>
      </c>
      <c r="C118" s="4">
        <v>45917.095555555556</v>
      </c>
      <c r="D118" s="5">
        <v>1.758075456E9</v>
      </c>
      <c r="E118" s="7" t="s">
        <v>2482</v>
      </c>
      <c r="F118" s="1" t="s">
        <v>2485</v>
      </c>
      <c r="G118" s="1" t="s">
        <v>2486</v>
      </c>
      <c r="H118" s="1" t="s">
        <v>2487</v>
      </c>
      <c r="I118" s="5">
        <v>6.14921619E8</v>
      </c>
      <c r="J118" s="7" t="s">
        <v>2488</v>
      </c>
      <c r="K118" s="7" t="s">
        <v>2494</v>
      </c>
      <c r="L118" s="9" t="b">
        <v>0</v>
      </c>
      <c r="M118" s="1" t="s">
        <v>67</v>
      </c>
      <c r="N118" s="1" t="s">
        <v>64</v>
      </c>
      <c r="O118" s="1" t="s">
        <v>65</v>
      </c>
      <c r="P118" s="5">
        <v>1.0</v>
      </c>
      <c r="Q118" s="5">
        <v>1.0</v>
      </c>
      <c r="R118" s="5">
        <v>6.0</v>
      </c>
      <c r="S118" s="5">
        <v>0.0</v>
      </c>
      <c r="T118" s="5">
        <v>1402.0</v>
      </c>
      <c r="U118" s="1" t="s">
        <v>65</v>
      </c>
      <c r="V118" s="1"/>
      <c r="W118" s="1" t="s">
        <v>65</v>
      </c>
      <c r="X118" s="1"/>
      <c r="Y118" s="1"/>
      <c r="Z118" s="1"/>
      <c r="AA118" s="1"/>
      <c r="AB118" s="1"/>
      <c r="AC118" s="1" t="s">
        <v>65</v>
      </c>
      <c r="AD118" s="1" t="s">
        <v>71</v>
      </c>
      <c r="AE118" s="1" t="s">
        <v>2496</v>
      </c>
      <c r="AF118" s="1" t="s">
        <v>65</v>
      </c>
      <c r="AG118" s="1"/>
      <c r="AH118" s="1"/>
      <c r="AI118" s="1"/>
      <c r="AJ118" s="1"/>
      <c r="AK118" s="1" t="s">
        <v>2496</v>
      </c>
      <c r="AL118" s="1"/>
      <c r="AM118" s="1"/>
      <c r="AN118" s="1"/>
    </row>
    <row r="119">
      <c r="A119" s="1" t="s">
        <v>2499</v>
      </c>
      <c r="B119" s="1" t="s">
        <v>2500</v>
      </c>
      <c r="C119" s="4">
        <v>45916.48704861111</v>
      </c>
      <c r="D119" s="5">
        <v>1.758022881E9</v>
      </c>
      <c r="E119" s="7" t="s">
        <v>2501</v>
      </c>
      <c r="F119" s="1" t="s">
        <v>2503</v>
      </c>
      <c r="G119" s="1" t="s">
        <v>2504</v>
      </c>
      <c r="H119" s="1" t="s">
        <v>2505</v>
      </c>
      <c r="I119" s="1" t="s">
        <v>2507</v>
      </c>
      <c r="J119" s="7" t="s">
        <v>2508</v>
      </c>
      <c r="K119" s="7" t="s">
        <v>2513</v>
      </c>
      <c r="L119" s="9" t="b">
        <v>0</v>
      </c>
      <c r="M119" s="1" t="s">
        <v>67</v>
      </c>
      <c r="N119" s="1" t="s">
        <v>64</v>
      </c>
      <c r="O119" s="1" t="s">
        <v>65</v>
      </c>
      <c r="P119" s="5">
        <v>0.0</v>
      </c>
      <c r="Q119" s="5">
        <v>1.0</v>
      </c>
      <c r="R119" s="5">
        <v>1.0</v>
      </c>
      <c r="S119" s="5">
        <v>0.0</v>
      </c>
      <c r="T119" s="5">
        <v>5.0</v>
      </c>
      <c r="U119" s="1" t="s">
        <v>65</v>
      </c>
      <c r="V119" s="1"/>
      <c r="W119" s="1" t="s">
        <v>65</v>
      </c>
      <c r="X119" s="1"/>
      <c r="Y119" s="1"/>
      <c r="Z119" s="1"/>
      <c r="AA119" s="1"/>
      <c r="AB119" s="1"/>
      <c r="AC119" s="1" t="s">
        <v>65</v>
      </c>
      <c r="AD119" s="1" t="s">
        <v>71</v>
      </c>
      <c r="AE119" s="1" t="s">
        <v>2516</v>
      </c>
      <c r="AF119" s="1" t="s">
        <v>65</v>
      </c>
      <c r="AG119" s="1"/>
      <c r="AH119" s="1"/>
      <c r="AI119" s="1"/>
      <c r="AJ119" s="1"/>
      <c r="AK119" s="1" t="s">
        <v>2516</v>
      </c>
      <c r="AL119" s="1"/>
      <c r="AM119" s="1"/>
      <c r="AN119" s="1"/>
    </row>
    <row r="120">
      <c r="A120" s="1" t="s">
        <v>2517</v>
      </c>
      <c r="B120" s="1" t="s">
        <v>2518</v>
      </c>
      <c r="C120" s="4">
        <v>45915.86539351852</v>
      </c>
      <c r="D120" s="5">
        <v>1.75796917E9</v>
      </c>
      <c r="E120" s="7" t="s">
        <v>2519</v>
      </c>
      <c r="F120" s="1" t="s">
        <v>2525</v>
      </c>
      <c r="G120" s="1" t="s">
        <v>158</v>
      </c>
      <c r="H120" s="1" t="s">
        <v>159</v>
      </c>
      <c r="I120" s="5">
        <v>2.36621586E8</v>
      </c>
      <c r="J120" s="7" t="s">
        <v>160</v>
      </c>
      <c r="K120" s="7" t="s">
        <v>162</v>
      </c>
      <c r="L120" s="9" t="b">
        <v>0</v>
      </c>
      <c r="M120" s="1" t="s">
        <v>67</v>
      </c>
      <c r="N120" s="1" t="s">
        <v>64</v>
      </c>
      <c r="O120" s="1" t="s">
        <v>65</v>
      </c>
      <c r="P120" s="5">
        <v>1.0</v>
      </c>
      <c r="Q120" s="5">
        <v>1.0</v>
      </c>
      <c r="R120" s="5">
        <v>4.0</v>
      </c>
      <c r="S120" s="5">
        <v>0.0</v>
      </c>
      <c r="T120" s="5">
        <v>315.0</v>
      </c>
      <c r="U120" s="1" t="s">
        <v>65</v>
      </c>
      <c r="V120" s="1"/>
      <c r="W120" s="1" t="s">
        <v>65</v>
      </c>
      <c r="X120" s="1"/>
      <c r="Y120" s="1"/>
      <c r="Z120" s="1"/>
      <c r="AA120" s="1"/>
      <c r="AB120" s="1"/>
      <c r="AC120" s="1" t="s">
        <v>65</v>
      </c>
      <c r="AD120" s="1" t="s">
        <v>71</v>
      </c>
      <c r="AE120" s="1" t="s">
        <v>158</v>
      </c>
      <c r="AF120" s="1" t="s">
        <v>65</v>
      </c>
      <c r="AG120" s="1"/>
      <c r="AH120" s="1"/>
      <c r="AI120" s="1"/>
      <c r="AJ120" s="1"/>
      <c r="AK120" s="1"/>
      <c r="AL120" s="1"/>
      <c r="AM120" s="1"/>
      <c r="AN120" s="1"/>
    </row>
    <row r="121">
      <c r="A121" s="1" t="s">
        <v>2532</v>
      </c>
      <c r="B121" s="1" t="s">
        <v>2518</v>
      </c>
      <c r="C121" s="4">
        <v>45915.86537037037</v>
      </c>
      <c r="D121" s="5">
        <v>1.757969168E9</v>
      </c>
      <c r="E121" s="7" t="s">
        <v>2533</v>
      </c>
      <c r="F121" s="1" t="s">
        <v>2541</v>
      </c>
      <c r="G121" s="1" t="s">
        <v>158</v>
      </c>
      <c r="H121" s="1" t="s">
        <v>159</v>
      </c>
      <c r="I121" s="5">
        <v>2.36621586E8</v>
      </c>
      <c r="J121" s="7" t="s">
        <v>160</v>
      </c>
      <c r="K121" s="7" t="s">
        <v>162</v>
      </c>
      <c r="L121" s="9" t="b">
        <v>0</v>
      </c>
      <c r="M121" s="1" t="s">
        <v>67</v>
      </c>
      <c r="N121" s="1" t="s">
        <v>64</v>
      </c>
      <c r="O121" s="1" t="s">
        <v>65</v>
      </c>
      <c r="P121" s="5">
        <v>1.0</v>
      </c>
      <c r="Q121" s="5">
        <v>1.0</v>
      </c>
      <c r="R121" s="5">
        <v>7.0</v>
      </c>
      <c r="S121" s="5">
        <v>0.0</v>
      </c>
      <c r="T121" s="5">
        <v>179.0</v>
      </c>
      <c r="U121" s="1" t="s">
        <v>65</v>
      </c>
      <c r="V121" s="1"/>
      <c r="W121" s="1" t="s">
        <v>65</v>
      </c>
      <c r="X121" s="1"/>
      <c r="Y121" s="1"/>
      <c r="Z121" s="1"/>
      <c r="AA121" s="1"/>
      <c r="AB121" s="1"/>
      <c r="AC121" s="1" t="s">
        <v>65</v>
      </c>
      <c r="AD121" s="1" t="s">
        <v>71</v>
      </c>
      <c r="AE121" s="1" t="s">
        <v>158</v>
      </c>
      <c r="AF121" s="1" t="s">
        <v>65</v>
      </c>
      <c r="AG121" s="1"/>
      <c r="AH121" s="1"/>
      <c r="AI121" s="1"/>
      <c r="AJ121" s="1"/>
      <c r="AK121" s="1"/>
      <c r="AL121" s="1"/>
      <c r="AM121" s="1"/>
      <c r="AN121" s="1"/>
    </row>
    <row r="122">
      <c r="A122" s="1" t="s">
        <v>2542</v>
      </c>
      <c r="B122" s="1" t="s">
        <v>2518</v>
      </c>
      <c r="C122" s="4">
        <v>45915.8653587963</v>
      </c>
      <c r="D122" s="5">
        <v>1.757969167E9</v>
      </c>
      <c r="E122" s="7" t="s">
        <v>2544</v>
      </c>
      <c r="F122" s="1" t="s">
        <v>2546</v>
      </c>
      <c r="G122" s="1" t="s">
        <v>158</v>
      </c>
      <c r="H122" s="1" t="s">
        <v>159</v>
      </c>
      <c r="I122" s="5">
        <v>2.36621586E8</v>
      </c>
      <c r="J122" s="7" t="s">
        <v>160</v>
      </c>
      <c r="K122" s="7" t="s">
        <v>162</v>
      </c>
      <c r="L122" s="9" t="b">
        <v>0</v>
      </c>
      <c r="M122" s="1" t="s">
        <v>67</v>
      </c>
      <c r="N122" s="1" t="s">
        <v>64</v>
      </c>
      <c r="O122" s="1" t="s">
        <v>65</v>
      </c>
      <c r="P122" s="5">
        <v>1.0</v>
      </c>
      <c r="Q122" s="5">
        <v>1.0</v>
      </c>
      <c r="R122" s="5">
        <v>4.0</v>
      </c>
      <c r="S122" s="5">
        <v>0.0</v>
      </c>
      <c r="T122" s="5">
        <v>195.0</v>
      </c>
      <c r="U122" s="1" t="s">
        <v>65</v>
      </c>
      <c r="V122" s="1"/>
      <c r="W122" s="1" t="s">
        <v>65</v>
      </c>
      <c r="X122" s="1"/>
      <c r="Y122" s="1"/>
      <c r="Z122" s="1"/>
      <c r="AA122" s="1"/>
      <c r="AB122" s="1"/>
      <c r="AC122" s="1" t="s">
        <v>65</v>
      </c>
      <c r="AD122" s="1" t="s">
        <v>71</v>
      </c>
      <c r="AE122" s="1" t="s">
        <v>158</v>
      </c>
      <c r="AF122" s="1" t="s">
        <v>65</v>
      </c>
      <c r="AG122" s="1"/>
      <c r="AH122" s="1"/>
      <c r="AI122" s="1"/>
      <c r="AJ122" s="1"/>
      <c r="AK122" s="1"/>
      <c r="AL122" s="1"/>
      <c r="AM122" s="1"/>
      <c r="AN122" s="1"/>
    </row>
    <row r="123">
      <c r="A123" s="1" t="s">
        <v>2550</v>
      </c>
      <c r="B123" s="1" t="s">
        <v>2518</v>
      </c>
      <c r="C123" s="4">
        <v>45915.86534722222</v>
      </c>
      <c r="D123" s="5">
        <v>1.757969166E9</v>
      </c>
      <c r="E123" s="7" t="s">
        <v>2554</v>
      </c>
      <c r="F123" s="1" t="s">
        <v>2560</v>
      </c>
      <c r="G123" s="1" t="s">
        <v>158</v>
      </c>
      <c r="H123" s="1" t="s">
        <v>159</v>
      </c>
      <c r="I123" s="5">
        <v>2.36621586E8</v>
      </c>
      <c r="J123" s="7" t="s">
        <v>160</v>
      </c>
      <c r="K123" s="7" t="s">
        <v>162</v>
      </c>
      <c r="L123" s="9" t="b">
        <v>0</v>
      </c>
      <c r="M123" s="1" t="s">
        <v>67</v>
      </c>
      <c r="N123" s="1" t="s">
        <v>64</v>
      </c>
      <c r="O123" s="1" t="s">
        <v>65</v>
      </c>
      <c r="P123" s="5">
        <v>1.0</v>
      </c>
      <c r="Q123" s="5">
        <v>1.0</v>
      </c>
      <c r="R123" s="5">
        <v>7.0</v>
      </c>
      <c r="S123" s="5">
        <v>0.0</v>
      </c>
      <c r="T123" s="5">
        <v>204.0</v>
      </c>
      <c r="U123" s="1" t="s">
        <v>65</v>
      </c>
      <c r="V123" s="1"/>
      <c r="W123" s="1" t="s">
        <v>65</v>
      </c>
      <c r="X123" s="1"/>
      <c r="Y123" s="1"/>
      <c r="Z123" s="1"/>
      <c r="AA123" s="1"/>
      <c r="AB123" s="1"/>
      <c r="AC123" s="1" t="s">
        <v>65</v>
      </c>
      <c r="AD123" s="1" t="s">
        <v>71</v>
      </c>
      <c r="AE123" s="1" t="s">
        <v>158</v>
      </c>
      <c r="AF123" s="1" t="s">
        <v>65</v>
      </c>
      <c r="AG123" s="1"/>
      <c r="AH123" s="1"/>
      <c r="AI123" s="1"/>
      <c r="AJ123" s="1"/>
      <c r="AK123" s="1"/>
      <c r="AL123" s="1"/>
      <c r="AM123" s="1"/>
      <c r="AN123" s="1"/>
    </row>
    <row r="124">
      <c r="A124" s="1" t="s">
        <v>2567</v>
      </c>
      <c r="B124" s="1" t="s">
        <v>2518</v>
      </c>
      <c r="C124" s="4">
        <v>45915.8653125</v>
      </c>
      <c r="D124" s="5">
        <v>1.757969163E9</v>
      </c>
      <c r="E124" s="7" t="s">
        <v>2568</v>
      </c>
      <c r="F124" s="1" t="s">
        <v>2569</v>
      </c>
      <c r="G124" s="1" t="s">
        <v>158</v>
      </c>
      <c r="H124" s="1" t="s">
        <v>159</v>
      </c>
      <c r="I124" s="5">
        <v>2.36621586E8</v>
      </c>
      <c r="J124" s="7" t="s">
        <v>160</v>
      </c>
      <c r="K124" s="7" t="s">
        <v>162</v>
      </c>
      <c r="L124" s="9" t="b">
        <v>0</v>
      </c>
      <c r="M124" s="1" t="s">
        <v>67</v>
      </c>
      <c r="N124" s="1" t="s">
        <v>64</v>
      </c>
      <c r="O124" s="1" t="s">
        <v>65</v>
      </c>
      <c r="P124" s="5">
        <v>1.0</v>
      </c>
      <c r="Q124" s="5">
        <v>1.0</v>
      </c>
      <c r="R124" s="5">
        <v>8.0</v>
      </c>
      <c r="S124" s="5">
        <v>0.0</v>
      </c>
      <c r="T124" s="5">
        <v>265.0</v>
      </c>
      <c r="U124" s="1" t="s">
        <v>65</v>
      </c>
      <c r="V124" s="1"/>
      <c r="W124" s="1" t="s">
        <v>65</v>
      </c>
      <c r="X124" s="1"/>
      <c r="Y124" s="1"/>
      <c r="Z124" s="1"/>
      <c r="AA124" s="1"/>
      <c r="AB124" s="1"/>
      <c r="AC124" s="1" t="s">
        <v>65</v>
      </c>
      <c r="AD124" s="1" t="s">
        <v>71</v>
      </c>
      <c r="AE124" s="1" t="s">
        <v>158</v>
      </c>
      <c r="AF124" s="1" t="s">
        <v>65</v>
      </c>
      <c r="AG124" s="1"/>
      <c r="AH124" s="1"/>
      <c r="AI124" s="1"/>
      <c r="AJ124" s="1"/>
      <c r="AK124" s="1"/>
      <c r="AL124" s="1"/>
      <c r="AM124" s="1"/>
      <c r="AN124" s="1"/>
    </row>
    <row r="125">
      <c r="A125" s="1" t="s">
        <v>2575</v>
      </c>
      <c r="B125" s="1" t="s">
        <v>2518</v>
      </c>
      <c r="C125" s="4">
        <v>45915.86530092593</v>
      </c>
      <c r="D125" s="5">
        <v>1.757969162E9</v>
      </c>
      <c r="E125" s="7" t="s">
        <v>2576</v>
      </c>
      <c r="F125" s="1" t="s">
        <v>2587</v>
      </c>
      <c r="G125" s="1" t="s">
        <v>158</v>
      </c>
      <c r="H125" s="1" t="s">
        <v>159</v>
      </c>
      <c r="I125" s="5">
        <v>2.36621586E8</v>
      </c>
      <c r="J125" s="7" t="s">
        <v>160</v>
      </c>
      <c r="K125" s="7" t="s">
        <v>162</v>
      </c>
      <c r="L125" s="9" t="b">
        <v>0</v>
      </c>
      <c r="M125" s="1" t="s">
        <v>67</v>
      </c>
      <c r="N125" s="1" t="s">
        <v>64</v>
      </c>
      <c r="O125" s="1" t="s">
        <v>65</v>
      </c>
      <c r="P125" s="5">
        <v>1.0</v>
      </c>
      <c r="Q125" s="5">
        <v>1.0</v>
      </c>
      <c r="R125" s="5">
        <v>12.0</v>
      </c>
      <c r="S125" s="5">
        <v>0.0</v>
      </c>
      <c r="T125" s="5">
        <v>283.0</v>
      </c>
      <c r="U125" s="1" t="s">
        <v>65</v>
      </c>
      <c r="V125" s="1"/>
      <c r="W125" s="1" t="s">
        <v>65</v>
      </c>
      <c r="X125" s="1"/>
      <c r="Y125" s="1"/>
      <c r="Z125" s="1"/>
      <c r="AA125" s="1"/>
      <c r="AB125" s="1"/>
      <c r="AC125" s="1" t="s">
        <v>65</v>
      </c>
      <c r="AD125" s="1" t="s">
        <v>71</v>
      </c>
      <c r="AE125" s="1" t="s">
        <v>158</v>
      </c>
      <c r="AF125" s="1" t="s">
        <v>65</v>
      </c>
      <c r="AG125" s="1"/>
      <c r="AH125" s="1"/>
      <c r="AI125" s="1"/>
      <c r="AJ125" s="1"/>
      <c r="AK125" s="1"/>
      <c r="AL125" s="1"/>
      <c r="AM125" s="1"/>
      <c r="AN125" s="1"/>
    </row>
    <row r="126">
      <c r="A126" s="1" t="s">
        <v>2591</v>
      </c>
      <c r="B126" s="1" t="s">
        <v>2592</v>
      </c>
      <c r="C126" s="4">
        <v>45915.03841435185</v>
      </c>
      <c r="D126" s="5">
        <v>1.757897719E9</v>
      </c>
      <c r="E126" s="7" t="s">
        <v>2593</v>
      </c>
      <c r="F126" s="1" t="s">
        <v>2594</v>
      </c>
      <c r="G126" s="1" t="s">
        <v>2595</v>
      </c>
      <c r="H126" s="1" t="s">
        <v>2596</v>
      </c>
      <c r="I126" s="5">
        <v>1.67144501E8</v>
      </c>
      <c r="J126" s="7" t="s">
        <v>2597</v>
      </c>
      <c r="K126" s="7" t="s">
        <v>2602</v>
      </c>
      <c r="L126" s="9" t="b">
        <v>0</v>
      </c>
      <c r="M126" s="1" t="s">
        <v>85</v>
      </c>
      <c r="N126" s="1" t="s">
        <v>64</v>
      </c>
      <c r="O126" s="1" t="s">
        <v>65</v>
      </c>
      <c r="P126" s="5">
        <v>0.0</v>
      </c>
      <c r="Q126" s="5">
        <v>0.0</v>
      </c>
      <c r="R126" s="5">
        <v>0.0</v>
      </c>
      <c r="S126" s="5">
        <v>0.0</v>
      </c>
      <c r="T126" s="5">
        <v>14.0</v>
      </c>
      <c r="U126" s="1" t="s">
        <v>65</v>
      </c>
      <c r="V126" s="1"/>
      <c r="W126" s="1" t="s">
        <v>65</v>
      </c>
      <c r="X126" s="1"/>
      <c r="Y126" s="1"/>
      <c r="Z126" s="1"/>
      <c r="AA126" s="1"/>
      <c r="AB126" s="1"/>
      <c r="AC126" s="1" t="s">
        <v>65</v>
      </c>
      <c r="AD126" s="1" t="s">
        <v>71</v>
      </c>
      <c r="AE126" s="1" t="s">
        <v>2595</v>
      </c>
      <c r="AF126" s="1" t="s">
        <v>65</v>
      </c>
      <c r="AG126" s="1"/>
      <c r="AH126" s="1"/>
      <c r="AI126" s="1"/>
      <c r="AJ126" s="1"/>
      <c r="AK126" s="1"/>
      <c r="AL126" s="1"/>
      <c r="AM126" s="1"/>
      <c r="AN126" s="1"/>
    </row>
    <row r="127">
      <c r="A127" s="1" t="s">
        <v>2592</v>
      </c>
      <c r="B127" s="1" t="s">
        <v>2592</v>
      </c>
      <c r="C127" s="4">
        <v>45915.037835648145</v>
      </c>
      <c r="D127" s="5">
        <v>1.757897669E9</v>
      </c>
      <c r="E127" s="7" t="s">
        <v>2614</v>
      </c>
      <c r="F127" s="1" t="s">
        <v>2616</v>
      </c>
      <c r="G127" s="1" t="s">
        <v>2595</v>
      </c>
      <c r="H127" s="1" t="s">
        <v>2596</v>
      </c>
      <c r="I127" s="5">
        <v>1.67144501E8</v>
      </c>
      <c r="J127" s="7" t="s">
        <v>2597</v>
      </c>
      <c r="K127" s="7" t="s">
        <v>2602</v>
      </c>
      <c r="L127" s="9" t="b">
        <v>0</v>
      </c>
      <c r="M127" s="1" t="s">
        <v>85</v>
      </c>
      <c r="N127" s="1" t="s">
        <v>64</v>
      </c>
      <c r="O127" s="1" t="s">
        <v>65</v>
      </c>
      <c r="P127" s="5">
        <v>0.0</v>
      </c>
      <c r="Q127" s="5">
        <v>1.0</v>
      </c>
      <c r="R127" s="5">
        <v>0.0</v>
      </c>
      <c r="S127" s="5">
        <v>0.0</v>
      </c>
      <c r="T127" s="5">
        <v>21.0</v>
      </c>
      <c r="U127" s="1" t="s">
        <v>65</v>
      </c>
      <c r="V127" s="1"/>
      <c r="W127" s="1" t="s">
        <v>65</v>
      </c>
      <c r="X127" s="1"/>
      <c r="Y127" s="1"/>
      <c r="Z127" s="1"/>
      <c r="AA127" s="1"/>
      <c r="AB127" s="1"/>
      <c r="AC127" s="1" t="s">
        <v>65</v>
      </c>
      <c r="AD127" s="1" t="s">
        <v>65</v>
      </c>
      <c r="AE127" s="1"/>
      <c r="AF127" s="1" t="s">
        <v>65</v>
      </c>
      <c r="AG127" s="1"/>
      <c r="AH127" s="1"/>
      <c r="AI127" s="1"/>
      <c r="AJ127" s="1"/>
      <c r="AK127" s="1"/>
      <c r="AL127" s="1"/>
      <c r="AM127" s="1"/>
      <c r="AN127" s="1"/>
    </row>
    <row r="128">
      <c r="A128" s="1" t="s">
        <v>1060</v>
      </c>
      <c r="B128" s="1" t="s">
        <v>1060</v>
      </c>
      <c r="C128" s="4">
        <v>45914.70712962963</v>
      </c>
      <c r="D128" s="5">
        <v>1.757869096E9</v>
      </c>
      <c r="E128" s="7" t="s">
        <v>1062</v>
      </c>
      <c r="F128" s="1" t="s">
        <v>1067</v>
      </c>
      <c r="G128" s="1" t="s">
        <v>219</v>
      </c>
      <c r="H128" s="1" t="s">
        <v>221</v>
      </c>
      <c r="I128" s="1" t="s">
        <v>222</v>
      </c>
      <c r="J128" s="7" t="s">
        <v>223</v>
      </c>
      <c r="K128" s="7" t="s">
        <v>226</v>
      </c>
      <c r="L128" s="9" t="b">
        <v>0</v>
      </c>
      <c r="M128" s="1" t="s">
        <v>67</v>
      </c>
      <c r="N128" s="1" t="s">
        <v>64</v>
      </c>
      <c r="O128" s="1" t="s">
        <v>65</v>
      </c>
      <c r="P128" s="5">
        <v>1.0</v>
      </c>
      <c r="Q128" s="5">
        <v>0.0</v>
      </c>
      <c r="R128" s="5">
        <v>1.0</v>
      </c>
      <c r="S128" s="5">
        <v>0.0</v>
      </c>
      <c r="T128" s="5">
        <v>23.0</v>
      </c>
      <c r="U128" s="1" t="s">
        <v>65</v>
      </c>
      <c r="V128" s="1"/>
      <c r="W128" s="1" t="s">
        <v>65</v>
      </c>
      <c r="X128" s="1"/>
      <c r="Y128" s="1"/>
      <c r="Z128" s="1"/>
      <c r="AA128" s="1"/>
      <c r="AB128" s="1"/>
      <c r="AC128" s="1" t="s">
        <v>65</v>
      </c>
      <c r="AD128" s="1" t="s">
        <v>65</v>
      </c>
      <c r="AE128" s="1"/>
      <c r="AF128" s="1" t="s">
        <v>65</v>
      </c>
      <c r="AG128" s="1" t="s">
        <v>1071</v>
      </c>
      <c r="AH128" s="1"/>
      <c r="AI128" s="7" t="s">
        <v>1072</v>
      </c>
      <c r="AJ128" s="1"/>
      <c r="AK128" s="1"/>
      <c r="AL128" s="1"/>
      <c r="AM128" s="1"/>
      <c r="AN128" s="1"/>
    </row>
    <row r="129">
      <c r="A129" s="1" t="s">
        <v>2634</v>
      </c>
      <c r="B129" s="1" t="s">
        <v>2634</v>
      </c>
      <c r="C129" s="4">
        <v>45913.333344907405</v>
      </c>
      <c r="D129" s="5">
        <v>1.757750401E9</v>
      </c>
      <c r="E129" s="7" t="s">
        <v>2635</v>
      </c>
      <c r="F129" s="1" t="s">
        <v>2638</v>
      </c>
      <c r="G129" s="1" t="s">
        <v>2639</v>
      </c>
      <c r="H129" s="1" t="s">
        <v>2640</v>
      </c>
      <c r="I129" s="5">
        <v>1.5019391E7</v>
      </c>
      <c r="J129" s="7" t="s">
        <v>2641</v>
      </c>
      <c r="K129" s="7" t="s">
        <v>2643</v>
      </c>
      <c r="L129" s="9" t="b">
        <v>1</v>
      </c>
      <c r="M129" s="1" t="s">
        <v>2646</v>
      </c>
      <c r="N129" s="1" t="s">
        <v>64</v>
      </c>
      <c r="O129" s="1" t="s">
        <v>65</v>
      </c>
      <c r="P129" s="5">
        <v>1.0</v>
      </c>
      <c r="Q129" s="5">
        <v>0.0</v>
      </c>
      <c r="R129" s="5">
        <v>2.0</v>
      </c>
      <c r="S129" s="5">
        <v>0.0</v>
      </c>
      <c r="T129" s="5">
        <v>1561.0</v>
      </c>
      <c r="U129" s="1" t="s">
        <v>65</v>
      </c>
      <c r="V129" s="1"/>
      <c r="W129" s="1" t="s">
        <v>65</v>
      </c>
      <c r="X129" s="1"/>
      <c r="Y129" s="1"/>
      <c r="Z129" s="1"/>
      <c r="AA129" s="1"/>
      <c r="AB129" s="1"/>
      <c r="AC129" s="1" t="s">
        <v>65</v>
      </c>
      <c r="AD129" s="1" t="s">
        <v>65</v>
      </c>
      <c r="AE129" s="1"/>
      <c r="AF129" s="1" t="s">
        <v>65</v>
      </c>
      <c r="AG129" s="1"/>
      <c r="AH129" s="1"/>
      <c r="AI129" s="7" t="s">
        <v>2647</v>
      </c>
      <c r="AJ129" s="1"/>
      <c r="AK129" s="1"/>
      <c r="AL129" s="1"/>
      <c r="AM129" s="1"/>
      <c r="AN129" s="1"/>
    </row>
    <row r="130">
      <c r="A130" s="1" t="s">
        <v>2651</v>
      </c>
      <c r="B130" s="1" t="s">
        <v>2653</v>
      </c>
      <c r="C130" s="4">
        <v>45910.185636574075</v>
      </c>
      <c r="D130" s="5">
        <v>1.757478439E9</v>
      </c>
      <c r="E130" s="7" t="s">
        <v>2655</v>
      </c>
      <c r="F130" s="1" t="s">
        <v>2661</v>
      </c>
      <c r="G130" s="1" t="s">
        <v>2662</v>
      </c>
      <c r="H130" s="1" t="s">
        <v>2663</v>
      </c>
      <c r="I130" s="1" t="s">
        <v>2664</v>
      </c>
      <c r="J130" s="7" t="s">
        <v>2665</v>
      </c>
      <c r="K130" s="7" t="s">
        <v>2669</v>
      </c>
      <c r="L130" s="9" t="b">
        <v>0</v>
      </c>
      <c r="M130" s="1" t="s">
        <v>85</v>
      </c>
      <c r="N130" s="1" t="s">
        <v>64</v>
      </c>
      <c r="O130" s="1" t="s">
        <v>65</v>
      </c>
      <c r="P130" s="5">
        <v>0.0</v>
      </c>
      <c r="Q130" s="5">
        <v>0.0</v>
      </c>
      <c r="R130" s="5">
        <v>0.0</v>
      </c>
      <c r="S130" s="5">
        <v>0.0</v>
      </c>
      <c r="T130" s="5">
        <v>27.0</v>
      </c>
      <c r="U130" s="1" t="s">
        <v>65</v>
      </c>
      <c r="V130" s="1"/>
      <c r="W130" s="1" t="s">
        <v>65</v>
      </c>
      <c r="X130" s="1"/>
      <c r="Y130" s="1"/>
      <c r="Z130" s="1"/>
      <c r="AA130" s="1"/>
      <c r="AB130" s="1"/>
      <c r="AC130" s="1" t="s">
        <v>65</v>
      </c>
      <c r="AD130" s="1" t="s">
        <v>71</v>
      </c>
      <c r="AE130" s="1" t="s">
        <v>2673</v>
      </c>
      <c r="AF130" s="1" t="s">
        <v>65</v>
      </c>
      <c r="AG130" s="1"/>
      <c r="AH130" s="1"/>
      <c r="AI130" s="1"/>
      <c r="AJ130" s="1"/>
      <c r="AK130" s="1" t="s">
        <v>2674</v>
      </c>
      <c r="AL130" s="1"/>
      <c r="AM130" s="1"/>
      <c r="AN130" s="1"/>
    </row>
    <row r="131">
      <c r="A131" s="1" t="s">
        <v>2675</v>
      </c>
      <c r="B131" s="1" t="s">
        <v>2676</v>
      </c>
      <c r="C131" s="4">
        <v>45910.09065972222</v>
      </c>
      <c r="D131" s="5">
        <v>1.757470233E9</v>
      </c>
      <c r="E131" s="7" t="s">
        <v>2677</v>
      </c>
      <c r="F131" s="1" t="s">
        <v>2681</v>
      </c>
      <c r="G131" s="1" t="s">
        <v>2682</v>
      </c>
      <c r="H131" s="1" t="s">
        <v>2683</v>
      </c>
      <c r="I131" s="1" t="s">
        <v>2684</v>
      </c>
      <c r="J131" s="7" t="s">
        <v>2686</v>
      </c>
      <c r="K131" s="7" t="s">
        <v>2690</v>
      </c>
      <c r="L131" s="9" t="b">
        <v>0</v>
      </c>
      <c r="M131" s="1" t="s">
        <v>67</v>
      </c>
      <c r="N131" s="1" t="s">
        <v>64</v>
      </c>
      <c r="O131" s="1" t="s">
        <v>65</v>
      </c>
      <c r="P131" s="5">
        <v>0.0</v>
      </c>
      <c r="Q131" s="5">
        <v>1.0</v>
      </c>
      <c r="R131" s="5">
        <v>0.0</v>
      </c>
      <c r="S131" s="5">
        <v>0.0</v>
      </c>
      <c r="T131" s="5">
        <v>26.0</v>
      </c>
      <c r="U131" s="1" t="s">
        <v>65</v>
      </c>
      <c r="V131" s="1"/>
      <c r="W131" s="1" t="s">
        <v>65</v>
      </c>
      <c r="X131" s="1"/>
      <c r="Y131" s="1"/>
      <c r="Z131" s="1"/>
      <c r="AA131" s="1"/>
      <c r="AB131" s="1"/>
      <c r="AC131" s="1" t="s">
        <v>65</v>
      </c>
      <c r="AD131" s="1" t="s">
        <v>71</v>
      </c>
      <c r="AE131" s="1" t="s">
        <v>2682</v>
      </c>
      <c r="AF131" s="1" t="s">
        <v>65</v>
      </c>
      <c r="AG131" s="1"/>
      <c r="AH131" s="1"/>
      <c r="AI131" s="1"/>
      <c r="AJ131" s="1"/>
      <c r="AK131" s="1"/>
      <c r="AL131" s="1"/>
      <c r="AM131" s="1"/>
      <c r="AN131" s="1"/>
    </row>
    <row r="132" hidden="1">
      <c r="A132" s="1" t="s">
        <v>2697</v>
      </c>
      <c r="B132" s="1" t="s">
        <v>2698</v>
      </c>
      <c r="C132" s="4">
        <v>45909.90435185185</v>
      </c>
      <c r="D132" s="5">
        <v>1.757454136E9</v>
      </c>
      <c r="E132" s="7" t="s">
        <v>2699</v>
      </c>
      <c r="F132" s="1" t="s">
        <v>2702</v>
      </c>
      <c r="G132" s="1" t="s">
        <v>2703</v>
      </c>
      <c r="H132" s="1" t="s">
        <v>2704</v>
      </c>
      <c r="I132" s="1" t="s">
        <v>2705</v>
      </c>
      <c r="J132" s="7" t="s">
        <v>2706</v>
      </c>
      <c r="K132" s="7" t="s">
        <v>2709</v>
      </c>
      <c r="L132" s="9" t="b">
        <v>0</v>
      </c>
      <c r="M132" s="1" t="s">
        <v>66</v>
      </c>
      <c r="N132" s="1" t="s">
        <v>68</v>
      </c>
      <c r="O132" s="1" t="s">
        <v>65</v>
      </c>
      <c r="P132" s="5">
        <v>0.0</v>
      </c>
      <c r="Q132" s="5">
        <v>1.0</v>
      </c>
      <c r="R132" s="5">
        <v>1.0</v>
      </c>
      <c r="S132" s="5">
        <v>0.0</v>
      </c>
      <c r="T132" s="5">
        <v>76.0</v>
      </c>
      <c r="U132" s="1" t="s">
        <v>65</v>
      </c>
      <c r="V132" s="1"/>
      <c r="W132" s="1" t="s">
        <v>65</v>
      </c>
      <c r="X132" s="1"/>
      <c r="Y132" s="1"/>
      <c r="Z132" s="1"/>
      <c r="AA132" s="1"/>
      <c r="AB132" s="1"/>
      <c r="AC132" s="1" t="s">
        <v>65</v>
      </c>
      <c r="AD132" s="1" t="s">
        <v>71</v>
      </c>
      <c r="AE132" s="1" t="s">
        <v>2703</v>
      </c>
      <c r="AF132" s="1" t="s">
        <v>65</v>
      </c>
      <c r="AG132" s="1"/>
      <c r="AH132" s="1"/>
      <c r="AI132" s="1"/>
      <c r="AJ132" s="1"/>
      <c r="AK132" s="1" t="s">
        <v>2714</v>
      </c>
      <c r="AL132" s="1"/>
      <c r="AM132" s="1"/>
      <c r="AN132" s="1"/>
    </row>
    <row r="133" hidden="1">
      <c r="A133" s="1" t="s">
        <v>2716</v>
      </c>
      <c r="B133" s="1" t="s">
        <v>2716</v>
      </c>
      <c r="C133" s="4">
        <v>45908.74854166667</v>
      </c>
      <c r="D133" s="5">
        <v>1.757354274E9</v>
      </c>
      <c r="E133" s="7" t="s">
        <v>2719</v>
      </c>
      <c r="F133" s="1" t="s">
        <v>2728</v>
      </c>
      <c r="G133" s="1" t="s">
        <v>2729</v>
      </c>
      <c r="H133" s="1" t="s">
        <v>2732</v>
      </c>
      <c r="I133" s="1" t="s">
        <v>2734</v>
      </c>
      <c r="J133" s="7" t="s">
        <v>2736</v>
      </c>
      <c r="K133" s="7" t="s">
        <v>2738</v>
      </c>
      <c r="L133" s="9" t="b">
        <v>0</v>
      </c>
      <c r="M133" s="1" t="s">
        <v>66</v>
      </c>
      <c r="N133" s="1" t="s">
        <v>68</v>
      </c>
      <c r="O133" s="1" t="s">
        <v>65</v>
      </c>
      <c r="P133" s="5">
        <v>0.0</v>
      </c>
      <c r="Q133" s="5">
        <v>0.0</v>
      </c>
      <c r="R133" s="5">
        <v>0.0</v>
      </c>
      <c r="S133" s="5">
        <v>0.0</v>
      </c>
      <c r="T133" s="5">
        <v>43.0</v>
      </c>
      <c r="U133" s="1" t="s">
        <v>65</v>
      </c>
      <c r="V133" s="1"/>
      <c r="W133" s="1" t="s">
        <v>65</v>
      </c>
      <c r="X133" s="1"/>
      <c r="Y133" s="1"/>
      <c r="Z133" s="1"/>
      <c r="AA133" s="1"/>
      <c r="AB133" s="1"/>
      <c r="AC133" s="1" t="s">
        <v>65</v>
      </c>
      <c r="AD133" s="1" t="s">
        <v>65</v>
      </c>
      <c r="AE133" s="1"/>
      <c r="AF133" s="1" t="s">
        <v>65</v>
      </c>
      <c r="AG133" s="1"/>
      <c r="AH133" s="1"/>
      <c r="AI133" s="1"/>
      <c r="AJ133" s="1"/>
      <c r="AK133" s="1"/>
      <c r="AL133" s="1"/>
      <c r="AM133" s="1"/>
      <c r="AN133" s="1"/>
    </row>
    <row r="134" hidden="1">
      <c r="A134" s="1" t="s">
        <v>2742</v>
      </c>
      <c r="B134" s="1" t="s">
        <v>2743</v>
      </c>
      <c r="C134" s="4">
        <v>45908.686736111114</v>
      </c>
      <c r="D134" s="5">
        <v>1.757348934E9</v>
      </c>
      <c r="E134" s="7" t="s">
        <v>2744</v>
      </c>
      <c r="F134" s="1" t="s">
        <v>2750</v>
      </c>
      <c r="G134" s="1" t="s">
        <v>2751</v>
      </c>
      <c r="H134" s="1" t="s">
        <v>2752</v>
      </c>
      <c r="I134" s="1" t="s">
        <v>2753</v>
      </c>
      <c r="J134" s="7" t="s">
        <v>2755</v>
      </c>
      <c r="K134" s="7" t="s">
        <v>2757</v>
      </c>
      <c r="L134" s="9" t="b">
        <v>1</v>
      </c>
      <c r="M134" s="1" t="s">
        <v>67</v>
      </c>
      <c r="N134" s="1" t="s">
        <v>68</v>
      </c>
      <c r="O134" s="1" t="s">
        <v>65</v>
      </c>
      <c r="P134" s="5">
        <v>0.0</v>
      </c>
      <c r="Q134" s="5">
        <v>0.0</v>
      </c>
      <c r="R134" s="5">
        <v>0.0</v>
      </c>
      <c r="S134" s="5">
        <v>0.0</v>
      </c>
      <c r="T134" s="5">
        <v>68.0</v>
      </c>
      <c r="U134" s="1" t="s">
        <v>65</v>
      </c>
      <c r="V134" s="1"/>
      <c r="W134" s="1" t="s">
        <v>65</v>
      </c>
      <c r="X134" s="1"/>
      <c r="Y134" s="1"/>
      <c r="Z134" s="1"/>
      <c r="AA134" s="1"/>
      <c r="AB134" s="1"/>
      <c r="AC134" s="1" t="s">
        <v>65</v>
      </c>
      <c r="AD134" s="1" t="s">
        <v>71</v>
      </c>
      <c r="AE134" s="1" t="s">
        <v>2763</v>
      </c>
      <c r="AF134" s="1" t="s">
        <v>65</v>
      </c>
      <c r="AG134" s="1"/>
      <c r="AH134" s="1"/>
      <c r="AI134" s="1"/>
      <c r="AJ134" s="1"/>
      <c r="AK134" s="1" t="s">
        <v>2764</v>
      </c>
      <c r="AL134" s="1"/>
      <c r="AM134" s="1"/>
      <c r="AN134" s="1"/>
    </row>
    <row r="135">
      <c r="A135" s="1" t="s">
        <v>2766</v>
      </c>
      <c r="B135" s="1" t="s">
        <v>2766</v>
      </c>
      <c r="C135" s="4">
        <v>45908.641689814816</v>
      </c>
      <c r="D135" s="5">
        <v>1.757345042E9</v>
      </c>
      <c r="E135" s="7" t="s">
        <v>2767</v>
      </c>
      <c r="F135" s="1" t="s">
        <v>2769</v>
      </c>
      <c r="G135" s="1" t="s">
        <v>2770</v>
      </c>
      <c r="H135" s="1" t="s">
        <v>2771</v>
      </c>
      <c r="I135" s="5">
        <v>6.03257566E8</v>
      </c>
      <c r="J135" s="7" t="s">
        <v>2773</v>
      </c>
      <c r="K135" s="7" t="s">
        <v>2779</v>
      </c>
      <c r="L135" s="9" t="b">
        <v>0</v>
      </c>
      <c r="M135" s="1" t="s">
        <v>67</v>
      </c>
      <c r="N135" s="1" t="s">
        <v>64</v>
      </c>
      <c r="O135" s="1" t="s">
        <v>65</v>
      </c>
      <c r="P135" s="5">
        <v>0.0</v>
      </c>
      <c r="Q135" s="5">
        <v>0.0</v>
      </c>
      <c r="R135" s="5">
        <v>3.0</v>
      </c>
      <c r="S135" s="5">
        <v>0.0</v>
      </c>
      <c r="T135" s="5">
        <v>75.0</v>
      </c>
      <c r="U135" s="1" t="s">
        <v>65</v>
      </c>
      <c r="V135" s="1"/>
      <c r="W135" s="1" t="s">
        <v>65</v>
      </c>
      <c r="X135" s="1"/>
      <c r="Y135" s="1"/>
      <c r="Z135" s="1"/>
      <c r="AA135" s="1"/>
      <c r="AB135" s="1"/>
      <c r="AC135" s="1" t="s">
        <v>65</v>
      </c>
      <c r="AD135" s="1" t="s">
        <v>65</v>
      </c>
      <c r="AE135" s="1"/>
      <c r="AF135" s="1" t="s">
        <v>65</v>
      </c>
      <c r="AG135" s="1"/>
      <c r="AH135" s="1"/>
      <c r="AI135" s="1"/>
      <c r="AJ135" s="1"/>
      <c r="AK135" s="1"/>
      <c r="AL135" s="1"/>
      <c r="AM135" s="1"/>
      <c r="AN135" s="1"/>
    </row>
    <row r="136" hidden="1">
      <c r="A136" s="1" t="s">
        <v>2783</v>
      </c>
      <c r="B136" s="1" t="s">
        <v>2784</v>
      </c>
      <c r="C136" s="4">
        <v>45908.5787037037</v>
      </c>
      <c r="D136" s="5">
        <v>1.7573396E9</v>
      </c>
      <c r="E136" s="7" t="s">
        <v>2785</v>
      </c>
      <c r="F136" s="1" t="s">
        <v>2792</v>
      </c>
      <c r="G136" s="1" t="s">
        <v>2794</v>
      </c>
      <c r="H136" s="1" t="s">
        <v>2795</v>
      </c>
      <c r="I136" s="1" t="s">
        <v>2796</v>
      </c>
      <c r="J136" s="7" t="s">
        <v>2797</v>
      </c>
      <c r="K136" s="7" t="s">
        <v>2804</v>
      </c>
      <c r="L136" s="9" t="b">
        <v>0</v>
      </c>
      <c r="M136" s="1" t="s">
        <v>85</v>
      </c>
      <c r="N136" s="1" t="s">
        <v>68</v>
      </c>
      <c r="O136" s="1" t="s">
        <v>65</v>
      </c>
      <c r="P136" s="5">
        <v>0.0</v>
      </c>
      <c r="Q136" s="5">
        <v>0.0</v>
      </c>
      <c r="R136" s="5">
        <v>0.0</v>
      </c>
      <c r="S136" s="5">
        <v>0.0</v>
      </c>
      <c r="T136" s="5">
        <v>88.0</v>
      </c>
      <c r="U136" s="1" t="s">
        <v>65</v>
      </c>
      <c r="V136" s="1"/>
      <c r="W136" s="1" t="s">
        <v>65</v>
      </c>
      <c r="X136" s="1"/>
      <c r="Y136" s="1"/>
      <c r="Z136" s="1"/>
      <c r="AA136" s="1"/>
      <c r="AB136" s="1"/>
      <c r="AC136" s="1" t="s">
        <v>65</v>
      </c>
      <c r="AD136" s="1" t="s">
        <v>71</v>
      </c>
      <c r="AE136" s="1" t="s">
        <v>2808</v>
      </c>
      <c r="AF136" s="1" t="s">
        <v>65</v>
      </c>
      <c r="AG136" s="1"/>
      <c r="AH136" s="1"/>
      <c r="AI136" s="1"/>
      <c r="AJ136" s="1"/>
      <c r="AK136" s="1" t="s">
        <v>2808</v>
      </c>
      <c r="AL136" s="1"/>
      <c r="AM136" s="1"/>
      <c r="AN136" s="1"/>
    </row>
    <row r="137">
      <c r="A137" s="1" t="s">
        <v>2809</v>
      </c>
      <c r="B137" s="1" t="s">
        <v>2810</v>
      </c>
      <c r="C137" s="4">
        <v>45908.49086805555</v>
      </c>
      <c r="D137" s="5">
        <v>1.757332011E9</v>
      </c>
      <c r="E137" s="7" t="s">
        <v>2812</v>
      </c>
      <c r="F137" s="1" t="s">
        <v>2819</v>
      </c>
      <c r="G137" s="1" t="s">
        <v>2821</v>
      </c>
      <c r="H137" s="1" t="s">
        <v>2822</v>
      </c>
      <c r="I137" s="1" t="s">
        <v>2823</v>
      </c>
      <c r="J137" s="7" t="s">
        <v>2824</v>
      </c>
      <c r="K137" s="7" t="s">
        <v>2826</v>
      </c>
      <c r="L137" s="9" t="b">
        <v>0</v>
      </c>
      <c r="M137" s="1" t="s">
        <v>67</v>
      </c>
      <c r="N137" s="1" t="s">
        <v>64</v>
      </c>
      <c r="O137" s="1" t="s">
        <v>65</v>
      </c>
      <c r="P137" s="5">
        <v>0.0</v>
      </c>
      <c r="Q137" s="5">
        <v>1.0</v>
      </c>
      <c r="R137" s="5">
        <v>1.0</v>
      </c>
      <c r="S137" s="5">
        <v>0.0</v>
      </c>
      <c r="T137" s="5">
        <v>42.0</v>
      </c>
      <c r="U137" s="1" t="s">
        <v>65</v>
      </c>
      <c r="V137" s="1"/>
      <c r="W137" s="1" t="s">
        <v>65</v>
      </c>
      <c r="X137" s="1"/>
      <c r="Y137" s="1"/>
      <c r="Z137" s="1"/>
      <c r="AA137" s="1"/>
      <c r="AB137" s="1"/>
      <c r="AC137" s="1" t="s">
        <v>65</v>
      </c>
      <c r="AD137" s="1" t="s">
        <v>71</v>
      </c>
      <c r="AE137" s="1" t="s">
        <v>2834</v>
      </c>
      <c r="AF137" s="1" t="s">
        <v>65</v>
      </c>
      <c r="AG137" s="1" t="s">
        <v>1582</v>
      </c>
      <c r="AH137" s="1"/>
      <c r="AI137" s="1"/>
      <c r="AJ137" s="1"/>
      <c r="AK137" s="1" t="s">
        <v>2834</v>
      </c>
      <c r="AL137" s="1"/>
      <c r="AM137" s="1"/>
      <c r="AN137" s="1"/>
    </row>
    <row r="138" hidden="1">
      <c r="A138" s="1" t="s">
        <v>2841</v>
      </c>
      <c r="B138" s="1" t="s">
        <v>2842</v>
      </c>
      <c r="C138" s="4">
        <v>45907.13993055555</v>
      </c>
      <c r="D138" s="5">
        <v>1.75721529E9</v>
      </c>
      <c r="E138" s="7" t="s">
        <v>2843</v>
      </c>
      <c r="F138" s="1" t="s">
        <v>2848</v>
      </c>
      <c r="G138" s="1" t="s">
        <v>2849</v>
      </c>
      <c r="H138" s="1" t="s">
        <v>2850</v>
      </c>
      <c r="I138" s="5">
        <v>2.91497155E8</v>
      </c>
      <c r="J138" s="7" t="s">
        <v>2851</v>
      </c>
      <c r="K138" s="7" t="s">
        <v>2854</v>
      </c>
      <c r="L138" s="9" t="b">
        <v>0</v>
      </c>
      <c r="M138" s="1" t="s">
        <v>85</v>
      </c>
      <c r="N138" s="1" t="s">
        <v>68</v>
      </c>
      <c r="O138" s="1" t="s">
        <v>65</v>
      </c>
      <c r="P138" s="5">
        <v>0.0</v>
      </c>
      <c r="Q138" s="5">
        <v>1.0</v>
      </c>
      <c r="R138" s="5">
        <v>1.0</v>
      </c>
      <c r="S138" s="5">
        <v>0.0</v>
      </c>
      <c r="T138" s="5">
        <v>24.0</v>
      </c>
      <c r="U138" s="1" t="s">
        <v>65</v>
      </c>
      <c r="V138" s="1"/>
      <c r="W138" s="1" t="s">
        <v>65</v>
      </c>
      <c r="X138" s="1"/>
      <c r="Y138" s="1"/>
      <c r="Z138" s="1"/>
      <c r="AA138" s="1"/>
      <c r="AB138" s="1"/>
      <c r="AC138" s="1" t="s">
        <v>65</v>
      </c>
      <c r="AD138" s="1" t="s">
        <v>71</v>
      </c>
      <c r="AE138" s="1" t="s">
        <v>2857</v>
      </c>
      <c r="AF138" s="1" t="s">
        <v>65</v>
      </c>
      <c r="AG138" s="1"/>
      <c r="AH138" s="1"/>
      <c r="AI138" s="1"/>
      <c r="AJ138" s="1"/>
      <c r="AK138" s="1"/>
      <c r="AL138" s="1"/>
      <c r="AM138" s="1"/>
      <c r="AN138" s="1"/>
    </row>
    <row r="139">
      <c r="A139" s="1" t="s">
        <v>1027</v>
      </c>
      <c r="B139" s="1" t="s">
        <v>1027</v>
      </c>
      <c r="C139" s="4">
        <v>45906.65277777778</v>
      </c>
      <c r="D139" s="5">
        <v>1.7571732E9</v>
      </c>
      <c r="E139" s="7" t="s">
        <v>1029</v>
      </c>
      <c r="F139" s="1" t="s">
        <v>1031</v>
      </c>
      <c r="G139" s="1" t="s">
        <v>1032</v>
      </c>
      <c r="H139" s="1" t="s">
        <v>1033</v>
      </c>
      <c r="I139" s="1" t="s">
        <v>1034</v>
      </c>
      <c r="J139" s="7" t="s">
        <v>1035</v>
      </c>
      <c r="K139" s="7" t="s">
        <v>1044</v>
      </c>
      <c r="L139" s="9" t="b">
        <v>0</v>
      </c>
      <c r="M139" s="1" t="s">
        <v>66</v>
      </c>
      <c r="N139" s="1" t="s">
        <v>64</v>
      </c>
      <c r="O139" s="1" t="s">
        <v>65</v>
      </c>
      <c r="P139" s="5">
        <v>0.0</v>
      </c>
      <c r="Q139" s="5">
        <v>0.0</v>
      </c>
      <c r="R139" s="5">
        <v>0.0</v>
      </c>
      <c r="S139" s="5">
        <v>0.0</v>
      </c>
      <c r="T139" s="5">
        <v>76.0</v>
      </c>
      <c r="U139" s="1" t="s">
        <v>65</v>
      </c>
      <c r="V139" s="1"/>
      <c r="W139" s="1" t="s">
        <v>65</v>
      </c>
      <c r="X139" s="1"/>
      <c r="Y139" s="1"/>
      <c r="Z139" s="1"/>
      <c r="AA139" s="1"/>
      <c r="AB139" s="1"/>
      <c r="AC139" s="1" t="s">
        <v>65</v>
      </c>
      <c r="AD139" s="1" t="s">
        <v>65</v>
      </c>
      <c r="AE139" s="1"/>
      <c r="AF139" s="1" t="s">
        <v>65</v>
      </c>
      <c r="AG139" s="1"/>
      <c r="AH139" s="7" t="s">
        <v>1052</v>
      </c>
      <c r="AI139" s="7" t="s">
        <v>1055</v>
      </c>
      <c r="AJ139" s="1"/>
      <c r="AK139" s="1"/>
      <c r="AL139" s="1"/>
      <c r="AM139" s="1"/>
      <c r="AN139" s="1"/>
    </row>
    <row r="140">
      <c r="A140" s="1" t="s">
        <v>2880</v>
      </c>
      <c r="B140" s="1" t="s">
        <v>2882</v>
      </c>
      <c r="C140" s="4">
        <v>45905.31186342592</v>
      </c>
      <c r="D140" s="5">
        <v>1.757057345E9</v>
      </c>
      <c r="E140" s="7" t="s">
        <v>2883</v>
      </c>
      <c r="F140" s="1" t="s">
        <v>2888</v>
      </c>
      <c r="G140" s="1" t="s">
        <v>2890</v>
      </c>
      <c r="H140" s="1" t="s">
        <v>2891</v>
      </c>
      <c r="I140" s="1" t="s">
        <v>2892</v>
      </c>
      <c r="J140" s="7" t="s">
        <v>2893</v>
      </c>
      <c r="K140" s="7" t="s">
        <v>2899</v>
      </c>
      <c r="L140" s="9" t="b">
        <v>0</v>
      </c>
      <c r="M140" s="1" t="s">
        <v>67</v>
      </c>
      <c r="N140" s="1" t="s">
        <v>64</v>
      </c>
      <c r="O140" s="1" t="s">
        <v>65</v>
      </c>
      <c r="P140" s="5">
        <v>0.0</v>
      </c>
      <c r="Q140" s="5">
        <v>1.0</v>
      </c>
      <c r="R140" s="5">
        <v>1.0</v>
      </c>
      <c r="S140" s="5">
        <v>0.0</v>
      </c>
      <c r="T140" s="5">
        <v>5.0</v>
      </c>
      <c r="U140" s="1" t="s">
        <v>65</v>
      </c>
      <c r="V140" s="1"/>
      <c r="W140" s="1" t="s">
        <v>65</v>
      </c>
      <c r="X140" s="1"/>
      <c r="Y140" s="1"/>
      <c r="Z140" s="1"/>
      <c r="AA140" s="1"/>
      <c r="AB140" s="1"/>
      <c r="AC140" s="1" t="s">
        <v>65</v>
      </c>
      <c r="AD140" s="1" t="s">
        <v>71</v>
      </c>
      <c r="AE140" s="1" t="s">
        <v>2907</v>
      </c>
      <c r="AF140" s="1" t="s">
        <v>65</v>
      </c>
      <c r="AG140" s="1"/>
      <c r="AH140" s="1"/>
      <c r="AI140" s="1"/>
      <c r="AJ140" s="1"/>
      <c r="AK140" s="1" t="s">
        <v>2907</v>
      </c>
      <c r="AL140" s="1"/>
      <c r="AM140" s="1"/>
      <c r="AN140" s="1"/>
    </row>
    <row r="141" hidden="1">
      <c r="A141" s="1" t="s">
        <v>2908</v>
      </c>
      <c r="B141" s="1" t="s">
        <v>2909</v>
      </c>
      <c r="C141" s="4">
        <v>45904.66925925926</v>
      </c>
      <c r="D141" s="5">
        <v>1.757001824E9</v>
      </c>
      <c r="E141" s="7" t="s">
        <v>2910</v>
      </c>
      <c r="F141" s="1" t="s">
        <v>2912</v>
      </c>
      <c r="G141" s="1" t="s">
        <v>2913</v>
      </c>
      <c r="H141" s="1" t="s">
        <v>2914</v>
      </c>
      <c r="I141" s="1" t="s">
        <v>2915</v>
      </c>
      <c r="J141" s="7" t="s">
        <v>2917</v>
      </c>
      <c r="K141" s="7" t="s">
        <v>2923</v>
      </c>
      <c r="L141" s="9" t="b">
        <v>0</v>
      </c>
      <c r="M141" s="1" t="s">
        <v>67</v>
      </c>
      <c r="N141" s="1" t="s">
        <v>68</v>
      </c>
      <c r="O141" s="1" t="s">
        <v>65</v>
      </c>
      <c r="P141" s="5">
        <v>0.0</v>
      </c>
      <c r="Q141" s="5">
        <v>1.0</v>
      </c>
      <c r="R141" s="5">
        <v>0.0</v>
      </c>
      <c r="S141" s="5">
        <v>0.0</v>
      </c>
      <c r="T141" s="5">
        <v>295.0</v>
      </c>
      <c r="U141" s="1" t="s">
        <v>65</v>
      </c>
      <c r="V141" s="1"/>
      <c r="W141" s="1" t="s">
        <v>65</v>
      </c>
      <c r="X141" s="1"/>
      <c r="Y141" s="1"/>
      <c r="Z141" s="1"/>
      <c r="AA141" s="1"/>
      <c r="AB141" s="1"/>
      <c r="AC141" s="1" t="s">
        <v>65</v>
      </c>
      <c r="AD141" s="1" t="s">
        <v>71</v>
      </c>
      <c r="AE141" s="1" t="s">
        <v>2930</v>
      </c>
      <c r="AF141" s="1" t="s">
        <v>65</v>
      </c>
      <c r="AG141" s="1"/>
      <c r="AH141" s="1"/>
      <c r="AI141" s="1"/>
      <c r="AJ141" s="1"/>
      <c r="AK141" s="1" t="s">
        <v>2930</v>
      </c>
      <c r="AL141" s="1"/>
      <c r="AM141" s="1"/>
      <c r="AN141" s="1"/>
    </row>
    <row r="142">
      <c r="A142" s="1" t="s">
        <v>2934</v>
      </c>
      <c r="B142" s="1" t="s">
        <v>2935</v>
      </c>
      <c r="C142" s="4">
        <v>45904.656377314815</v>
      </c>
      <c r="D142" s="5">
        <v>1.757000711E9</v>
      </c>
      <c r="E142" s="7" t="s">
        <v>2936</v>
      </c>
      <c r="F142" s="1" t="s">
        <v>2939</v>
      </c>
      <c r="G142" s="1" t="s">
        <v>2940</v>
      </c>
      <c r="H142" s="1" t="s">
        <v>2941</v>
      </c>
      <c r="I142" s="5">
        <v>2.384402196E9</v>
      </c>
      <c r="J142" s="7" t="s">
        <v>2942</v>
      </c>
      <c r="K142" s="7" t="s">
        <v>2945</v>
      </c>
      <c r="L142" s="9" t="b">
        <v>0</v>
      </c>
      <c r="M142" s="1" t="s">
        <v>67</v>
      </c>
      <c r="N142" s="1" t="s">
        <v>64</v>
      </c>
      <c r="O142" s="1" t="s">
        <v>65</v>
      </c>
      <c r="P142" s="5">
        <v>0.0</v>
      </c>
      <c r="Q142" s="5">
        <v>1.0</v>
      </c>
      <c r="R142" s="5">
        <v>3.0</v>
      </c>
      <c r="S142" s="5">
        <v>0.0</v>
      </c>
      <c r="T142" s="5">
        <v>364.0</v>
      </c>
      <c r="U142" s="1" t="s">
        <v>65</v>
      </c>
      <c r="V142" s="1"/>
      <c r="W142" s="1" t="s">
        <v>65</v>
      </c>
      <c r="X142" s="1"/>
      <c r="Y142" s="1"/>
      <c r="Z142" s="1"/>
      <c r="AA142" s="1"/>
      <c r="AB142" s="1"/>
      <c r="AC142" s="1" t="s">
        <v>65</v>
      </c>
      <c r="AD142" s="1" t="s">
        <v>71</v>
      </c>
      <c r="AE142" s="1" t="s">
        <v>2956</v>
      </c>
      <c r="AF142" s="1" t="s">
        <v>65</v>
      </c>
      <c r="AG142" s="1"/>
      <c r="AH142" s="1"/>
      <c r="AI142" s="1"/>
      <c r="AJ142" s="1"/>
      <c r="AK142" s="1" t="s">
        <v>2956</v>
      </c>
      <c r="AL142" s="1"/>
      <c r="AM142" s="1"/>
      <c r="AN142" s="1"/>
    </row>
    <row r="143">
      <c r="A143" s="1" t="s">
        <v>2957</v>
      </c>
      <c r="B143" s="1" t="s">
        <v>2935</v>
      </c>
      <c r="C143" s="4">
        <v>45904.55163194444</v>
      </c>
      <c r="D143" s="5">
        <v>1.756991661E9</v>
      </c>
      <c r="E143" s="7" t="s">
        <v>2958</v>
      </c>
      <c r="F143" s="1" t="s">
        <v>2961</v>
      </c>
      <c r="G143" s="1" t="s">
        <v>2962</v>
      </c>
      <c r="H143" s="1" t="s">
        <v>2963</v>
      </c>
      <c r="I143" s="1" t="s">
        <v>2964</v>
      </c>
      <c r="J143" s="7" t="s">
        <v>2965</v>
      </c>
      <c r="K143" s="7" t="s">
        <v>2969</v>
      </c>
      <c r="L143" s="9" t="b">
        <v>0</v>
      </c>
      <c r="M143" s="1" t="s">
        <v>67</v>
      </c>
      <c r="N143" s="1" t="s">
        <v>64</v>
      </c>
      <c r="O143" s="1" t="s">
        <v>65</v>
      </c>
      <c r="P143" s="5">
        <v>0.0</v>
      </c>
      <c r="Q143" s="5">
        <v>0.0</v>
      </c>
      <c r="R143" s="5">
        <v>0.0</v>
      </c>
      <c r="S143" s="5">
        <v>0.0</v>
      </c>
      <c r="T143" s="5">
        <v>66.0</v>
      </c>
      <c r="U143" s="1" t="s">
        <v>65</v>
      </c>
      <c r="V143" s="1"/>
      <c r="W143" s="1" t="s">
        <v>65</v>
      </c>
      <c r="X143" s="1"/>
      <c r="Y143" s="1"/>
      <c r="Z143" s="1"/>
      <c r="AA143" s="1"/>
      <c r="AB143" s="1"/>
      <c r="AC143" s="1" t="s">
        <v>65</v>
      </c>
      <c r="AD143" s="1" t="s">
        <v>71</v>
      </c>
      <c r="AE143" s="1" t="s">
        <v>2956</v>
      </c>
      <c r="AF143" s="1" t="s">
        <v>65</v>
      </c>
      <c r="AG143" s="1"/>
      <c r="AH143" s="1"/>
      <c r="AI143" s="1"/>
      <c r="AJ143" s="1"/>
      <c r="AK143" s="1" t="s">
        <v>2956</v>
      </c>
      <c r="AL143" s="1"/>
      <c r="AM143" s="1"/>
      <c r="AN143" s="1"/>
    </row>
    <row r="144">
      <c r="A144" s="1" t="s">
        <v>2978</v>
      </c>
      <c r="B144" s="1" t="s">
        <v>2935</v>
      </c>
      <c r="C144" s="4">
        <v>45904.51673611111</v>
      </c>
      <c r="D144" s="5">
        <v>1.756988646E9</v>
      </c>
      <c r="E144" s="7" t="s">
        <v>2979</v>
      </c>
      <c r="F144" s="1" t="s">
        <v>2986</v>
      </c>
      <c r="G144" s="1" t="s">
        <v>2987</v>
      </c>
      <c r="H144" s="1" t="s">
        <v>2988</v>
      </c>
      <c r="I144" s="1" t="s">
        <v>2989</v>
      </c>
      <c r="J144" s="7" t="s">
        <v>2990</v>
      </c>
      <c r="K144" s="7" t="s">
        <v>2992</v>
      </c>
      <c r="L144" s="9" t="b">
        <v>0</v>
      </c>
      <c r="M144" s="1" t="s">
        <v>67</v>
      </c>
      <c r="N144" s="1" t="s">
        <v>64</v>
      </c>
      <c r="O144" s="1" t="s">
        <v>65</v>
      </c>
      <c r="P144" s="5">
        <v>0.0</v>
      </c>
      <c r="Q144" s="5">
        <v>0.0</v>
      </c>
      <c r="R144" s="5">
        <v>1.0</v>
      </c>
      <c r="S144" s="5">
        <v>0.0</v>
      </c>
      <c r="T144" s="5">
        <v>75.0</v>
      </c>
      <c r="U144" s="1" t="s">
        <v>65</v>
      </c>
      <c r="V144" s="1"/>
      <c r="W144" s="1" t="s">
        <v>65</v>
      </c>
      <c r="X144" s="1"/>
      <c r="Y144" s="1"/>
      <c r="Z144" s="1"/>
      <c r="AA144" s="1"/>
      <c r="AB144" s="1"/>
      <c r="AC144" s="1" t="s">
        <v>65</v>
      </c>
      <c r="AD144" s="1" t="s">
        <v>71</v>
      </c>
      <c r="AE144" s="1" t="s">
        <v>2956</v>
      </c>
      <c r="AF144" s="1" t="s">
        <v>65</v>
      </c>
      <c r="AG144" s="1"/>
      <c r="AH144" s="1"/>
      <c r="AI144" s="1"/>
      <c r="AJ144" s="1"/>
      <c r="AK144" s="1" t="s">
        <v>2956</v>
      </c>
      <c r="AL144" s="1"/>
      <c r="AM144" s="1"/>
      <c r="AN144" s="1"/>
    </row>
    <row r="145" hidden="1">
      <c r="A145" s="1" t="s">
        <v>2998</v>
      </c>
      <c r="B145" s="1" t="s">
        <v>2999</v>
      </c>
      <c r="C145" s="4">
        <v>45903.85789351852</v>
      </c>
      <c r="D145" s="5">
        <v>1.756931722E9</v>
      </c>
      <c r="E145" s="7" t="s">
        <v>3000</v>
      </c>
      <c r="F145" s="1" t="s">
        <v>3007</v>
      </c>
      <c r="G145" s="1" t="s">
        <v>3008</v>
      </c>
      <c r="H145" s="1" t="s">
        <v>3009</v>
      </c>
      <c r="I145" s="1" t="s">
        <v>3010</v>
      </c>
      <c r="J145" s="7" t="s">
        <v>3011</v>
      </c>
      <c r="K145" s="7" t="s">
        <v>3012</v>
      </c>
      <c r="L145" s="9" t="b">
        <v>0</v>
      </c>
      <c r="M145" s="1" t="s">
        <v>85</v>
      </c>
      <c r="N145" s="1" t="s">
        <v>68</v>
      </c>
      <c r="O145" s="1" t="s">
        <v>65</v>
      </c>
      <c r="P145" s="5">
        <v>0.0</v>
      </c>
      <c r="Q145" s="5">
        <v>0.0</v>
      </c>
      <c r="R145" s="5">
        <v>0.0</v>
      </c>
      <c r="S145" s="5">
        <v>0.0</v>
      </c>
      <c r="T145" s="5">
        <v>93.0</v>
      </c>
      <c r="U145" s="1" t="s">
        <v>65</v>
      </c>
      <c r="V145" s="1"/>
      <c r="W145" s="1" t="s">
        <v>65</v>
      </c>
      <c r="X145" s="1"/>
      <c r="Y145" s="1"/>
      <c r="Z145" s="1"/>
      <c r="AA145" s="1"/>
      <c r="AB145" s="1"/>
      <c r="AC145" s="1" t="s">
        <v>65</v>
      </c>
      <c r="AD145" s="1" t="s">
        <v>71</v>
      </c>
      <c r="AE145" s="1" t="s">
        <v>341</v>
      </c>
      <c r="AF145" s="1" t="s">
        <v>65</v>
      </c>
      <c r="AG145" s="1"/>
      <c r="AH145" s="1"/>
      <c r="AI145" s="1"/>
      <c r="AJ145" s="1"/>
      <c r="AK145" s="1" t="s">
        <v>341</v>
      </c>
      <c r="AL145" s="1"/>
      <c r="AM145" s="1"/>
      <c r="AN145" s="1"/>
    </row>
    <row r="146">
      <c r="A146" s="1" t="s">
        <v>3019</v>
      </c>
      <c r="B146" s="1" t="s">
        <v>3021</v>
      </c>
      <c r="C146" s="4">
        <v>45903.79662037037</v>
      </c>
      <c r="D146" s="5">
        <v>1.756926428E9</v>
      </c>
      <c r="E146" s="7" t="s">
        <v>3024</v>
      </c>
      <c r="F146" s="1" t="s">
        <v>3026</v>
      </c>
      <c r="G146" s="1" t="s">
        <v>3027</v>
      </c>
      <c r="H146" s="1" t="s">
        <v>3028</v>
      </c>
      <c r="I146" s="1" t="s">
        <v>3029</v>
      </c>
      <c r="J146" s="7" t="s">
        <v>3031</v>
      </c>
      <c r="K146" s="1"/>
      <c r="L146" s="9" t="b">
        <v>0</v>
      </c>
      <c r="M146" s="1" t="s">
        <v>67</v>
      </c>
      <c r="N146" s="1" t="s">
        <v>64</v>
      </c>
      <c r="O146" s="1" t="s">
        <v>65</v>
      </c>
      <c r="P146" s="5">
        <v>0.0</v>
      </c>
      <c r="Q146" s="5">
        <v>0.0</v>
      </c>
      <c r="R146" s="5">
        <v>0.0</v>
      </c>
      <c r="S146" s="5">
        <v>0.0</v>
      </c>
      <c r="T146" s="5">
        <v>6.0</v>
      </c>
      <c r="U146" s="1" t="s">
        <v>65</v>
      </c>
      <c r="V146" s="1"/>
      <c r="W146" s="1" t="s">
        <v>65</v>
      </c>
      <c r="X146" s="1"/>
      <c r="Y146" s="1"/>
      <c r="Z146" s="1"/>
      <c r="AA146" s="1"/>
      <c r="AB146" s="1"/>
      <c r="AC146" s="1" t="s">
        <v>65</v>
      </c>
      <c r="AD146" s="1" t="s">
        <v>71</v>
      </c>
      <c r="AE146" s="1" t="s">
        <v>3038</v>
      </c>
      <c r="AF146" s="1" t="s">
        <v>65</v>
      </c>
      <c r="AG146" s="1"/>
      <c r="AH146" s="1"/>
      <c r="AI146" s="1"/>
      <c r="AJ146" s="1"/>
      <c r="AK146" s="1" t="s">
        <v>3039</v>
      </c>
      <c r="AL146" s="1"/>
      <c r="AM146" s="1"/>
      <c r="AN146" s="1"/>
    </row>
    <row r="147">
      <c r="A147" s="1" t="s">
        <v>3040</v>
      </c>
      <c r="B147" s="1" t="s">
        <v>3040</v>
      </c>
      <c r="C147" s="4">
        <v>45903.75</v>
      </c>
      <c r="D147" s="5">
        <v>1.7569224E9</v>
      </c>
      <c r="E147" s="7" t="s">
        <v>3041</v>
      </c>
      <c r="F147" s="1" t="s">
        <v>3045</v>
      </c>
      <c r="G147" s="1" t="s">
        <v>3047</v>
      </c>
      <c r="H147" s="1" t="s">
        <v>3048</v>
      </c>
      <c r="I147" s="5">
        <v>1.76540641E8</v>
      </c>
      <c r="J147" s="7" t="s">
        <v>3049</v>
      </c>
      <c r="K147" s="7" t="s">
        <v>3053</v>
      </c>
      <c r="L147" s="9" t="b">
        <v>1</v>
      </c>
      <c r="M147" s="1" t="s">
        <v>2646</v>
      </c>
      <c r="N147" s="1" t="s">
        <v>64</v>
      </c>
      <c r="O147" s="1" t="s">
        <v>65</v>
      </c>
      <c r="P147" s="5">
        <v>0.0</v>
      </c>
      <c r="Q147" s="5">
        <v>0.0</v>
      </c>
      <c r="R147" s="5">
        <v>2.0</v>
      </c>
      <c r="S147" s="5">
        <v>0.0</v>
      </c>
      <c r="T147" s="5">
        <v>520.0</v>
      </c>
      <c r="U147" s="1" t="s">
        <v>65</v>
      </c>
      <c r="V147" s="1"/>
      <c r="W147" s="1" t="s">
        <v>65</v>
      </c>
      <c r="X147" s="1"/>
      <c r="Y147" s="1"/>
      <c r="Z147" s="1"/>
      <c r="AA147" s="1"/>
      <c r="AB147" s="1"/>
      <c r="AC147" s="1" t="s">
        <v>65</v>
      </c>
      <c r="AD147" s="1" t="s">
        <v>65</v>
      </c>
      <c r="AE147" s="1"/>
      <c r="AF147" s="1" t="s">
        <v>65</v>
      </c>
      <c r="AG147" s="1"/>
      <c r="AH147" s="1"/>
      <c r="AI147" s="7" t="s">
        <v>3061</v>
      </c>
      <c r="AJ147" s="1"/>
      <c r="AK147" s="1"/>
      <c r="AL147" s="1"/>
      <c r="AM147" s="1"/>
      <c r="AN147" s="1"/>
    </row>
    <row r="148">
      <c r="A148" s="1" t="s">
        <v>3067</v>
      </c>
      <c r="B148" s="1" t="s">
        <v>3021</v>
      </c>
      <c r="C148" s="4">
        <v>45903.66496527778</v>
      </c>
      <c r="D148" s="5">
        <v>1.756915053E9</v>
      </c>
      <c r="E148" s="7" t="s">
        <v>3068</v>
      </c>
      <c r="F148" s="1" t="s">
        <v>3071</v>
      </c>
      <c r="G148" s="1" t="s">
        <v>3072</v>
      </c>
      <c r="H148" s="1" t="s">
        <v>3073</v>
      </c>
      <c r="I148" s="5">
        <v>1.19561738E8</v>
      </c>
      <c r="J148" s="7" t="s">
        <v>3075</v>
      </c>
      <c r="K148" s="7" t="s">
        <v>3077</v>
      </c>
      <c r="L148" s="9" t="b">
        <v>0</v>
      </c>
      <c r="M148" s="1" t="s">
        <v>67</v>
      </c>
      <c r="N148" s="1" t="s">
        <v>64</v>
      </c>
      <c r="O148" s="1" t="s">
        <v>65</v>
      </c>
      <c r="P148" s="5">
        <v>0.0</v>
      </c>
      <c r="Q148" s="5">
        <v>0.0</v>
      </c>
      <c r="R148" s="5">
        <v>0.0</v>
      </c>
      <c r="S148" s="5">
        <v>0.0</v>
      </c>
      <c r="T148" s="5">
        <v>10.0</v>
      </c>
      <c r="U148" s="1" t="s">
        <v>65</v>
      </c>
      <c r="V148" s="1"/>
      <c r="W148" s="1" t="s">
        <v>65</v>
      </c>
      <c r="X148" s="1"/>
      <c r="Y148" s="1"/>
      <c r="Z148" s="1"/>
      <c r="AA148" s="1"/>
      <c r="AB148" s="1"/>
      <c r="AC148" s="1" t="s">
        <v>65</v>
      </c>
      <c r="AD148" s="1" t="s">
        <v>71</v>
      </c>
      <c r="AE148" s="1" t="s">
        <v>3083</v>
      </c>
      <c r="AF148" s="1" t="s">
        <v>65</v>
      </c>
      <c r="AG148" s="1"/>
      <c r="AH148" s="1"/>
      <c r="AI148" s="1"/>
      <c r="AJ148" s="1"/>
      <c r="AK148" s="1" t="s">
        <v>3085</v>
      </c>
      <c r="AL148" s="1"/>
      <c r="AM148" s="1"/>
      <c r="AN148" s="1"/>
    </row>
    <row r="149">
      <c r="A149" s="1" t="s">
        <v>1826</v>
      </c>
      <c r="B149" s="1" t="s">
        <v>1826</v>
      </c>
      <c r="C149" s="4">
        <v>45902.080034722225</v>
      </c>
      <c r="D149" s="5">
        <v>1.756778115E9</v>
      </c>
      <c r="E149" s="7" t="s">
        <v>1830</v>
      </c>
      <c r="F149" s="1" t="s">
        <v>1832</v>
      </c>
      <c r="G149" s="1" t="s">
        <v>370</v>
      </c>
      <c r="H149" s="1" t="s">
        <v>372</v>
      </c>
      <c r="I149" s="1" t="s">
        <v>374</v>
      </c>
      <c r="J149" s="7" t="s">
        <v>377</v>
      </c>
      <c r="K149" s="1"/>
      <c r="L149" s="9" t="b">
        <v>0</v>
      </c>
      <c r="M149" s="1" t="s">
        <v>63</v>
      </c>
      <c r="N149" s="1" t="s">
        <v>64</v>
      </c>
      <c r="O149" s="1" t="s">
        <v>65</v>
      </c>
      <c r="P149" s="5">
        <v>0.0</v>
      </c>
      <c r="Q149" s="5">
        <v>0.0</v>
      </c>
      <c r="R149" s="5">
        <v>0.0</v>
      </c>
      <c r="S149" s="5">
        <v>0.0</v>
      </c>
      <c r="T149" s="5">
        <v>8.0</v>
      </c>
      <c r="U149" s="1" t="s">
        <v>65</v>
      </c>
      <c r="V149" s="1"/>
      <c r="W149" s="1" t="s">
        <v>65</v>
      </c>
      <c r="X149" s="1"/>
      <c r="Y149" s="1"/>
      <c r="Z149" s="1"/>
      <c r="AA149" s="1"/>
      <c r="AB149" s="1"/>
      <c r="AC149" s="1" t="s">
        <v>65</v>
      </c>
      <c r="AD149" s="1" t="s">
        <v>65</v>
      </c>
      <c r="AE149" s="1"/>
      <c r="AF149" s="1" t="s">
        <v>65</v>
      </c>
      <c r="AG149" s="1"/>
      <c r="AH149" s="1"/>
      <c r="AI149" s="7" t="s">
        <v>1834</v>
      </c>
      <c r="AJ149" s="7" t="s">
        <v>1836</v>
      </c>
      <c r="AK149" s="1"/>
      <c r="AL149" s="1"/>
      <c r="AM149" s="1"/>
      <c r="AN149" s="1"/>
    </row>
    <row r="150" hidden="1">
      <c r="A150" s="1" t="s">
        <v>3110</v>
      </c>
      <c r="B150" s="1" t="s">
        <v>3112</v>
      </c>
      <c r="C150" s="4">
        <v>45901.89561342593</v>
      </c>
      <c r="D150" s="5">
        <v>1.756762181E9</v>
      </c>
      <c r="E150" s="7" t="s">
        <v>3116</v>
      </c>
      <c r="F150" s="1" t="s">
        <v>3120</v>
      </c>
      <c r="G150" s="1" t="s">
        <v>3121</v>
      </c>
      <c r="H150" s="1" t="s">
        <v>3123</v>
      </c>
      <c r="I150" s="1" t="s">
        <v>3124</v>
      </c>
      <c r="J150" s="7" t="s">
        <v>3125</v>
      </c>
      <c r="K150" s="7" t="s">
        <v>3134</v>
      </c>
      <c r="L150" s="9" t="b">
        <v>0</v>
      </c>
      <c r="M150" s="1" t="s">
        <v>67</v>
      </c>
      <c r="N150" s="1" t="s">
        <v>68</v>
      </c>
      <c r="O150" s="1" t="s">
        <v>65</v>
      </c>
      <c r="P150" s="5">
        <v>0.0</v>
      </c>
      <c r="Q150" s="5">
        <v>0.0</v>
      </c>
      <c r="R150" s="5">
        <v>1.0</v>
      </c>
      <c r="S150" s="5">
        <v>0.0</v>
      </c>
      <c r="T150" s="5">
        <v>57.0</v>
      </c>
      <c r="U150" s="1" t="s">
        <v>65</v>
      </c>
      <c r="V150" s="1"/>
      <c r="W150" s="1" t="s">
        <v>65</v>
      </c>
      <c r="X150" s="1"/>
      <c r="Y150" s="1"/>
      <c r="Z150" s="1"/>
      <c r="AA150" s="1"/>
      <c r="AB150" s="1"/>
      <c r="AC150" s="1" t="s">
        <v>65</v>
      </c>
      <c r="AD150" s="1" t="s">
        <v>71</v>
      </c>
      <c r="AE150" s="1" t="s">
        <v>3139</v>
      </c>
      <c r="AF150" s="1" t="s">
        <v>65</v>
      </c>
      <c r="AG150" s="1"/>
      <c r="AH150" s="1"/>
      <c r="AI150" s="1"/>
      <c r="AJ150" s="1"/>
      <c r="AK150" s="1" t="s">
        <v>3139</v>
      </c>
      <c r="AL150" s="1"/>
      <c r="AM150" s="1"/>
      <c r="AN150" s="1"/>
    </row>
    <row r="151" hidden="1">
      <c r="A151" s="1" t="s">
        <v>3142</v>
      </c>
      <c r="B151" s="1" t="s">
        <v>3143</v>
      </c>
      <c r="C151" s="4">
        <v>45901.5128125</v>
      </c>
      <c r="D151" s="5">
        <v>1.756729107E9</v>
      </c>
      <c r="E151" s="7" t="s">
        <v>3144</v>
      </c>
      <c r="F151" s="1" t="s">
        <v>3150</v>
      </c>
      <c r="G151" s="1" t="s">
        <v>3151</v>
      </c>
      <c r="H151" s="1" t="s">
        <v>3152</v>
      </c>
      <c r="I151" s="5">
        <v>1.99635685E8</v>
      </c>
      <c r="J151" s="7" t="s">
        <v>3153</v>
      </c>
      <c r="K151" s="1"/>
      <c r="L151" s="9" t="b">
        <v>0</v>
      </c>
      <c r="M151" s="1" t="s">
        <v>85</v>
      </c>
      <c r="N151" s="1" t="s">
        <v>68</v>
      </c>
      <c r="O151" s="1" t="s">
        <v>65</v>
      </c>
      <c r="P151" s="5">
        <v>0.0</v>
      </c>
      <c r="Q151" s="5">
        <v>1.0</v>
      </c>
      <c r="R151" s="5">
        <v>0.0</v>
      </c>
      <c r="S151" s="5">
        <v>0.0</v>
      </c>
      <c r="T151" s="5">
        <v>10.0</v>
      </c>
      <c r="U151" s="1" t="s">
        <v>65</v>
      </c>
      <c r="V151" s="1"/>
      <c r="W151" s="1" t="s">
        <v>65</v>
      </c>
      <c r="X151" s="1"/>
      <c r="Y151" s="1"/>
      <c r="Z151" s="1"/>
      <c r="AA151" s="1"/>
      <c r="AB151" s="1"/>
      <c r="AC151" s="1" t="s">
        <v>65</v>
      </c>
      <c r="AD151" s="1" t="s">
        <v>71</v>
      </c>
      <c r="AE151" s="1" t="s">
        <v>3151</v>
      </c>
      <c r="AF151" s="1" t="s">
        <v>65</v>
      </c>
      <c r="AG151" s="1"/>
      <c r="AH151" s="1"/>
      <c r="AI151" s="1"/>
      <c r="AJ151" s="1"/>
      <c r="AK151" s="1"/>
      <c r="AL151" s="1"/>
      <c r="AM151" s="1"/>
      <c r="AN151" s="1"/>
    </row>
    <row r="152" hidden="1">
      <c r="A152" s="1" t="s">
        <v>3155</v>
      </c>
      <c r="B152" s="1" t="s">
        <v>3156</v>
      </c>
      <c r="C152" s="4">
        <v>45901.00418981481</v>
      </c>
      <c r="D152" s="5">
        <v>1.756685162E9</v>
      </c>
      <c r="E152" s="7" t="s">
        <v>3157</v>
      </c>
      <c r="F152" s="1" t="s">
        <v>3159</v>
      </c>
      <c r="G152" s="1" t="s">
        <v>3160</v>
      </c>
      <c r="H152" s="1" t="s">
        <v>3161</v>
      </c>
      <c r="I152" s="1" t="s">
        <v>3162</v>
      </c>
      <c r="J152" s="7" t="s">
        <v>3164</v>
      </c>
      <c r="K152" s="7" t="s">
        <v>3171</v>
      </c>
      <c r="L152" s="9" t="b">
        <v>0</v>
      </c>
      <c r="M152" s="1" t="s">
        <v>85</v>
      </c>
      <c r="N152" s="1" t="s">
        <v>68</v>
      </c>
      <c r="O152" s="1" t="s">
        <v>65</v>
      </c>
      <c r="P152" s="5">
        <v>0.0</v>
      </c>
      <c r="Q152" s="5">
        <v>1.0</v>
      </c>
      <c r="R152" s="5">
        <v>1.0</v>
      </c>
      <c r="S152" s="5">
        <v>0.0</v>
      </c>
      <c r="T152" s="5">
        <v>35.0</v>
      </c>
      <c r="U152" s="1" t="s">
        <v>65</v>
      </c>
      <c r="V152" s="1"/>
      <c r="W152" s="1" t="s">
        <v>65</v>
      </c>
      <c r="X152" s="1"/>
      <c r="Y152" s="1"/>
      <c r="Z152" s="1"/>
      <c r="AA152" s="1"/>
      <c r="AB152" s="1"/>
      <c r="AC152" s="1" t="s">
        <v>65</v>
      </c>
      <c r="AD152" s="1" t="s">
        <v>71</v>
      </c>
      <c r="AE152" s="1" t="s">
        <v>3176</v>
      </c>
      <c r="AF152" s="1" t="s">
        <v>65</v>
      </c>
      <c r="AG152" s="1"/>
      <c r="AH152" s="1"/>
      <c r="AI152" s="1"/>
      <c r="AJ152" s="1"/>
      <c r="AK152" s="1" t="s">
        <v>3176</v>
      </c>
      <c r="AL152" s="1"/>
      <c r="AM152" s="1"/>
      <c r="AN152" s="1"/>
    </row>
    <row r="153" hidden="1">
      <c r="A153" s="1" t="s">
        <v>3179</v>
      </c>
      <c r="B153" s="1" t="s">
        <v>3179</v>
      </c>
      <c r="C153" s="4">
        <v>45899.65797453704</v>
      </c>
      <c r="D153" s="5">
        <v>1.756568849E9</v>
      </c>
      <c r="E153" s="7" t="s">
        <v>3182</v>
      </c>
      <c r="F153" s="1" t="s">
        <v>3186</v>
      </c>
      <c r="G153" s="1" t="s">
        <v>3187</v>
      </c>
      <c r="H153" s="1" t="s">
        <v>3189</v>
      </c>
      <c r="I153" s="1" t="s">
        <v>3192</v>
      </c>
      <c r="J153" s="7" t="s">
        <v>3194</v>
      </c>
      <c r="K153" s="7" t="s">
        <v>3199</v>
      </c>
      <c r="L153" s="9" t="b">
        <v>0</v>
      </c>
      <c r="M153" s="1" t="s">
        <v>66</v>
      </c>
      <c r="N153" s="1" t="s">
        <v>68</v>
      </c>
      <c r="O153" s="1" t="s">
        <v>65</v>
      </c>
      <c r="P153" s="5">
        <v>0.0</v>
      </c>
      <c r="Q153" s="5">
        <v>0.0</v>
      </c>
      <c r="R153" s="5">
        <v>8.0</v>
      </c>
      <c r="S153" s="5">
        <v>0.0</v>
      </c>
      <c r="T153" s="5">
        <v>437.0</v>
      </c>
      <c r="U153" s="1" t="s">
        <v>65</v>
      </c>
      <c r="V153" s="1"/>
      <c r="W153" s="1" t="s">
        <v>65</v>
      </c>
      <c r="X153" s="1"/>
      <c r="Y153" s="1"/>
      <c r="Z153" s="1"/>
      <c r="AA153" s="1"/>
      <c r="AB153" s="1"/>
      <c r="AC153" s="1" t="s">
        <v>65</v>
      </c>
      <c r="AD153" s="1" t="s">
        <v>65</v>
      </c>
      <c r="AE153" s="1"/>
      <c r="AF153" s="1" t="s">
        <v>65</v>
      </c>
      <c r="AG153" s="1" t="s">
        <v>3202</v>
      </c>
      <c r="AH153" s="1"/>
      <c r="AI153" s="7" t="s">
        <v>3203</v>
      </c>
      <c r="AJ153" s="7" t="s">
        <v>3208</v>
      </c>
      <c r="AK153" s="1" t="s">
        <v>3215</v>
      </c>
      <c r="AL153" s="1"/>
      <c r="AM153" s="1"/>
      <c r="AN153" s="1"/>
    </row>
    <row r="154">
      <c r="A154" s="1" t="s">
        <v>428</v>
      </c>
      <c r="B154" s="1" t="s">
        <v>428</v>
      </c>
      <c r="C154" s="4">
        <v>45899.175578703704</v>
      </c>
      <c r="D154" s="5">
        <v>1.75652717E9</v>
      </c>
      <c r="E154" s="7" t="s">
        <v>435</v>
      </c>
      <c r="F154" s="1" t="s">
        <v>437</v>
      </c>
      <c r="G154" s="1" t="s">
        <v>370</v>
      </c>
      <c r="H154" s="1" t="s">
        <v>372</v>
      </c>
      <c r="I154" s="1" t="s">
        <v>374</v>
      </c>
      <c r="J154" s="7" t="s">
        <v>377</v>
      </c>
      <c r="K154" s="1"/>
      <c r="L154" s="9" t="b">
        <v>0</v>
      </c>
      <c r="M154" s="1" t="s">
        <v>63</v>
      </c>
      <c r="N154" s="1" t="s">
        <v>64</v>
      </c>
      <c r="O154" s="1" t="s">
        <v>65</v>
      </c>
      <c r="P154" s="5">
        <v>0.0</v>
      </c>
      <c r="Q154" s="5">
        <v>0.0</v>
      </c>
      <c r="R154" s="5">
        <v>0.0</v>
      </c>
      <c r="S154" s="5">
        <v>0.0</v>
      </c>
      <c r="T154" s="5">
        <v>37.0</v>
      </c>
      <c r="U154" s="1" t="s">
        <v>65</v>
      </c>
      <c r="V154" s="1"/>
      <c r="W154" s="1" t="s">
        <v>65</v>
      </c>
      <c r="X154" s="1"/>
      <c r="Y154" s="1"/>
      <c r="Z154" s="1"/>
      <c r="AA154" s="1"/>
      <c r="AB154" s="1"/>
      <c r="AC154" s="1" t="s">
        <v>65</v>
      </c>
      <c r="AD154" s="1" t="s">
        <v>65</v>
      </c>
      <c r="AE154" s="1"/>
      <c r="AF154" s="1" t="s">
        <v>65</v>
      </c>
      <c r="AG154" s="1" t="s">
        <v>414</v>
      </c>
      <c r="AH154" s="1"/>
      <c r="AI154" s="7" t="s">
        <v>441</v>
      </c>
      <c r="AJ154" s="7" t="s">
        <v>451</v>
      </c>
      <c r="AK154" s="1"/>
      <c r="AL154" s="1"/>
      <c r="AM154" s="1"/>
      <c r="AN154" s="1"/>
    </row>
    <row r="155" hidden="1">
      <c r="A155" s="1" t="s">
        <v>3236</v>
      </c>
      <c r="B155" s="1" t="s">
        <v>3237</v>
      </c>
      <c r="C155" s="4">
        <v>45899.131053240744</v>
      </c>
      <c r="D155" s="5">
        <v>1.756523323E9</v>
      </c>
      <c r="E155" s="7" t="s">
        <v>3238</v>
      </c>
      <c r="F155" s="1" t="s">
        <v>3239</v>
      </c>
      <c r="G155" s="1" t="s">
        <v>3241</v>
      </c>
      <c r="H155" s="1" t="s">
        <v>3242</v>
      </c>
      <c r="I155" s="5">
        <v>1.56137033E9</v>
      </c>
      <c r="J155" s="7" t="s">
        <v>3243</v>
      </c>
      <c r="K155" s="7" t="s">
        <v>3244</v>
      </c>
      <c r="L155" s="9" t="b">
        <v>0</v>
      </c>
      <c r="M155" s="1" t="s">
        <v>67</v>
      </c>
      <c r="N155" s="1" t="s">
        <v>68</v>
      </c>
      <c r="O155" s="1" t="s">
        <v>65</v>
      </c>
      <c r="P155" s="5">
        <v>0.0</v>
      </c>
      <c r="Q155" s="5">
        <v>0.0</v>
      </c>
      <c r="R155" s="5">
        <v>0.0</v>
      </c>
      <c r="S155" s="5">
        <v>0.0</v>
      </c>
      <c r="T155" s="5">
        <v>11.0</v>
      </c>
      <c r="U155" s="1" t="s">
        <v>65</v>
      </c>
      <c r="V155" s="1"/>
      <c r="W155" s="1" t="s">
        <v>65</v>
      </c>
      <c r="X155" s="1"/>
      <c r="Y155" s="1"/>
      <c r="Z155" s="1"/>
      <c r="AA155" s="1"/>
      <c r="AB155" s="1"/>
      <c r="AC155" s="1" t="s">
        <v>65</v>
      </c>
      <c r="AD155" s="1" t="s">
        <v>71</v>
      </c>
      <c r="AE155" s="1" t="s">
        <v>3248</v>
      </c>
      <c r="AF155" s="1" t="s">
        <v>65</v>
      </c>
      <c r="AG155" s="1"/>
      <c r="AH155" s="1"/>
      <c r="AI155" s="1"/>
      <c r="AJ155" s="1"/>
      <c r="AK155" s="1" t="s">
        <v>3248</v>
      </c>
      <c r="AL155" s="1"/>
      <c r="AM155" s="1"/>
      <c r="AN155" s="1"/>
    </row>
    <row r="156" hidden="1">
      <c r="A156" s="1" t="s">
        <v>3254</v>
      </c>
      <c r="B156" s="1" t="s">
        <v>3254</v>
      </c>
      <c r="C156" s="4">
        <v>45899.089375</v>
      </c>
      <c r="D156" s="5">
        <v>1.756519722E9</v>
      </c>
      <c r="E156" s="7" t="s">
        <v>3255</v>
      </c>
      <c r="F156" s="1" t="s">
        <v>3258</v>
      </c>
      <c r="G156" s="1" t="s">
        <v>3259</v>
      </c>
      <c r="H156" s="1" t="s">
        <v>3260</v>
      </c>
      <c r="I156" s="1" t="s">
        <v>3261</v>
      </c>
      <c r="J156" s="7" t="s">
        <v>3263</v>
      </c>
      <c r="K156" s="7" t="s">
        <v>3271</v>
      </c>
      <c r="L156" s="9" t="b">
        <v>0</v>
      </c>
      <c r="M156" s="1" t="s">
        <v>67</v>
      </c>
      <c r="N156" s="1" t="s">
        <v>68</v>
      </c>
      <c r="O156" s="1" t="s">
        <v>65</v>
      </c>
      <c r="P156" s="5">
        <v>0.0</v>
      </c>
      <c r="Q156" s="5">
        <v>0.0</v>
      </c>
      <c r="R156" s="5">
        <v>0.0</v>
      </c>
      <c r="S156" s="5">
        <v>0.0</v>
      </c>
      <c r="T156" s="5">
        <v>40.0</v>
      </c>
      <c r="U156" s="1" t="s">
        <v>65</v>
      </c>
      <c r="V156" s="1"/>
      <c r="W156" s="1" t="s">
        <v>65</v>
      </c>
      <c r="X156" s="1"/>
      <c r="Y156" s="1"/>
      <c r="Z156" s="1"/>
      <c r="AA156" s="1"/>
      <c r="AB156" s="1"/>
      <c r="AC156" s="1" t="s">
        <v>65</v>
      </c>
      <c r="AD156" s="1" t="s">
        <v>65</v>
      </c>
      <c r="AE156" s="1"/>
      <c r="AF156" s="1" t="s">
        <v>65</v>
      </c>
      <c r="AG156" s="1"/>
      <c r="AH156" s="1"/>
      <c r="AI156" s="1"/>
      <c r="AJ156" s="1"/>
      <c r="AK156" s="1"/>
      <c r="AL156" s="1"/>
      <c r="AM156" s="1"/>
      <c r="AN156" s="1"/>
    </row>
    <row r="157" hidden="1">
      <c r="A157" s="1" t="s">
        <v>3276</v>
      </c>
      <c r="B157" s="1" t="s">
        <v>3276</v>
      </c>
      <c r="C157" s="4">
        <v>45899.0787037037</v>
      </c>
      <c r="D157" s="5">
        <v>1.7565188E9</v>
      </c>
      <c r="E157" s="7" t="s">
        <v>3278</v>
      </c>
      <c r="F157" s="1" t="s">
        <v>3281</v>
      </c>
      <c r="G157" s="1" t="s">
        <v>3282</v>
      </c>
      <c r="H157" s="1" t="s">
        <v>3283</v>
      </c>
      <c r="I157" s="1" t="s">
        <v>3284</v>
      </c>
      <c r="J157" s="7" t="s">
        <v>3285</v>
      </c>
      <c r="K157" s="7" t="s">
        <v>3289</v>
      </c>
      <c r="L157" s="9" t="b">
        <v>0</v>
      </c>
      <c r="M157" s="1" t="s">
        <v>67</v>
      </c>
      <c r="N157" s="1" t="s">
        <v>68</v>
      </c>
      <c r="O157" s="1" t="s">
        <v>65</v>
      </c>
      <c r="P157" s="5">
        <v>0.0</v>
      </c>
      <c r="Q157" s="5">
        <v>0.0</v>
      </c>
      <c r="R157" s="5">
        <v>0.0</v>
      </c>
      <c r="S157" s="5">
        <v>0.0</v>
      </c>
      <c r="T157" s="5">
        <v>25.0</v>
      </c>
      <c r="U157" s="1" t="s">
        <v>65</v>
      </c>
      <c r="V157" s="1"/>
      <c r="W157" s="1" t="s">
        <v>65</v>
      </c>
      <c r="X157" s="1"/>
      <c r="Y157" s="1"/>
      <c r="Z157" s="1"/>
      <c r="AA157" s="1"/>
      <c r="AB157" s="1"/>
      <c r="AC157" s="1" t="s">
        <v>65</v>
      </c>
      <c r="AD157" s="1" t="s">
        <v>65</v>
      </c>
      <c r="AE157" s="1"/>
      <c r="AF157" s="1" t="s">
        <v>65</v>
      </c>
      <c r="AG157" s="1" t="s">
        <v>3202</v>
      </c>
      <c r="AH157" s="1"/>
      <c r="AI157" s="7" t="s">
        <v>591</v>
      </c>
      <c r="AJ157" s="7" t="s">
        <v>605</v>
      </c>
      <c r="AK157" s="1"/>
      <c r="AL157" s="1"/>
      <c r="AM157" s="1"/>
      <c r="AN157" s="1"/>
    </row>
    <row r="158" hidden="1">
      <c r="A158" s="1" t="s">
        <v>3314</v>
      </c>
      <c r="B158" s="1" t="s">
        <v>3315</v>
      </c>
      <c r="C158" s="4">
        <v>45898.890706018516</v>
      </c>
      <c r="D158" s="5">
        <v>1.756502557E9</v>
      </c>
      <c r="E158" s="7" t="s">
        <v>3316</v>
      </c>
      <c r="F158" s="1" t="s">
        <v>3325</v>
      </c>
      <c r="G158" s="1" t="s">
        <v>3327</v>
      </c>
      <c r="H158" s="1" t="s">
        <v>3328</v>
      </c>
      <c r="I158" s="1" t="s">
        <v>3329</v>
      </c>
      <c r="J158" s="7" t="s">
        <v>3330</v>
      </c>
      <c r="K158" s="7" t="s">
        <v>3332</v>
      </c>
      <c r="L158" s="9" t="b">
        <v>0</v>
      </c>
      <c r="M158" s="1" t="s">
        <v>85</v>
      </c>
      <c r="N158" s="1" t="s">
        <v>68</v>
      </c>
      <c r="O158" s="1" t="s">
        <v>65</v>
      </c>
      <c r="P158" s="5">
        <v>0.0</v>
      </c>
      <c r="Q158" s="5">
        <v>1.0</v>
      </c>
      <c r="R158" s="5">
        <v>0.0</v>
      </c>
      <c r="S158" s="5">
        <v>0.0</v>
      </c>
      <c r="T158" s="5">
        <v>35.0</v>
      </c>
      <c r="U158" s="1" t="s">
        <v>65</v>
      </c>
      <c r="V158" s="1"/>
      <c r="W158" s="1" t="s">
        <v>65</v>
      </c>
      <c r="X158" s="1"/>
      <c r="Y158" s="1"/>
      <c r="Z158" s="1"/>
      <c r="AA158" s="1"/>
      <c r="AB158" s="1"/>
      <c r="AC158" s="1" t="s">
        <v>65</v>
      </c>
      <c r="AD158" s="1" t="s">
        <v>71</v>
      </c>
      <c r="AE158" s="1" t="s">
        <v>3340</v>
      </c>
      <c r="AF158" s="1" t="s">
        <v>65</v>
      </c>
      <c r="AG158" s="1"/>
      <c r="AH158" s="1"/>
      <c r="AI158" s="1"/>
      <c r="AJ158" s="1"/>
      <c r="AK158" s="1"/>
      <c r="AL158" s="1"/>
      <c r="AM158" s="1"/>
      <c r="AN158" s="1"/>
    </row>
    <row r="159" hidden="1">
      <c r="A159" s="1" t="s">
        <v>1868</v>
      </c>
      <c r="B159" s="1" t="s">
        <v>1868</v>
      </c>
      <c r="C159" s="4">
        <v>45898.74783564815</v>
      </c>
      <c r="D159" s="5">
        <v>1.756490213E9</v>
      </c>
      <c r="E159" s="7" t="s">
        <v>1869</v>
      </c>
      <c r="F159" s="1" t="s">
        <v>1872</v>
      </c>
      <c r="G159" s="1" t="s">
        <v>1873</v>
      </c>
      <c r="H159" s="1" t="s">
        <v>1874</v>
      </c>
      <c r="I159" s="1" t="s">
        <v>1875</v>
      </c>
      <c r="J159" s="7" t="s">
        <v>3350</v>
      </c>
      <c r="K159" s="7" t="s">
        <v>3355</v>
      </c>
      <c r="L159" s="9" t="b">
        <v>0</v>
      </c>
      <c r="M159" s="1" t="s">
        <v>67</v>
      </c>
      <c r="N159" s="1" t="s">
        <v>68</v>
      </c>
      <c r="O159" s="1" t="s">
        <v>65</v>
      </c>
      <c r="P159" s="5">
        <v>1.0</v>
      </c>
      <c r="Q159" s="5">
        <v>2.0</v>
      </c>
      <c r="R159" s="5">
        <v>17.0</v>
      </c>
      <c r="S159" s="5">
        <v>1.0</v>
      </c>
      <c r="T159" s="5">
        <v>429.0</v>
      </c>
      <c r="U159" s="1" t="s">
        <v>65</v>
      </c>
      <c r="V159" s="1"/>
      <c r="W159" s="1" t="s">
        <v>65</v>
      </c>
      <c r="X159" s="1"/>
      <c r="Y159" s="1"/>
      <c r="Z159" s="1"/>
      <c r="AA159" s="1"/>
      <c r="AB159" s="1"/>
      <c r="AC159" s="1" t="s">
        <v>65</v>
      </c>
      <c r="AD159" s="1" t="s">
        <v>65</v>
      </c>
      <c r="AE159" s="1"/>
      <c r="AF159" s="1" t="s">
        <v>65</v>
      </c>
      <c r="AG159" s="1"/>
      <c r="AH159" s="1"/>
      <c r="AI159" s="7" t="s">
        <v>591</v>
      </c>
      <c r="AJ159" s="7" t="s">
        <v>605</v>
      </c>
      <c r="AK159" s="1"/>
      <c r="AL159" s="1"/>
      <c r="AM159" s="1"/>
      <c r="AN159" s="1"/>
    </row>
    <row r="160" hidden="1">
      <c r="A160" s="1" t="s">
        <v>1359</v>
      </c>
      <c r="B160" s="1" t="s">
        <v>1359</v>
      </c>
      <c r="C160" s="4">
        <v>45898.710439814815</v>
      </c>
      <c r="D160" s="5">
        <v>1.756486982E9</v>
      </c>
      <c r="E160" s="7" t="s">
        <v>1361</v>
      </c>
      <c r="F160" s="1" t="s">
        <v>1363</v>
      </c>
      <c r="G160" s="1" t="s">
        <v>1364</v>
      </c>
      <c r="H160" s="1" t="s">
        <v>1365</v>
      </c>
      <c r="I160" s="1" t="s">
        <v>1366</v>
      </c>
      <c r="J160" s="7" t="s">
        <v>1367</v>
      </c>
      <c r="K160" s="7" t="s">
        <v>1370</v>
      </c>
      <c r="L160" s="9" t="b">
        <v>0</v>
      </c>
      <c r="M160" s="1" t="s">
        <v>67</v>
      </c>
      <c r="N160" s="1" t="s">
        <v>68</v>
      </c>
      <c r="O160" s="1" t="s">
        <v>65</v>
      </c>
      <c r="P160" s="5">
        <v>11.0</v>
      </c>
      <c r="Q160" s="5">
        <v>0.0</v>
      </c>
      <c r="R160" s="5">
        <v>24.0</v>
      </c>
      <c r="S160" s="5">
        <v>0.0</v>
      </c>
      <c r="T160" s="5">
        <v>466.0</v>
      </c>
      <c r="U160" s="1" t="s">
        <v>65</v>
      </c>
      <c r="V160" s="1"/>
      <c r="W160" s="1" t="s">
        <v>65</v>
      </c>
      <c r="X160" s="1"/>
      <c r="Y160" s="1"/>
      <c r="Z160" s="1"/>
      <c r="AA160" s="1"/>
      <c r="AB160" s="1"/>
      <c r="AC160" s="1" t="s">
        <v>65</v>
      </c>
      <c r="AD160" s="1" t="s">
        <v>65</v>
      </c>
      <c r="AE160" s="1"/>
      <c r="AF160" s="1" t="s">
        <v>65</v>
      </c>
      <c r="AG160" s="1"/>
      <c r="AH160" s="1"/>
      <c r="AI160" s="7" t="s">
        <v>591</v>
      </c>
      <c r="AJ160" s="7" t="s">
        <v>605</v>
      </c>
      <c r="AK160" s="1" t="s">
        <v>1375</v>
      </c>
      <c r="AL160" s="1"/>
      <c r="AM160" s="1"/>
      <c r="AN160" s="1"/>
    </row>
    <row r="161" hidden="1">
      <c r="A161" s="1" t="s">
        <v>3377</v>
      </c>
      <c r="B161" s="1" t="s">
        <v>3378</v>
      </c>
      <c r="C161" s="4">
        <v>45898.70659722222</v>
      </c>
      <c r="D161" s="5">
        <v>1.75648665E9</v>
      </c>
      <c r="E161" s="7" t="s">
        <v>3379</v>
      </c>
      <c r="F161" s="1" t="s">
        <v>3383</v>
      </c>
      <c r="G161" s="1" t="s">
        <v>1364</v>
      </c>
      <c r="H161" s="1" t="s">
        <v>1365</v>
      </c>
      <c r="I161" s="1" t="s">
        <v>1366</v>
      </c>
      <c r="J161" s="7" t="s">
        <v>1367</v>
      </c>
      <c r="K161" s="7" t="s">
        <v>1370</v>
      </c>
      <c r="L161" s="9" t="b">
        <v>0</v>
      </c>
      <c r="M161" s="1" t="s">
        <v>67</v>
      </c>
      <c r="N161" s="1" t="s">
        <v>68</v>
      </c>
      <c r="O161" s="1" t="s">
        <v>65</v>
      </c>
      <c r="P161" s="5">
        <v>1.0</v>
      </c>
      <c r="Q161" s="5">
        <v>1.0</v>
      </c>
      <c r="R161" s="5">
        <v>3.0</v>
      </c>
      <c r="S161" s="5">
        <v>0.0</v>
      </c>
      <c r="T161" s="5">
        <v>73.0</v>
      </c>
      <c r="U161" s="1" t="s">
        <v>65</v>
      </c>
      <c r="V161" s="1"/>
      <c r="W161" s="1" t="s">
        <v>65</v>
      </c>
      <c r="X161" s="1"/>
      <c r="Y161" s="1"/>
      <c r="Z161" s="1"/>
      <c r="AA161" s="1"/>
      <c r="AB161" s="1"/>
      <c r="AC161" s="1" t="s">
        <v>65</v>
      </c>
      <c r="AD161" s="1" t="s">
        <v>71</v>
      </c>
      <c r="AE161" s="1" t="s">
        <v>1364</v>
      </c>
      <c r="AF161" s="1" t="s">
        <v>65</v>
      </c>
      <c r="AG161" s="1"/>
      <c r="AH161" s="1"/>
      <c r="AI161" s="1"/>
      <c r="AJ161" s="1"/>
      <c r="AK161" s="1"/>
      <c r="AL161" s="1"/>
      <c r="AM161" s="1"/>
      <c r="AN161" s="1"/>
    </row>
    <row r="162" hidden="1">
      <c r="A162" s="1" t="s">
        <v>677</v>
      </c>
      <c r="B162" s="1" t="s">
        <v>677</v>
      </c>
      <c r="C162" s="4">
        <v>45898.70033564815</v>
      </c>
      <c r="D162" s="5">
        <v>1.756486109E9</v>
      </c>
      <c r="E162" s="7" t="s">
        <v>678</v>
      </c>
      <c r="F162" s="1" t="s">
        <v>682</v>
      </c>
      <c r="G162" s="1" t="s">
        <v>683</v>
      </c>
      <c r="H162" s="1" t="s">
        <v>684</v>
      </c>
      <c r="I162" s="1" t="s">
        <v>685</v>
      </c>
      <c r="J162" s="7" t="s">
        <v>686</v>
      </c>
      <c r="K162" s="7" t="s">
        <v>694</v>
      </c>
      <c r="L162" s="9" t="b">
        <v>1</v>
      </c>
      <c r="M162" s="1" t="s">
        <v>85</v>
      </c>
      <c r="N162" s="1" t="s">
        <v>68</v>
      </c>
      <c r="O162" s="1" t="s">
        <v>65</v>
      </c>
      <c r="P162" s="5">
        <v>215.0</v>
      </c>
      <c r="Q162" s="5">
        <v>29.0</v>
      </c>
      <c r="R162" s="5">
        <v>1953.0</v>
      </c>
      <c r="S162" s="5">
        <v>116.0</v>
      </c>
      <c r="T162" s="5">
        <v>32194.0</v>
      </c>
      <c r="U162" s="1" t="s">
        <v>65</v>
      </c>
      <c r="V162" s="1"/>
      <c r="W162" s="1" t="s">
        <v>65</v>
      </c>
      <c r="X162" s="1"/>
      <c r="Y162" s="1"/>
      <c r="Z162" s="1"/>
      <c r="AA162" s="1"/>
      <c r="AB162" s="1"/>
      <c r="AC162" s="1" t="s">
        <v>65</v>
      </c>
      <c r="AD162" s="1" t="s">
        <v>65</v>
      </c>
      <c r="AE162" s="1"/>
      <c r="AF162" s="1" t="s">
        <v>65</v>
      </c>
      <c r="AG162" s="1"/>
      <c r="AH162" s="1"/>
      <c r="AI162" s="7" t="s">
        <v>591</v>
      </c>
      <c r="AJ162" s="7" t="s">
        <v>605</v>
      </c>
      <c r="AK162" s="1"/>
      <c r="AL162" s="1"/>
      <c r="AM162" s="1"/>
      <c r="AN162" s="1"/>
    </row>
    <row r="163" hidden="1">
      <c r="A163" s="1" t="s">
        <v>567</v>
      </c>
      <c r="B163" s="1" t="s">
        <v>567</v>
      </c>
      <c r="C163" s="4">
        <v>45898.67958333333</v>
      </c>
      <c r="D163" s="5">
        <v>1.756484316E9</v>
      </c>
      <c r="E163" s="7" t="s">
        <v>568</v>
      </c>
      <c r="F163" s="1" t="s">
        <v>571</v>
      </c>
      <c r="G163" s="1" t="s">
        <v>572</v>
      </c>
      <c r="H163" s="1" t="s">
        <v>3399</v>
      </c>
      <c r="I163" s="1" t="s">
        <v>574</v>
      </c>
      <c r="J163" s="7" t="s">
        <v>3400</v>
      </c>
      <c r="K163" s="7" t="s">
        <v>3404</v>
      </c>
      <c r="L163" s="9" t="b">
        <v>0</v>
      </c>
      <c r="M163" s="1" t="s">
        <v>85</v>
      </c>
      <c r="N163" s="1" t="s">
        <v>68</v>
      </c>
      <c r="O163" s="1" t="s">
        <v>65</v>
      </c>
      <c r="P163" s="5">
        <v>28.0</v>
      </c>
      <c r="Q163" s="5">
        <v>0.0</v>
      </c>
      <c r="R163" s="5">
        <v>172.0</v>
      </c>
      <c r="S163" s="5">
        <v>2.0</v>
      </c>
      <c r="T163" s="5">
        <v>3444.0</v>
      </c>
      <c r="U163" s="1" t="s">
        <v>65</v>
      </c>
      <c r="V163" s="1"/>
      <c r="W163" s="1" t="s">
        <v>65</v>
      </c>
      <c r="X163" s="1"/>
      <c r="Y163" s="1"/>
      <c r="Z163" s="1"/>
      <c r="AA163" s="1"/>
      <c r="AB163" s="1"/>
      <c r="AC163" s="1" t="s">
        <v>65</v>
      </c>
      <c r="AD163" s="1" t="s">
        <v>65</v>
      </c>
      <c r="AE163" s="1"/>
      <c r="AF163" s="1" t="s">
        <v>65</v>
      </c>
      <c r="AG163" s="1"/>
      <c r="AH163" s="1"/>
      <c r="AI163" s="7" t="s">
        <v>591</v>
      </c>
      <c r="AJ163" s="7" t="s">
        <v>605</v>
      </c>
      <c r="AK163" s="1"/>
      <c r="AL163" s="1"/>
      <c r="AM163" s="1"/>
      <c r="AN163" s="1"/>
    </row>
    <row r="164">
      <c r="A164" s="1" t="s">
        <v>2181</v>
      </c>
      <c r="B164" s="1" t="s">
        <v>2181</v>
      </c>
      <c r="C164" s="4">
        <v>45898.62090277778</v>
      </c>
      <c r="D164" s="5">
        <v>1.756479246E9</v>
      </c>
      <c r="E164" s="7" t="s">
        <v>2183</v>
      </c>
      <c r="F164" s="1" t="s">
        <v>2184</v>
      </c>
      <c r="G164" s="1" t="s">
        <v>2185</v>
      </c>
      <c r="H164" s="1" t="s">
        <v>2187</v>
      </c>
      <c r="I164" s="5">
        <v>3.528171918E9</v>
      </c>
      <c r="J164" s="7" t="s">
        <v>2188</v>
      </c>
      <c r="K164" s="7" t="s">
        <v>2191</v>
      </c>
      <c r="L164" s="9" t="b">
        <v>0</v>
      </c>
      <c r="M164" s="1" t="s">
        <v>67</v>
      </c>
      <c r="N164" s="1" t="s">
        <v>64</v>
      </c>
      <c r="O164" s="1" t="s">
        <v>65</v>
      </c>
      <c r="P164" s="5">
        <v>50.0</v>
      </c>
      <c r="Q164" s="5">
        <v>7.0</v>
      </c>
      <c r="R164" s="5">
        <v>430.0</v>
      </c>
      <c r="S164" s="5">
        <v>6.0</v>
      </c>
      <c r="T164" s="5">
        <v>8539.0</v>
      </c>
      <c r="U164" s="1" t="s">
        <v>65</v>
      </c>
      <c r="V164" s="1"/>
      <c r="W164" s="1" t="s">
        <v>65</v>
      </c>
      <c r="X164" s="1"/>
      <c r="Y164" s="1"/>
      <c r="Z164" s="1"/>
      <c r="AA164" s="1"/>
      <c r="AB164" s="1"/>
      <c r="AC164" s="1" t="s">
        <v>65</v>
      </c>
      <c r="AD164" s="1" t="s">
        <v>65</v>
      </c>
      <c r="AE164" s="1"/>
      <c r="AF164" s="1" t="s">
        <v>65</v>
      </c>
      <c r="AG164" s="1"/>
      <c r="AH164" s="1"/>
      <c r="AI164" s="7" t="s">
        <v>591</v>
      </c>
      <c r="AJ164" s="7" t="s">
        <v>605</v>
      </c>
      <c r="AK164" s="1"/>
      <c r="AL164" s="1"/>
      <c r="AM164" s="1"/>
      <c r="AN164" s="1"/>
    </row>
    <row r="165" hidden="1">
      <c r="A165" s="1" t="s">
        <v>3429</v>
      </c>
      <c r="B165" s="1" t="s">
        <v>3429</v>
      </c>
      <c r="C165" s="4">
        <v>45898.6202662037</v>
      </c>
      <c r="D165" s="5">
        <v>1.756479191E9</v>
      </c>
      <c r="E165" s="7" t="s">
        <v>3431</v>
      </c>
      <c r="F165" s="1" t="s">
        <v>3432</v>
      </c>
      <c r="G165" s="1" t="s">
        <v>3433</v>
      </c>
      <c r="H165" s="1" t="s">
        <v>3434</v>
      </c>
      <c r="I165" s="1" t="s">
        <v>3435</v>
      </c>
      <c r="J165" s="7" t="s">
        <v>3436</v>
      </c>
      <c r="K165" s="7" t="s">
        <v>3441</v>
      </c>
      <c r="L165" s="9" t="b">
        <v>0</v>
      </c>
      <c r="M165" s="1" t="s">
        <v>67</v>
      </c>
      <c r="N165" s="1" t="s">
        <v>2012</v>
      </c>
      <c r="O165" s="1" t="s">
        <v>65</v>
      </c>
      <c r="P165" s="5">
        <v>0.0</v>
      </c>
      <c r="Q165" s="5">
        <v>0.0</v>
      </c>
      <c r="R165" s="5">
        <v>1.0</v>
      </c>
      <c r="S165" s="5">
        <v>0.0</v>
      </c>
      <c r="T165" s="5">
        <v>194.0</v>
      </c>
      <c r="U165" s="1" t="s">
        <v>65</v>
      </c>
      <c r="V165" s="1"/>
      <c r="W165" s="1" t="s">
        <v>65</v>
      </c>
      <c r="X165" s="1"/>
      <c r="Y165" s="1"/>
      <c r="Z165" s="1"/>
      <c r="AA165" s="1"/>
      <c r="AB165" s="1"/>
      <c r="AC165" s="1" t="s">
        <v>65</v>
      </c>
      <c r="AD165" s="1" t="s">
        <v>65</v>
      </c>
      <c r="AE165" s="1"/>
      <c r="AF165" s="1" t="s">
        <v>65</v>
      </c>
      <c r="AG165" s="1"/>
      <c r="AH165" s="1"/>
      <c r="AI165" s="1"/>
      <c r="AJ165" s="1"/>
      <c r="AK165" s="1"/>
      <c r="AL165" s="1"/>
      <c r="AM165" s="1"/>
      <c r="AN165" s="1"/>
    </row>
    <row r="166">
      <c r="A166" s="1" t="s">
        <v>3448</v>
      </c>
      <c r="B166" s="1" t="s">
        <v>3448</v>
      </c>
      <c r="C166" s="4">
        <v>45896.6337037037</v>
      </c>
      <c r="D166" s="5">
        <v>1.756307552E9</v>
      </c>
      <c r="E166" s="7" t="s">
        <v>3453</v>
      </c>
      <c r="F166" s="1" t="s">
        <v>3454</v>
      </c>
      <c r="G166" s="1" t="s">
        <v>3455</v>
      </c>
      <c r="H166" s="1" t="s">
        <v>3457</v>
      </c>
      <c r="I166" s="5">
        <v>4.8185021E7</v>
      </c>
      <c r="J166" s="7" t="s">
        <v>3459</v>
      </c>
      <c r="K166" s="7" t="s">
        <v>3461</v>
      </c>
      <c r="L166" s="9" t="b">
        <v>0</v>
      </c>
      <c r="M166" s="1" t="s">
        <v>66</v>
      </c>
      <c r="N166" s="1" t="s">
        <v>64</v>
      </c>
      <c r="O166" s="1" t="s">
        <v>65</v>
      </c>
      <c r="P166" s="5">
        <v>0.0</v>
      </c>
      <c r="Q166" s="5">
        <v>0.0</v>
      </c>
      <c r="R166" s="5">
        <v>0.0</v>
      </c>
      <c r="S166" s="5">
        <v>0.0</v>
      </c>
      <c r="T166" s="5">
        <v>32.0</v>
      </c>
      <c r="U166" s="1" t="s">
        <v>65</v>
      </c>
      <c r="V166" s="1"/>
      <c r="W166" s="1" t="s">
        <v>65</v>
      </c>
      <c r="X166" s="1"/>
      <c r="Y166" s="1"/>
      <c r="Z166" s="1"/>
      <c r="AA166" s="1"/>
      <c r="AB166" s="1"/>
      <c r="AC166" s="1" t="s">
        <v>65</v>
      </c>
      <c r="AD166" s="1" t="s">
        <v>65</v>
      </c>
      <c r="AE166" s="1"/>
      <c r="AF166" s="1" t="s">
        <v>65</v>
      </c>
      <c r="AG166" s="1"/>
      <c r="AH166" s="1"/>
      <c r="AI166" s="1"/>
      <c r="AJ166" s="1"/>
      <c r="AK166" s="1"/>
      <c r="AL166" s="1"/>
      <c r="AM166" s="1"/>
      <c r="AN166" s="1"/>
    </row>
    <row r="167">
      <c r="A167" s="1" t="s">
        <v>3476</v>
      </c>
      <c r="B167" s="1" t="s">
        <v>3478</v>
      </c>
      <c r="C167" s="4">
        <v>45896.28724537037</v>
      </c>
      <c r="D167" s="5">
        <v>1.756277618E9</v>
      </c>
      <c r="E167" s="7" t="s">
        <v>3480</v>
      </c>
      <c r="F167" s="1" t="s">
        <v>3487</v>
      </c>
      <c r="G167" s="1" t="s">
        <v>1304</v>
      </c>
      <c r="H167" s="1" t="s">
        <v>1305</v>
      </c>
      <c r="I167" s="1" t="s">
        <v>1306</v>
      </c>
      <c r="J167" s="7" t="s">
        <v>1307</v>
      </c>
      <c r="K167" s="7" t="s">
        <v>1309</v>
      </c>
      <c r="L167" s="9" t="b">
        <v>0</v>
      </c>
      <c r="M167" s="1" t="s">
        <v>66</v>
      </c>
      <c r="N167" s="1" t="s">
        <v>64</v>
      </c>
      <c r="O167" s="1" t="s">
        <v>65</v>
      </c>
      <c r="P167" s="5">
        <v>0.0</v>
      </c>
      <c r="Q167" s="5">
        <v>1.0</v>
      </c>
      <c r="R167" s="5">
        <v>1.0</v>
      </c>
      <c r="S167" s="5">
        <v>0.0</v>
      </c>
      <c r="T167" s="5">
        <v>18.0</v>
      </c>
      <c r="U167" s="1" t="s">
        <v>65</v>
      </c>
      <c r="V167" s="1"/>
      <c r="W167" s="1" t="s">
        <v>65</v>
      </c>
      <c r="X167" s="1"/>
      <c r="Y167" s="1"/>
      <c r="Z167" s="1"/>
      <c r="AA167" s="1"/>
      <c r="AB167" s="1"/>
      <c r="AC167" s="1" t="s">
        <v>65</v>
      </c>
      <c r="AD167" s="1" t="s">
        <v>71</v>
      </c>
      <c r="AE167" s="1" t="s">
        <v>1304</v>
      </c>
      <c r="AF167" s="1" t="s">
        <v>65</v>
      </c>
      <c r="AG167" s="1"/>
      <c r="AH167" s="1"/>
      <c r="AI167" s="1"/>
      <c r="AJ167" s="1"/>
      <c r="AK167" s="1" t="s">
        <v>3493</v>
      </c>
      <c r="AL167" s="1"/>
      <c r="AM167" s="1"/>
      <c r="AN167" s="1"/>
    </row>
    <row r="168">
      <c r="A168" s="1" t="s">
        <v>3494</v>
      </c>
      <c r="B168" s="1" t="s">
        <v>3478</v>
      </c>
      <c r="C168" s="4">
        <v>45896.28628472222</v>
      </c>
      <c r="D168" s="5">
        <v>1.756277535E9</v>
      </c>
      <c r="E168" s="7" t="s">
        <v>3496</v>
      </c>
      <c r="F168" s="1" t="s">
        <v>3497</v>
      </c>
      <c r="G168" s="1" t="s">
        <v>709</v>
      </c>
      <c r="H168" s="1" t="s">
        <v>710</v>
      </c>
      <c r="I168" s="1" t="s">
        <v>711</v>
      </c>
      <c r="J168" s="7" t="s">
        <v>712</v>
      </c>
      <c r="K168" s="7" t="s">
        <v>719</v>
      </c>
      <c r="L168" s="9" t="b">
        <v>1</v>
      </c>
      <c r="M168" s="1" t="s">
        <v>721</v>
      </c>
      <c r="N168" s="1" t="s">
        <v>64</v>
      </c>
      <c r="O168" s="1" t="s">
        <v>65</v>
      </c>
      <c r="P168" s="5">
        <v>1.0</v>
      </c>
      <c r="Q168" s="5">
        <v>1.0</v>
      </c>
      <c r="R168" s="5">
        <v>0.0</v>
      </c>
      <c r="S168" s="5">
        <v>0.0</v>
      </c>
      <c r="T168" s="5">
        <v>56.0</v>
      </c>
      <c r="U168" s="1" t="s">
        <v>65</v>
      </c>
      <c r="V168" s="1"/>
      <c r="W168" s="1" t="s">
        <v>65</v>
      </c>
      <c r="X168" s="1"/>
      <c r="Y168" s="1"/>
      <c r="Z168" s="1"/>
      <c r="AA168" s="1"/>
      <c r="AB168" s="1"/>
      <c r="AC168" s="1" t="s">
        <v>65</v>
      </c>
      <c r="AD168" s="1" t="s">
        <v>71</v>
      </c>
      <c r="AE168" s="1" t="s">
        <v>709</v>
      </c>
      <c r="AF168" s="1" t="s">
        <v>65</v>
      </c>
      <c r="AG168" s="1"/>
      <c r="AH168" s="1"/>
      <c r="AI168" s="7" t="s">
        <v>3499</v>
      </c>
      <c r="AJ168" s="7" t="s">
        <v>3502</v>
      </c>
      <c r="AK168" s="1" t="s">
        <v>3506</v>
      </c>
      <c r="AL168" s="1"/>
      <c r="AM168" s="1"/>
      <c r="AN168" s="1"/>
    </row>
    <row r="169">
      <c r="A169" s="1" t="s">
        <v>3507</v>
      </c>
      <c r="B169" s="1" t="s">
        <v>3478</v>
      </c>
      <c r="C169" s="4">
        <v>45895.60471064815</v>
      </c>
      <c r="D169" s="5">
        <v>1.756218647E9</v>
      </c>
      <c r="E169" s="7" t="s">
        <v>3509</v>
      </c>
      <c r="F169" s="1" t="s">
        <v>3513</v>
      </c>
      <c r="G169" s="1" t="s">
        <v>3514</v>
      </c>
      <c r="H169" s="1" t="s">
        <v>3515</v>
      </c>
      <c r="I169" s="5">
        <v>4.885318043E9</v>
      </c>
      <c r="J169" s="7" t="s">
        <v>3516</v>
      </c>
      <c r="K169" s="7" t="s">
        <v>3523</v>
      </c>
      <c r="L169" s="9" t="b">
        <v>0</v>
      </c>
      <c r="M169" s="1" t="s">
        <v>66</v>
      </c>
      <c r="N169" s="1" t="s">
        <v>64</v>
      </c>
      <c r="O169" s="1" t="s">
        <v>65</v>
      </c>
      <c r="P169" s="5">
        <v>1.0</v>
      </c>
      <c r="Q169" s="5">
        <v>1.0</v>
      </c>
      <c r="R169" s="5">
        <v>5.0</v>
      </c>
      <c r="S169" s="5">
        <v>0.0</v>
      </c>
      <c r="T169" s="5">
        <v>213.0</v>
      </c>
      <c r="U169" s="1" t="s">
        <v>65</v>
      </c>
      <c r="V169" s="1"/>
      <c r="W169" s="1" t="s">
        <v>65</v>
      </c>
      <c r="X169" s="1"/>
      <c r="Y169" s="1"/>
      <c r="Z169" s="1"/>
      <c r="AA169" s="1"/>
      <c r="AB169" s="1"/>
      <c r="AC169" s="1" t="s">
        <v>65</v>
      </c>
      <c r="AD169" s="1" t="s">
        <v>71</v>
      </c>
      <c r="AE169" s="1" t="s">
        <v>3514</v>
      </c>
      <c r="AF169" s="1" t="s">
        <v>65</v>
      </c>
      <c r="AG169" s="1"/>
      <c r="AH169" s="1"/>
      <c r="AI169" s="1"/>
      <c r="AJ169" s="1"/>
      <c r="AK169" s="1" t="s">
        <v>3528</v>
      </c>
      <c r="AL169" s="1"/>
      <c r="AM169" s="1"/>
      <c r="AN169" s="1"/>
    </row>
    <row r="170">
      <c r="A170" s="1" t="s">
        <v>3529</v>
      </c>
      <c r="B170" s="1" t="s">
        <v>3529</v>
      </c>
      <c r="C170" s="4">
        <v>45894.90114583333</v>
      </c>
      <c r="D170" s="5">
        <v>1.756157859E9</v>
      </c>
      <c r="E170" s="7" t="s">
        <v>3530</v>
      </c>
      <c r="F170" s="1" t="s">
        <v>3538</v>
      </c>
      <c r="G170" s="1" t="s">
        <v>3539</v>
      </c>
      <c r="H170" s="1" t="s">
        <v>3540</v>
      </c>
      <c r="I170" s="1" t="s">
        <v>3541</v>
      </c>
      <c r="J170" s="7" t="s">
        <v>3542</v>
      </c>
      <c r="K170" s="7" t="s">
        <v>3545</v>
      </c>
      <c r="L170" s="9" t="b">
        <v>0</v>
      </c>
      <c r="M170" s="1" t="s">
        <v>66</v>
      </c>
      <c r="N170" s="1" t="s">
        <v>64</v>
      </c>
      <c r="O170" s="1" t="s">
        <v>65</v>
      </c>
      <c r="P170" s="5">
        <v>0.0</v>
      </c>
      <c r="Q170" s="5">
        <v>0.0</v>
      </c>
      <c r="R170" s="5">
        <v>0.0</v>
      </c>
      <c r="S170" s="5">
        <v>0.0</v>
      </c>
      <c r="T170" s="5">
        <v>24.0</v>
      </c>
      <c r="U170" s="1" t="s">
        <v>65</v>
      </c>
      <c r="V170" s="1"/>
      <c r="W170" s="1" t="s">
        <v>65</v>
      </c>
      <c r="X170" s="1"/>
      <c r="Y170" s="1"/>
      <c r="Z170" s="1"/>
      <c r="AA170" s="1"/>
      <c r="AB170" s="1"/>
      <c r="AC170" s="1" t="s">
        <v>65</v>
      </c>
      <c r="AD170" s="1" t="s">
        <v>65</v>
      </c>
      <c r="AE170" s="1"/>
      <c r="AF170" s="1" t="s">
        <v>65</v>
      </c>
      <c r="AG170" s="1"/>
      <c r="AH170" s="1"/>
      <c r="AI170" s="1"/>
      <c r="AJ170" s="1"/>
      <c r="AK170" s="1"/>
      <c r="AL170" s="1"/>
      <c r="AM170" s="1"/>
      <c r="AN170" s="1"/>
    </row>
    <row r="171" hidden="1">
      <c r="A171" s="1" t="s">
        <v>3553</v>
      </c>
      <c r="B171" s="1" t="s">
        <v>3554</v>
      </c>
      <c r="C171" s="4">
        <v>45894.483148148145</v>
      </c>
      <c r="D171" s="5">
        <v>1.756121744E9</v>
      </c>
      <c r="E171" s="7" t="s">
        <v>3555</v>
      </c>
      <c r="F171" s="1" t="s">
        <v>3560</v>
      </c>
      <c r="G171" s="1" t="s">
        <v>3561</v>
      </c>
      <c r="H171" s="1" t="s">
        <v>3562</v>
      </c>
      <c r="I171" s="1" t="s">
        <v>3563</v>
      </c>
      <c r="J171" s="7" t="s">
        <v>3564</v>
      </c>
      <c r="K171" s="7" t="s">
        <v>3566</v>
      </c>
      <c r="L171" s="9" t="b">
        <v>0</v>
      </c>
      <c r="M171" s="1" t="s">
        <v>67</v>
      </c>
      <c r="N171" s="1" t="s">
        <v>68</v>
      </c>
      <c r="O171" s="1" t="s">
        <v>65</v>
      </c>
      <c r="P171" s="5">
        <v>0.0</v>
      </c>
      <c r="Q171" s="5">
        <v>1.0</v>
      </c>
      <c r="R171" s="5">
        <v>4.0</v>
      </c>
      <c r="S171" s="5">
        <v>0.0</v>
      </c>
      <c r="T171" s="5">
        <v>585.0</v>
      </c>
      <c r="U171" s="1" t="s">
        <v>65</v>
      </c>
      <c r="V171" s="1"/>
      <c r="W171" s="1" t="s">
        <v>65</v>
      </c>
      <c r="X171" s="1"/>
      <c r="Y171" s="1"/>
      <c r="Z171" s="1"/>
      <c r="AA171" s="1"/>
      <c r="AB171" s="1"/>
      <c r="AC171" s="1" t="s">
        <v>65</v>
      </c>
      <c r="AD171" s="1" t="s">
        <v>71</v>
      </c>
      <c r="AE171" s="1" t="s">
        <v>3575</v>
      </c>
      <c r="AF171" s="1" t="s">
        <v>65</v>
      </c>
      <c r="AG171" s="1"/>
      <c r="AH171" s="1"/>
      <c r="AI171" s="1"/>
      <c r="AJ171" s="1"/>
      <c r="AK171" s="1" t="s">
        <v>3575</v>
      </c>
      <c r="AL171" s="1"/>
      <c r="AM171" s="1"/>
      <c r="AN171" s="1"/>
    </row>
    <row r="172" hidden="1">
      <c r="A172" s="1" t="s">
        <v>3576</v>
      </c>
      <c r="B172" s="1" t="s">
        <v>3577</v>
      </c>
      <c r="C172" s="4">
        <v>45893.93478009259</v>
      </c>
      <c r="D172" s="5">
        <v>1.756074365E9</v>
      </c>
      <c r="E172" s="7" t="s">
        <v>3578</v>
      </c>
      <c r="F172" s="1" t="s">
        <v>3584</v>
      </c>
      <c r="G172" s="1" t="s">
        <v>3585</v>
      </c>
      <c r="H172" s="1" t="s">
        <v>3586</v>
      </c>
      <c r="I172" s="1" t="s">
        <v>3587</v>
      </c>
      <c r="J172" s="7" t="s">
        <v>3588</v>
      </c>
      <c r="K172" s="1"/>
      <c r="L172" s="9" t="b">
        <v>0</v>
      </c>
      <c r="M172" s="1" t="s">
        <v>85</v>
      </c>
      <c r="N172" s="1" t="s">
        <v>68</v>
      </c>
      <c r="O172" s="1" t="s">
        <v>65</v>
      </c>
      <c r="P172" s="5">
        <v>0.0</v>
      </c>
      <c r="Q172" s="5">
        <v>0.0</v>
      </c>
      <c r="R172" s="5">
        <v>0.0</v>
      </c>
      <c r="S172" s="5">
        <v>0.0</v>
      </c>
      <c r="T172" s="5">
        <v>58.0</v>
      </c>
      <c r="U172" s="1" t="s">
        <v>65</v>
      </c>
      <c r="V172" s="1"/>
      <c r="W172" s="1" t="s">
        <v>65</v>
      </c>
      <c r="X172" s="1"/>
      <c r="Y172" s="1"/>
      <c r="Z172" s="1"/>
      <c r="AA172" s="1"/>
      <c r="AB172" s="1"/>
      <c r="AC172" s="1" t="s">
        <v>65</v>
      </c>
      <c r="AD172" s="1" t="s">
        <v>71</v>
      </c>
      <c r="AE172" s="1" t="s">
        <v>3585</v>
      </c>
      <c r="AF172" s="1" t="s">
        <v>65</v>
      </c>
      <c r="AG172" s="1"/>
      <c r="AH172" s="1"/>
      <c r="AI172" s="1"/>
      <c r="AJ172" s="1"/>
      <c r="AK172" s="1" t="s">
        <v>3596</v>
      </c>
      <c r="AL172" s="1"/>
      <c r="AM172" s="1"/>
      <c r="AN172" s="1"/>
    </row>
    <row r="173">
      <c r="A173" s="1" t="s">
        <v>2572</v>
      </c>
      <c r="B173" s="1" t="s">
        <v>2573</v>
      </c>
      <c r="C173" s="4">
        <v>45892.88490740741</v>
      </c>
      <c r="D173" s="5">
        <v>1.755983656E9</v>
      </c>
      <c r="E173" s="7" t="s">
        <v>2574</v>
      </c>
      <c r="F173" s="1" t="s">
        <v>2579</v>
      </c>
      <c r="G173" s="1" t="s">
        <v>2580</v>
      </c>
      <c r="H173" s="1" t="s">
        <v>2581</v>
      </c>
      <c r="I173" s="1" t="s">
        <v>2582</v>
      </c>
      <c r="J173" s="7" t="s">
        <v>2583</v>
      </c>
      <c r="K173" s="7" t="s">
        <v>2590</v>
      </c>
      <c r="L173" s="9" t="b">
        <v>0</v>
      </c>
      <c r="M173" s="1" t="s">
        <v>67</v>
      </c>
      <c r="N173" s="1" t="s">
        <v>64</v>
      </c>
      <c r="O173" s="1" t="s">
        <v>65</v>
      </c>
      <c r="P173" s="5">
        <v>23.0</v>
      </c>
      <c r="Q173" s="5">
        <v>21.0</v>
      </c>
      <c r="R173" s="5">
        <v>804.0</v>
      </c>
      <c r="S173" s="5">
        <v>0.0</v>
      </c>
      <c r="T173" s="5">
        <v>49151.0</v>
      </c>
      <c r="U173" s="1" t="s">
        <v>65</v>
      </c>
      <c r="V173" s="1"/>
      <c r="W173" s="1" t="s">
        <v>65</v>
      </c>
      <c r="X173" s="1"/>
      <c r="Y173" s="1"/>
      <c r="Z173" s="1"/>
      <c r="AA173" s="1"/>
      <c r="AB173" s="1"/>
      <c r="AC173" s="1" t="s">
        <v>65</v>
      </c>
      <c r="AD173" s="1" t="s">
        <v>71</v>
      </c>
      <c r="AE173" s="1" t="s">
        <v>2580</v>
      </c>
      <c r="AF173" s="1" t="s">
        <v>65</v>
      </c>
      <c r="AG173" s="1"/>
      <c r="AH173" s="1"/>
      <c r="AI173" s="1"/>
      <c r="AJ173" s="1"/>
      <c r="AK173" s="1"/>
      <c r="AL173" s="1"/>
      <c r="AM173" s="1"/>
      <c r="AN173" s="1"/>
    </row>
    <row r="174" hidden="1">
      <c r="A174" s="1" t="s">
        <v>3617</v>
      </c>
      <c r="B174" s="1" t="s">
        <v>3617</v>
      </c>
      <c r="C174" s="4">
        <v>45892.000706018516</v>
      </c>
      <c r="D174" s="5">
        <v>1.755907261E9</v>
      </c>
      <c r="E174" s="7" t="s">
        <v>3623</v>
      </c>
      <c r="F174" s="1" t="s">
        <v>3628</v>
      </c>
      <c r="G174" s="1" t="s">
        <v>3629</v>
      </c>
      <c r="H174" s="1" t="s">
        <v>3630</v>
      </c>
      <c r="I174" s="1" t="s">
        <v>3631</v>
      </c>
      <c r="J174" s="7" t="s">
        <v>3632</v>
      </c>
      <c r="K174" s="7" t="s">
        <v>3637</v>
      </c>
      <c r="L174" s="9" t="b">
        <v>0</v>
      </c>
      <c r="M174" s="1" t="s">
        <v>66</v>
      </c>
      <c r="N174" s="1" t="s">
        <v>68</v>
      </c>
      <c r="O174" s="1" t="s">
        <v>65</v>
      </c>
      <c r="P174" s="5">
        <v>0.0</v>
      </c>
      <c r="Q174" s="5">
        <v>0.0</v>
      </c>
      <c r="R174" s="5">
        <v>4.0</v>
      </c>
      <c r="S174" s="5">
        <v>0.0</v>
      </c>
      <c r="T174" s="5">
        <v>179.0</v>
      </c>
      <c r="U174" s="1" t="s">
        <v>65</v>
      </c>
      <c r="V174" s="1"/>
      <c r="W174" s="1" t="s">
        <v>71</v>
      </c>
      <c r="X174" s="1" t="s">
        <v>3646</v>
      </c>
      <c r="Y174" s="1" t="s">
        <v>3648</v>
      </c>
      <c r="Z174" s="1" t="s">
        <v>3649</v>
      </c>
      <c r="AA174" s="7" t="s">
        <v>3650</v>
      </c>
      <c r="AB174" s="1"/>
      <c r="AC174" s="1" t="s">
        <v>65</v>
      </c>
      <c r="AD174" s="1" t="s">
        <v>65</v>
      </c>
      <c r="AE174" s="1"/>
      <c r="AF174" s="1" t="s">
        <v>65</v>
      </c>
      <c r="AG174" s="1"/>
      <c r="AH174" s="1"/>
      <c r="AI174" s="1"/>
      <c r="AJ174" s="1"/>
      <c r="AK174" s="1"/>
      <c r="AL174" s="1"/>
      <c r="AM174" s="1"/>
      <c r="AN174" s="1"/>
    </row>
    <row r="175" hidden="1">
      <c r="A175" s="1" t="s">
        <v>3663</v>
      </c>
      <c r="B175" s="1" t="s">
        <v>3664</v>
      </c>
      <c r="C175" s="4">
        <v>45891.871041666665</v>
      </c>
      <c r="D175" s="5">
        <v>1.755896058E9</v>
      </c>
      <c r="E175" s="7" t="s">
        <v>3665</v>
      </c>
      <c r="F175" s="1" t="s">
        <v>3667</v>
      </c>
      <c r="G175" s="1" t="s">
        <v>3669</v>
      </c>
      <c r="H175" s="1" t="s">
        <v>3671</v>
      </c>
      <c r="I175" s="5">
        <v>1.857542953E9</v>
      </c>
      <c r="J175" s="7" t="s">
        <v>3672</v>
      </c>
      <c r="K175" s="7" t="s">
        <v>3685</v>
      </c>
      <c r="L175" s="9" t="b">
        <v>0</v>
      </c>
      <c r="M175" s="1" t="s">
        <v>66</v>
      </c>
      <c r="N175" s="1" t="s">
        <v>68</v>
      </c>
      <c r="O175" s="1" t="s">
        <v>65</v>
      </c>
      <c r="P175" s="5">
        <v>0.0</v>
      </c>
      <c r="Q175" s="5">
        <v>0.0</v>
      </c>
      <c r="R175" s="5">
        <v>1.0</v>
      </c>
      <c r="S175" s="5">
        <v>0.0</v>
      </c>
      <c r="T175" s="5">
        <v>157.0</v>
      </c>
      <c r="U175" s="1" t="s">
        <v>65</v>
      </c>
      <c r="V175" s="1"/>
      <c r="W175" s="1" t="s">
        <v>65</v>
      </c>
      <c r="X175" s="1"/>
      <c r="Y175" s="1"/>
      <c r="Z175" s="1"/>
      <c r="AA175" s="1"/>
      <c r="AB175" s="1"/>
      <c r="AC175" s="1" t="s">
        <v>65</v>
      </c>
      <c r="AD175" s="1" t="s">
        <v>71</v>
      </c>
      <c r="AE175" s="1" t="s">
        <v>2808</v>
      </c>
      <c r="AF175" s="1" t="s">
        <v>65</v>
      </c>
      <c r="AG175" s="1"/>
      <c r="AH175" s="1"/>
      <c r="AI175" s="1"/>
      <c r="AJ175" s="1"/>
      <c r="AK175" s="1" t="s">
        <v>2808</v>
      </c>
      <c r="AL175" s="1"/>
      <c r="AM175" s="1"/>
      <c r="AN175" s="1"/>
    </row>
    <row r="176" hidden="1">
      <c r="A176" s="1" t="s">
        <v>3697</v>
      </c>
      <c r="B176" s="1" t="s">
        <v>3697</v>
      </c>
      <c r="C176" s="4">
        <v>45886.59668981482</v>
      </c>
      <c r="D176" s="5">
        <v>1.755440354E9</v>
      </c>
      <c r="E176" s="7" t="s">
        <v>3698</v>
      </c>
      <c r="F176" s="1" t="s">
        <v>3705</v>
      </c>
      <c r="G176" s="1" t="s">
        <v>3706</v>
      </c>
      <c r="H176" s="1" t="s">
        <v>3707</v>
      </c>
      <c r="I176" s="1" t="s">
        <v>3708</v>
      </c>
      <c r="J176" s="7" t="s">
        <v>3710</v>
      </c>
      <c r="K176" s="7" t="s">
        <v>3712</v>
      </c>
      <c r="L176" s="9" t="b">
        <v>0</v>
      </c>
      <c r="M176" s="1" t="s">
        <v>85</v>
      </c>
      <c r="N176" s="1" t="s">
        <v>68</v>
      </c>
      <c r="O176" s="1" t="s">
        <v>65</v>
      </c>
      <c r="P176" s="5">
        <v>0.0</v>
      </c>
      <c r="Q176" s="5">
        <v>1.0</v>
      </c>
      <c r="R176" s="5">
        <v>0.0</v>
      </c>
      <c r="S176" s="5">
        <v>0.0</v>
      </c>
      <c r="T176" s="5">
        <v>17.0</v>
      </c>
      <c r="U176" s="1" t="s">
        <v>65</v>
      </c>
      <c r="V176" s="1"/>
      <c r="W176" s="1" t="s">
        <v>65</v>
      </c>
      <c r="X176" s="1"/>
      <c r="Y176" s="1"/>
      <c r="Z176" s="1"/>
      <c r="AA176" s="1"/>
      <c r="AB176" s="1"/>
      <c r="AC176" s="1" t="s">
        <v>65</v>
      </c>
      <c r="AD176" s="1" t="s">
        <v>65</v>
      </c>
      <c r="AE176" s="1"/>
      <c r="AF176" s="1" t="s">
        <v>65</v>
      </c>
      <c r="AG176" s="1"/>
      <c r="AH176" s="1"/>
      <c r="AI176" s="7" t="s">
        <v>3719</v>
      </c>
      <c r="AJ176" s="1"/>
      <c r="AK176" s="1"/>
      <c r="AL176" s="1"/>
      <c r="AM176" s="1"/>
      <c r="AN176" s="1"/>
    </row>
    <row r="177" hidden="1">
      <c r="A177" s="1" t="s">
        <v>3725</v>
      </c>
      <c r="B177" s="1" t="s">
        <v>3726</v>
      </c>
      <c r="C177" s="4">
        <v>45884.47216435185</v>
      </c>
      <c r="D177" s="5">
        <v>1.755256795E9</v>
      </c>
      <c r="E177" s="7" t="s">
        <v>3727</v>
      </c>
      <c r="F177" s="1" t="s">
        <v>3732</v>
      </c>
      <c r="G177" s="1" t="s">
        <v>3733</v>
      </c>
      <c r="H177" s="1" t="s">
        <v>3734</v>
      </c>
      <c r="I177" s="1" t="s">
        <v>3735</v>
      </c>
      <c r="J177" s="7" t="s">
        <v>3736</v>
      </c>
      <c r="K177" s="7" t="s">
        <v>3746</v>
      </c>
      <c r="L177" s="9" t="b">
        <v>0</v>
      </c>
      <c r="M177" s="1" t="s">
        <v>85</v>
      </c>
      <c r="N177" s="1" t="s">
        <v>68</v>
      </c>
      <c r="O177" s="1" t="s">
        <v>65</v>
      </c>
      <c r="P177" s="5">
        <v>0.0</v>
      </c>
      <c r="Q177" s="5">
        <v>1.0</v>
      </c>
      <c r="R177" s="5">
        <v>5.0</v>
      </c>
      <c r="S177" s="5">
        <v>0.0</v>
      </c>
      <c r="T177" s="5">
        <v>724.0</v>
      </c>
      <c r="U177" s="1" t="s">
        <v>65</v>
      </c>
      <c r="V177" s="1"/>
      <c r="W177" s="1" t="s">
        <v>65</v>
      </c>
      <c r="X177" s="1"/>
      <c r="Y177" s="1"/>
      <c r="Z177" s="1"/>
      <c r="AA177" s="1"/>
      <c r="AB177" s="1"/>
      <c r="AC177" s="1" t="s">
        <v>65</v>
      </c>
      <c r="AD177" s="1" t="s">
        <v>71</v>
      </c>
      <c r="AE177" s="1" t="s">
        <v>3751</v>
      </c>
      <c r="AF177" s="1" t="s">
        <v>65</v>
      </c>
      <c r="AG177" s="1"/>
      <c r="AH177" s="1"/>
      <c r="AI177" s="1"/>
      <c r="AJ177" s="1"/>
      <c r="AK177" s="1" t="s">
        <v>3754</v>
      </c>
      <c r="AL177" s="1"/>
      <c r="AM177" s="1"/>
      <c r="AN177" s="1"/>
    </row>
    <row r="178">
      <c r="A178" s="1" t="s">
        <v>3756</v>
      </c>
      <c r="B178" s="1" t="s">
        <v>3756</v>
      </c>
      <c r="C178" s="4">
        <v>45880.333344907405</v>
      </c>
      <c r="D178" s="5">
        <v>1.754899201E9</v>
      </c>
      <c r="E178" s="7" t="s">
        <v>3757</v>
      </c>
      <c r="F178" s="1" t="s">
        <v>3763</v>
      </c>
      <c r="G178" s="1" t="s">
        <v>3764</v>
      </c>
      <c r="H178" s="1" t="s">
        <v>3765</v>
      </c>
      <c r="I178" s="1" t="s">
        <v>3766</v>
      </c>
      <c r="J178" s="7" t="s">
        <v>3767</v>
      </c>
      <c r="K178" s="7" t="s">
        <v>3771</v>
      </c>
      <c r="L178" s="9" t="b">
        <v>1</v>
      </c>
      <c r="M178" s="1" t="s">
        <v>2646</v>
      </c>
      <c r="N178" s="1" t="s">
        <v>64</v>
      </c>
      <c r="O178" s="1" t="s">
        <v>65</v>
      </c>
      <c r="P178" s="5">
        <v>0.0</v>
      </c>
      <c r="Q178" s="5">
        <v>0.0</v>
      </c>
      <c r="R178" s="5">
        <v>0.0</v>
      </c>
      <c r="S178" s="5">
        <v>0.0</v>
      </c>
      <c r="T178" s="5">
        <v>116.0</v>
      </c>
      <c r="U178" s="1" t="s">
        <v>65</v>
      </c>
      <c r="V178" s="1"/>
      <c r="W178" s="1" t="s">
        <v>65</v>
      </c>
      <c r="X178" s="1"/>
      <c r="Y178" s="1"/>
      <c r="Z178" s="1"/>
      <c r="AA178" s="1"/>
      <c r="AB178" s="1"/>
      <c r="AC178" s="1" t="s">
        <v>65</v>
      </c>
      <c r="AD178" s="1" t="s">
        <v>65</v>
      </c>
      <c r="AE178" s="1"/>
      <c r="AF178" s="1" t="s">
        <v>65</v>
      </c>
      <c r="AG178" s="1"/>
      <c r="AH178" s="1"/>
      <c r="AI178" s="1"/>
      <c r="AJ178" s="1"/>
      <c r="AK178" s="1"/>
      <c r="AL178" s="1"/>
      <c r="AM178" s="1"/>
      <c r="AN178" s="1"/>
    </row>
    <row r="179" hidden="1">
      <c r="A179" s="1" t="s">
        <v>3782</v>
      </c>
      <c r="B179" s="1" t="s">
        <v>3782</v>
      </c>
      <c r="C179" s="4">
        <v>45880.13224537037</v>
      </c>
      <c r="D179" s="5">
        <v>1.754881826E9</v>
      </c>
      <c r="E179" s="7" t="s">
        <v>3783</v>
      </c>
      <c r="F179" s="1" t="s">
        <v>3784</v>
      </c>
      <c r="G179" s="1" t="s">
        <v>3785</v>
      </c>
      <c r="H179" s="1" t="s">
        <v>3787</v>
      </c>
      <c r="I179" s="1" t="s">
        <v>3788</v>
      </c>
      <c r="J179" s="7" t="s">
        <v>3789</v>
      </c>
      <c r="K179" s="7" t="s">
        <v>3801</v>
      </c>
      <c r="L179" s="9" t="b">
        <v>0</v>
      </c>
      <c r="M179" s="1" t="s">
        <v>67</v>
      </c>
      <c r="N179" s="1" t="s">
        <v>68</v>
      </c>
      <c r="O179" s="1" t="s">
        <v>65</v>
      </c>
      <c r="P179" s="5">
        <v>0.0</v>
      </c>
      <c r="Q179" s="5">
        <v>1.0</v>
      </c>
      <c r="R179" s="5">
        <v>3.0</v>
      </c>
      <c r="S179" s="5">
        <v>0.0</v>
      </c>
      <c r="T179" s="5">
        <v>125.0</v>
      </c>
      <c r="U179" s="1" t="s">
        <v>65</v>
      </c>
      <c r="V179" s="1"/>
      <c r="W179" s="1" t="s">
        <v>71</v>
      </c>
      <c r="X179" s="1" t="s">
        <v>3804</v>
      </c>
      <c r="Y179" s="1" t="s">
        <v>3805</v>
      </c>
      <c r="Z179" s="1" t="s">
        <v>3806</v>
      </c>
      <c r="AA179" s="7" t="s">
        <v>3808</v>
      </c>
      <c r="AB179" s="1"/>
      <c r="AC179" s="1" t="s">
        <v>65</v>
      </c>
      <c r="AD179" s="1" t="s">
        <v>65</v>
      </c>
      <c r="AE179" s="1"/>
      <c r="AF179" s="1" t="s">
        <v>65</v>
      </c>
      <c r="AG179" s="1"/>
      <c r="AH179" s="1"/>
      <c r="AI179" s="1"/>
      <c r="AJ179" s="1"/>
      <c r="AK179" s="1"/>
      <c r="AL179" s="1"/>
      <c r="AM179" s="1"/>
      <c r="AN179" s="1"/>
    </row>
    <row r="180" hidden="1">
      <c r="A180" s="1" t="s">
        <v>3811</v>
      </c>
      <c r="B180" s="1" t="s">
        <v>3812</v>
      </c>
      <c r="C180" s="4">
        <v>45879.632210648146</v>
      </c>
      <c r="D180" s="5">
        <v>1.754838623E9</v>
      </c>
      <c r="E180" s="7" t="s">
        <v>3813</v>
      </c>
      <c r="F180" s="1" t="s">
        <v>3822</v>
      </c>
      <c r="G180" s="1" t="s">
        <v>3823</v>
      </c>
      <c r="H180" s="1" t="s">
        <v>3824</v>
      </c>
      <c r="I180" s="1" t="s">
        <v>3825</v>
      </c>
      <c r="J180" s="7" t="s">
        <v>3827</v>
      </c>
      <c r="K180" s="7" t="s">
        <v>3832</v>
      </c>
      <c r="L180" s="9" t="b">
        <v>0</v>
      </c>
      <c r="M180" s="1" t="s">
        <v>85</v>
      </c>
      <c r="N180" s="1" t="s">
        <v>68</v>
      </c>
      <c r="O180" s="1" t="s">
        <v>65</v>
      </c>
      <c r="P180" s="5">
        <v>0.0</v>
      </c>
      <c r="Q180" s="5">
        <v>0.0</v>
      </c>
      <c r="R180" s="5">
        <v>0.0</v>
      </c>
      <c r="S180" s="5">
        <v>0.0</v>
      </c>
      <c r="T180" s="5">
        <v>27.0</v>
      </c>
      <c r="U180" s="1" t="s">
        <v>65</v>
      </c>
      <c r="V180" s="1"/>
      <c r="W180" s="1" t="s">
        <v>65</v>
      </c>
      <c r="X180" s="1"/>
      <c r="Y180" s="1"/>
      <c r="Z180" s="1"/>
      <c r="AA180" s="1"/>
      <c r="AB180" s="1"/>
      <c r="AC180" s="1" t="s">
        <v>65</v>
      </c>
      <c r="AD180" s="1" t="s">
        <v>71</v>
      </c>
      <c r="AE180" s="1" t="s">
        <v>831</v>
      </c>
      <c r="AF180" s="1" t="s">
        <v>65</v>
      </c>
      <c r="AG180" s="1"/>
      <c r="AH180" s="1"/>
      <c r="AI180" s="1"/>
      <c r="AJ180" s="1"/>
      <c r="AK180" s="1" t="s">
        <v>831</v>
      </c>
      <c r="AL180" s="1"/>
      <c r="AM180" s="1"/>
      <c r="AN180" s="1"/>
    </row>
    <row r="181">
      <c r="A181" s="1" t="s">
        <v>1768</v>
      </c>
      <c r="B181" s="1" t="s">
        <v>1768</v>
      </c>
      <c r="C181" s="4">
        <v>45879.51354166667</v>
      </c>
      <c r="D181" s="5">
        <v>1.75482837E9</v>
      </c>
      <c r="E181" s="7" t="s">
        <v>1770</v>
      </c>
      <c r="F181" s="1" t="s">
        <v>1776</v>
      </c>
      <c r="G181" s="1" t="s">
        <v>864</v>
      </c>
      <c r="H181" s="1" t="s">
        <v>865</v>
      </c>
      <c r="I181" s="5">
        <v>2.825615947E9</v>
      </c>
      <c r="J181" s="7" t="s">
        <v>866</v>
      </c>
      <c r="K181" s="7" t="s">
        <v>870</v>
      </c>
      <c r="L181" s="9" t="b">
        <v>1</v>
      </c>
      <c r="M181" s="1" t="s">
        <v>66</v>
      </c>
      <c r="N181" s="1" t="s">
        <v>64</v>
      </c>
      <c r="O181" s="1" t="s">
        <v>65</v>
      </c>
      <c r="P181" s="5">
        <v>1.0</v>
      </c>
      <c r="Q181" s="5">
        <v>1.0</v>
      </c>
      <c r="R181" s="5">
        <v>9.0</v>
      </c>
      <c r="S181" s="5">
        <v>0.0</v>
      </c>
      <c r="T181" s="5">
        <v>498.0</v>
      </c>
      <c r="U181" s="1" t="s">
        <v>65</v>
      </c>
      <c r="V181" s="1"/>
      <c r="W181" s="1" t="s">
        <v>65</v>
      </c>
      <c r="X181" s="1"/>
      <c r="Y181" s="1"/>
      <c r="Z181" s="1"/>
      <c r="AA181" s="1"/>
      <c r="AB181" s="1"/>
      <c r="AC181" s="1" t="s">
        <v>65</v>
      </c>
      <c r="AD181" s="1" t="s">
        <v>65</v>
      </c>
      <c r="AE181" s="1"/>
      <c r="AF181" s="1" t="s">
        <v>65</v>
      </c>
      <c r="AG181" s="1" t="s">
        <v>880</v>
      </c>
      <c r="AH181" s="1"/>
      <c r="AI181" s="7" t="s">
        <v>1779</v>
      </c>
      <c r="AJ181" s="7" t="s">
        <v>1784</v>
      </c>
      <c r="AK181" s="1"/>
      <c r="AL181" s="1"/>
      <c r="AM181" s="1"/>
      <c r="AN181" s="1"/>
    </row>
    <row r="182">
      <c r="A182" s="1" t="s">
        <v>3598</v>
      </c>
      <c r="B182" s="1" t="s">
        <v>3598</v>
      </c>
      <c r="C182" s="4">
        <v>45879.501435185186</v>
      </c>
      <c r="D182" s="5">
        <v>1.754827324E9</v>
      </c>
      <c r="E182" s="7" t="s">
        <v>3600</v>
      </c>
      <c r="F182" s="1" t="s">
        <v>3601</v>
      </c>
      <c r="G182" s="1" t="s">
        <v>864</v>
      </c>
      <c r="H182" s="1" t="s">
        <v>865</v>
      </c>
      <c r="I182" s="5">
        <v>2.825615947E9</v>
      </c>
      <c r="J182" s="7" t="s">
        <v>866</v>
      </c>
      <c r="K182" s="7" t="s">
        <v>870</v>
      </c>
      <c r="L182" s="9" t="b">
        <v>1</v>
      </c>
      <c r="M182" s="1" t="s">
        <v>66</v>
      </c>
      <c r="N182" s="1" t="s">
        <v>64</v>
      </c>
      <c r="O182" s="1" t="s">
        <v>65</v>
      </c>
      <c r="P182" s="5">
        <v>2.0</v>
      </c>
      <c r="Q182" s="5">
        <v>0.0</v>
      </c>
      <c r="R182" s="5">
        <v>6.0</v>
      </c>
      <c r="S182" s="5">
        <v>0.0</v>
      </c>
      <c r="T182" s="5">
        <v>300.0</v>
      </c>
      <c r="U182" s="1" t="s">
        <v>65</v>
      </c>
      <c r="V182" s="1"/>
      <c r="W182" s="1" t="s">
        <v>65</v>
      </c>
      <c r="X182" s="1"/>
      <c r="Y182" s="1"/>
      <c r="Z182" s="1"/>
      <c r="AA182" s="1"/>
      <c r="AB182" s="1"/>
      <c r="AC182" s="1" t="s">
        <v>65</v>
      </c>
      <c r="AD182" s="1" t="s">
        <v>65</v>
      </c>
      <c r="AE182" s="1"/>
      <c r="AF182" s="1" t="s">
        <v>65</v>
      </c>
      <c r="AG182" s="1" t="s">
        <v>3604</v>
      </c>
      <c r="AH182" s="1"/>
      <c r="AI182" s="7" t="s">
        <v>3605</v>
      </c>
      <c r="AJ182" s="7" t="s">
        <v>3607</v>
      </c>
      <c r="AK182" s="1"/>
      <c r="AL182" s="1"/>
      <c r="AM182" s="1"/>
      <c r="AN182" s="1"/>
    </row>
    <row r="183">
      <c r="A183" s="1" t="s">
        <v>2113</v>
      </c>
      <c r="B183" s="1" t="s">
        <v>2113</v>
      </c>
      <c r="C183" s="4">
        <v>45879.064097222225</v>
      </c>
      <c r="D183" s="5">
        <v>1.754789538E9</v>
      </c>
      <c r="E183" s="7" t="s">
        <v>2117</v>
      </c>
      <c r="F183" s="1" t="s">
        <v>2129</v>
      </c>
      <c r="G183" s="1" t="s">
        <v>864</v>
      </c>
      <c r="H183" s="1" t="s">
        <v>865</v>
      </c>
      <c r="I183" s="5">
        <v>2.825615947E9</v>
      </c>
      <c r="J183" s="7" t="s">
        <v>866</v>
      </c>
      <c r="K183" s="7" t="s">
        <v>870</v>
      </c>
      <c r="L183" s="9" t="b">
        <v>1</v>
      </c>
      <c r="M183" s="1" t="s">
        <v>66</v>
      </c>
      <c r="N183" s="1" t="s">
        <v>64</v>
      </c>
      <c r="O183" s="1" t="s">
        <v>65</v>
      </c>
      <c r="P183" s="5">
        <v>1.0</v>
      </c>
      <c r="Q183" s="5">
        <v>1.0</v>
      </c>
      <c r="R183" s="5">
        <v>14.0</v>
      </c>
      <c r="S183" s="5">
        <v>0.0</v>
      </c>
      <c r="T183" s="5">
        <v>485.0</v>
      </c>
      <c r="U183" s="1" t="s">
        <v>65</v>
      </c>
      <c r="V183" s="1"/>
      <c r="W183" s="1" t="s">
        <v>65</v>
      </c>
      <c r="X183" s="1"/>
      <c r="Y183" s="1"/>
      <c r="Z183" s="1"/>
      <c r="AA183" s="1"/>
      <c r="AB183" s="1"/>
      <c r="AC183" s="1" t="s">
        <v>65</v>
      </c>
      <c r="AD183" s="1" t="s">
        <v>65</v>
      </c>
      <c r="AE183" s="1"/>
      <c r="AF183" s="1" t="s">
        <v>65</v>
      </c>
      <c r="AG183" s="1" t="s">
        <v>2136</v>
      </c>
      <c r="AH183" s="1"/>
      <c r="AI183" s="7" t="s">
        <v>2137</v>
      </c>
      <c r="AJ183" s="7" t="s">
        <v>2142</v>
      </c>
      <c r="AK183" s="1"/>
      <c r="AL183" s="1"/>
      <c r="AM183" s="1"/>
      <c r="AN183" s="1"/>
    </row>
    <row r="184">
      <c r="A184" s="1" t="s">
        <v>1914</v>
      </c>
      <c r="B184" s="1" t="s">
        <v>1914</v>
      </c>
      <c r="C184" s="4">
        <v>45879.03125</v>
      </c>
      <c r="D184" s="5">
        <v>1.7547867E9</v>
      </c>
      <c r="E184" s="7" t="s">
        <v>1915</v>
      </c>
      <c r="F184" s="1" t="s">
        <v>1917</v>
      </c>
      <c r="G184" s="1" t="s">
        <v>864</v>
      </c>
      <c r="H184" s="1" t="s">
        <v>865</v>
      </c>
      <c r="I184" s="5">
        <v>2.825615947E9</v>
      </c>
      <c r="J184" s="7" t="s">
        <v>866</v>
      </c>
      <c r="K184" s="7" t="s">
        <v>870</v>
      </c>
      <c r="L184" s="9" t="b">
        <v>1</v>
      </c>
      <c r="M184" s="1" t="s">
        <v>66</v>
      </c>
      <c r="N184" s="1" t="s">
        <v>64</v>
      </c>
      <c r="O184" s="1" t="s">
        <v>65</v>
      </c>
      <c r="P184" s="5">
        <v>2.0</v>
      </c>
      <c r="Q184" s="5">
        <v>1.0</v>
      </c>
      <c r="R184" s="5">
        <v>10.0</v>
      </c>
      <c r="S184" s="5">
        <v>0.0</v>
      </c>
      <c r="T184" s="5">
        <v>340.0</v>
      </c>
      <c r="U184" s="1" t="s">
        <v>65</v>
      </c>
      <c r="V184" s="1"/>
      <c r="W184" s="1" t="s">
        <v>65</v>
      </c>
      <c r="X184" s="1"/>
      <c r="Y184" s="1"/>
      <c r="Z184" s="1"/>
      <c r="AA184" s="1"/>
      <c r="AB184" s="1"/>
      <c r="AC184" s="1" t="s">
        <v>65</v>
      </c>
      <c r="AD184" s="1" t="s">
        <v>65</v>
      </c>
      <c r="AE184" s="1"/>
      <c r="AF184" s="1" t="s">
        <v>65</v>
      </c>
      <c r="AG184" s="1" t="s">
        <v>1085</v>
      </c>
      <c r="AH184" s="1"/>
      <c r="AI184" s="7" t="s">
        <v>1919</v>
      </c>
      <c r="AJ184" s="7" t="s">
        <v>1922</v>
      </c>
      <c r="AK184" s="1"/>
      <c r="AL184" s="1"/>
      <c r="AM184" s="1"/>
      <c r="AN184" s="1"/>
    </row>
    <row r="185" hidden="1">
      <c r="A185" s="1" t="s">
        <v>3939</v>
      </c>
      <c r="B185" s="1" t="s">
        <v>3940</v>
      </c>
      <c r="C185" s="4">
        <v>45877.49259259259</v>
      </c>
      <c r="D185" s="5">
        <v>1.75465376E9</v>
      </c>
      <c r="E185" s="7" t="s">
        <v>3941</v>
      </c>
      <c r="F185" s="1" t="s">
        <v>3944</v>
      </c>
      <c r="G185" s="1" t="s">
        <v>3945</v>
      </c>
      <c r="H185" s="1" t="s">
        <v>3946</v>
      </c>
      <c r="I185" s="1" t="s">
        <v>3947</v>
      </c>
      <c r="J185" s="7" t="s">
        <v>3948</v>
      </c>
      <c r="K185" s="7" t="s">
        <v>3952</v>
      </c>
      <c r="L185" s="9" t="b">
        <v>0</v>
      </c>
      <c r="M185" s="1" t="s">
        <v>67</v>
      </c>
      <c r="N185" s="1" t="s">
        <v>68</v>
      </c>
      <c r="O185" s="1" t="s">
        <v>65</v>
      </c>
      <c r="P185" s="5">
        <v>0.0</v>
      </c>
      <c r="Q185" s="5">
        <v>0.0</v>
      </c>
      <c r="R185" s="5">
        <v>0.0</v>
      </c>
      <c r="S185" s="5">
        <v>0.0</v>
      </c>
      <c r="T185" s="5">
        <v>141.0</v>
      </c>
      <c r="U185" s="1" t="s">
        <v>65</v>
      </c>
      <c r="V185" s="1"/>
      <c r="W185" s="1" t="s">
        <v>65</v>
      </c>
      <c r="X185" s="1"/>
      <c r="Y185" s="1"/>
      <c r="Z185" s="1"/>
      <c r="AA185" s="1"/>
      <c r="AB185" s="1"/>
      <c r="AC185" s="1" t="s">
        <v>65</v>
      </c>
      <c r="AD185" s="1" t="s">
        <v>71</v>
      </c>
      <c r="AE185" s="1" t="s">
        <v>3957</v>
      </c>
      <c r="AF185" s="1" t="s">
        <v>65</v>
      </c>
      <c r="AG185" s="1"/>
      <c r="AH185" s="1"/>
      <c r="AI185" s="1"/>
      <c r="AJ185" s="1"/>
      <c r="AK185" s="1" t="s">
        <v>3957</v>
      </c>
      <c r="AL185" s="1"/>
      <c r="AM185" s="1"/>
      <c r="AN185" s="1"/>
    </row>
    <row r="186">
      <c r="A186" s="1" t="s">
        <v>3959</v>
      </c>
      <c r="B186" s="1" t="s">
        <v>3960</v>
      </c>
      <c r="C186" s="4">
        <v>45875.92527777778</v>
      </c>
      <c r="D186" s="5">
        <v>1.754518344E9</v>
      </c>
      <c r="E186" s="7" t="s">
        <v>3961</v>
      </c>
      <c r="F186" s="1" t="s">
        <v>3969</v>
      </c>
      <c r="G186" s="1" t="s">
        <v>3970</v>
      </c>
      <c r="H186" s="1" t="s">
        <v>3971</v>
      </c>
      <c r="I186" s="5">
        <v>6.7431398E7</v>
      </c>
      <c r="J186" s="7" t="s">
        <v>3972</v>
      </c>
      <c r="K186" s="7" t="s">
        <v>3976</v>
      </c>
      <c r="L186" s="9" t="b">
        <v>0</v>
      </c>
      <c r="M186" s="1" t="s">
        <v>67</v>
      </c>
      <c r="N186" s="1" t="s">
        <v>64</v>
      </c>
      <c r="O186" s="1" t="s">
        <v>65</v>
      </c>
      <c r="P186" s="5">
        <v>0.0</v>
      </c>
      <c r="Q186" s="5">
        <v>1.0</v>
      </c>
      <c r="R186" s="5">
        <v>0.0</v>
      </c>
      <c r="S186" s="5">
        <v>0.0</v>
      </c>
      <c r="T186" s="5">
        <v>89.0</v>
      </c>
      <c r="U186" s="1" t="s">
        <v>65</v>
      </c>
      <c r="V186" s="1"/>
      <c r="W186" s="1" t="s">
        <v>65</v>
      </c>
      <c r="X186" s="1"/>
      <c r="Y186" s="1"/>
      <c r="Z186" s="1"/>
      <c r="AA186" s="1"/>
      <c r="AB186" s="1"/>
      <c r="AC186" s="1" t="s">
        <v>65</v>
      </c>
      <c r="AD186" s="1" t="s">
        <v>71</v>
      </c>
      <c r="AE186" s="1" t="s">
        <v>3987</v>
      </c>
      <c r="AF186" s="1" t="s">
        <v>65</v>
      </c>
      <c r="AG186" s="1"/>
      <c r="AH186" s="1"/>
      <c r="AI186" s="1"/>
      <c r="AJ186" s="1"/>
      <c r="AK186" s="1" t="s">
        <v>3987</v>
      </c>
      <c r="AL186" s="1"/>
      <c r="AM186" s="1"/>
      <c r="AN186" s="1"/>
    </row>
    <row r="187" hidden="1">
      <c r="A187" s="1" t="s">
        <v>3989</v>
      </c>
      <c r="B187" s="1" t="s">
        <v>3990</v>
      </c>
      <c r="C187" s="4">
        <v>45874.60118055555</v>
      </c>
      <c r="D187" s="5">
        <v>1.754403942E9</v>
      </c>
      <c r="E187" s="7" t="s">
        <v>3991</v>
      </c>
      <c r="F187" s="1" t="s">
        <v>3995</v>
      </c>
      <c r="G187" s="1" t="s">
        <v>3996</v>
      </c>
      <c r="H187" s="1" t="s">
        <v>3997</v>
      </c>
      <c r="I187" s="1" t="s">
        <v>3998</v>
      </c>
      <c r="J187" s="7" t="s">
        <v>3999</v>
      </c>
      <c r="K187" s="7" t="s">
        <v>4006</v>
      </c>
      <c r="L187" s="9" t="b">
        <v>0</v>
      </c>
      <c r="M187" s="1" t="s">
        <v>85</v>
      </c>
      <c r="N187" s="1" t="s">
        <v>68</v>
      </c>
      <c r="O187" s="1" t="s">
        <v>65</v>
      </c>
      <c r="P187" s="5">
        <v>0.0</v>
      </c>
      <c r="Q187" s="5">
        <v>1.0</v>
      </c>
      <c r="R187" s="5">
        <v>3.0</v>
      </c>
      <c r="S187" s="5">
        <v>0.0</v>
      </c>
      <c r="T187" s="5">
        <v>290.0</v>
      </c>
      <c r="U187" s="1" t="s">
        <v>65</v>
      </c>
      <c r="V187" s="1"/>
      <c r="W187" s="1" t="s">
        <v>65</v>
      </c>
      <c r="X187" s="1"/>
      <c r="Y187" s="1"/>
      <c r="Z187" s="1"/>
      <c r="AA187" s="1"/>
      <c r="AB187" s="1"/>
      <c r="AC187" s="1" t="s">
        <v>65</v>
      </c>
      <c r="AD187" s="1" t="s">
        <v>71</v>
      </c>
      <c r="AE187" s="1" t="s">
        <v>4014</v>
      </c>
      <c r="AF187" s="1" t="s">
        <v>65</v>
      </c>
      <c r="AG187" s="1"/>
      <c r="AH187" s="1"/>
      <c r="AI187" s="1"/>
      <c r="AJ187" s="1"/>
      <c r="AK187" s="1" t="s">
        <v>4014</v>
      </c>
      <c r="AL187" s="1"/>
      <c r="AM187" s="1"/>
      <c r="AN187" s="1"/>
    </row>
    <row r="188" hidden="1">
      <c r="A188" s="1" t="s">
        <v>4019</v>
      </c>
      <c r="B188" s="1" t="s">
        <v>4019</v>
      </c>
      <c r="C188" s="4">
        <v>45873.91471064815</v>
      </c>
      <c r="D188" s="5">
        <v>1.754344631E9</v>
      </c>
      <c r="E188" s="7" t="s">
        <v>4021</v>
      </c>
      <c r="F188" s="1" t="s">
        <v>4027</v>
      </c>
      <c r="G188" s="1" t="s">
        <v>4028</v>
      </c>
      <c r="H188" s="1" t="s">
        <v>4029</v>
      </c>
      <c r="I188" s="1" t="s">
        <v>4031</v>
      </c>
      <c r="J188" s="7" t="s">
        <v>4032</v>
      </c>
      <c r="K188" s="1"/>
      <c r="L188" s="9" t="b">
        <v>0</v>
      </c>
      <c r="M188" s="1" t="s">
        <v>67</v>
      </c>
      <c r="N188" s="1" t="s">
        <v>68</v>
      </c>
      <c r="O188" s="1" t="s">
        <v>65</v>
      </c>
      <c r="P188" s="5">
        <v>0.0</v>
      </c>
      <c r="Q188" s="5">
        <v>1.0</v>
      </c>
      <c r="R188" s="5">
        <v>0.0</v>
      </c>
      <c r="S188" s="5">
        <v>0.0</v>
      </c>
      <c r="T188" s="5">
        <v>41.0</v>
      </c>
      <c r="U188" s="1" t="s">
        <v>65</v>
      </c>
      <c r="V188" s="1"/>
      <c r="W188" s="1" t="s">
        <v>65</v>
      </c>
      <c r="X188" s="1"/>
      <c r="Y188" s="1"/>
      <c r="Z188" s="1"/>
      <c r="AA188" s="1"/>
      <c r="AB188" s="1"/>
      <c r="AC188" s="1" t="s">
        <v>65</v>
      </c>
      <c r="AD188" s="1" t="s">
        <v>65</v>
      </c>
      <c r="AE188" s="1"/>
      <c r="AF188" s="1" t="s">
        <v>65</v>
      </c>
      <c r="AG188" s="1"/>
      <c r="AH188" s="1"/>
      <c r="AI188" s="1"/>
      <c r="AJ188" s="1"/>
      <c r="AK188" s="1"/>
      <c r="AL188" s="1"/>
      <c r="AM188" s="1"/>
      <c r="AN188" s="1"/>
    </row>
    <row r="189" hidden="1">
      <c r="A189" s="1" t="s">
        <v>4037</v>
      </c>
      <c r="B189" s="1" t="s">
        <v>4038</v>
      </c>
      <c r="C189" s="4">
        <v>45873.13150462963</v>
      </c>
      <c r="D189" s="5">
        <v>1.754276962E9</v>
      </c>
      <c r="E189" s="7" t="s">
        <v>4040</v>
      </c>
      <c r="F189" s="1" t="s">
        <v>4042</v>
      </c>
      <c r="G189" s="1" t="s">
        <v>4044</v>
      </c>
      <c r="H189" s="1" t="s">
        <v>4047</v>
      </c>
      <c r="I189" s="1" t="s">
        <v>4049</v>
      </c>
      <c r="J189" s="7" t="s">
        <v>4051</v>
      </c>
      <c r="K189" s="7" t="s">
        <v>4055</v>
      </c>
      <c r="L189" s="9" t="b">
        <v>0</v>
      </c>
      <c r="M189" s="1" t="s">
        <v>67</v>
      </c>
      <c r="N189" s="1" t="s">
        <v>68</v>
      </c>
      <c r="O189" s="1" t="s">
        <v>65</v>
      </c>
      <c r="P189" s="5">
        <v>0.0</v>
      </c>
      <c r="Q189" s="5">
        <v>1.0</v>
      </c>
      <c r="R189" s="5">
        <v>18.0</v>
      </c>
      <c r="S189" s="5">
        <v>0.0</v>
      </c>
      <c r="T189" s="5">
        <v>1394.0</v>
      </c>
      <c r="U189" s="1" t="s">
        <v>65</v>
      </c>
      <c r="V189" s="1"/>
      <c r="W189" s="1" t="s">
        <v>65</v>
      </c>
      <c r="X189" s="1"/>
      <c r="Y189" s="1"/>
      <c r="Z189" s="1"/>
      <c r="AA189" s="1"/>
      <c r="AB189" s="1"/>
      <c r="AC189" s="1" t="s">
        <v>65</v>
      </c>
      <c r="AD189" s="1" t="s">
        <v>71</v>
      </c>
      <c r="AE189" s="1" t="s">
        <v>4062</v>
      </c>
      <c r="AF189" s="1" t="s">
        <v>65</v>
      </c>
      <c r="AG189" s="1"/>
      <c r="AH189" s="1"/>
      <c r="AI189" s="1"/>
      <c r="AJ189" s="1"/>
      <c r="AK189" s="1" t="s">
        <v>4063</v>
      </c>
      <c r="AL189" s="1"/>
      <c r="AM189" s="1"/>
      <c r="AN189" s="1"/>
    </row>
    <row r="190">
      <c r="A190" s="1" t="s">
        <v>4064</v>
      </c>
      <c r="B190" s="1" t="s">
        <v>4065</v>
      </c>
      <c r="C190" s="4">
        <v>45871.385567129626</v>
      </c>
      <c r="D190" s="5">
        <v>1.754126113E9</v>
      </c>
      <c r="E190" s="7" t="s">
        <v>4067</v>
      </c>
      <c r="F190" s="1" t="s">
        <v>4073</v>
      </c>
      <c r="G190" s="1" t="s">
        <v>4075</v>
      </c>
      <c r="H190" s="1" t="s">
        <v>4077</v>
      </c>
      <c r="I190" s="1" t="s">
        <v>4079</v>
      </c>
      <c r="J190" s="7" t="s">
        <v>4080</v>
      </c>
      <c r="K190" s="7" t="s">
        <v>4087</v>
      </c>
      <c r="L190" s="9" t="b">
        <v>0</v>
      </c>
      <c r="M190" s="1" t="s">
        <v>67</v>
      </c>
      <c r="N190" s="1" t="s">
        <v>64</v>
      </c>
      <c r="O190" s="1" t="s">
        <v>65</v>
      </c>
      <c r="P190" s="5">
        <v>0.0</v>
      </c>
      <c r="Q190" s="5">
        <v>0.0</v>
      </c>
      <c r="R190" s="5">
        <v>1.0</v>
      </c>
      <c r="S190" s="5">
        <v>0.0</v>
      </c>
      <c r="T190" s="5">
        <v>128.0</v>
      </c>
      <c r="U190" s="1" t="s">
        <v>65</v>
      </c>
      <c r="V190" s="1"/>
      <c r="W190" s="1" t="s">
        <v>65</v>
      </c>
      <c r="X190" s="1"/>
      <c r="Y190" s="1"/>
      <c r="Z190" s="1"/>
      <c r="AA190" s="1"/>
      <c r="AB190" s="1"/>
      <c r="AC190" s="1" t="s">
        <v>65</v>
      </c>
      <c r="AD190" s="1" t="s">
        <v>71</v>
      </c>
      <c r="AE190" s="1" t="s">
        <v>4094</v>
      </c>
      <c r="AF190" s="1" t="s">
        <v>65</v>
      </c>
      <c r="AG190" s="1"/>
      <c r="AH190" s="1"/>
      <c r="AI190" s="1"/>
      <c r="AJ190" s="1"/>
      <c r="AK190" s="1" t="s">
        <v>4094</v>
      </c>
      <c r="AL190" s="1"/>
      <c r="AM190" s="1"/>
      <c r="AN190" s="1"/>
    </row>
    <row r="191">
      <c r="A191" s="1" t="s">
        <v>4095</v>
      </c>
      <c r="B191" s="1" t="s">
        <v>4095</v>
      </c>
      <c r="C191" s="4">
        <v>45870.13804398148</v>
      </c>
      <c r="D191" s="5">
        <v>1.754018327E9</v>
      </c>
      <c r="E191" s="7" t="s">
        <v>4098</v>
      </c>
      <c r="F191" s="1" t="s">
        <v>4105</v>
      </c>
      <c r="G191" s="1" t="s">
        <v>4106</v>
      </c>
      <c r="H191" s="1" t="s">
        <v>4107</v>
      </c>
      <c r="I191" s="5">
        <v>2.32038569E8</v>
      </c>
      <c r="J191" s="7" t="s">
        <v>4108</v>
      </c>
      <c r="K191" s="7" t="s">
        <v>4116</v>
      </c>
      <c r="L191" s="9" t="b">
        <v>0</v>
      </c>
      <c r="M191" s="1" t="s">
        <v>85</v>
      </c>
      <c r="N191" s="1" t="s">
        <v>64</v>
      </c>
      <c r="O191" s="1" t="s">
        <v>65</v>
      </c>
      <c r="P191" s="5">
        <v>0.0</v>
      </c>
      <c r="Q191" s="5">
        <v>0.0</v>
      </c>
      <c r="R191" s="5">
        <v>1.0</v>
      </c>
      <c r="S191" s="5">
        <v>0.0</v>
      </c>
      <c r="T191" s="5">
        <v>61.0</v>
      </c>
      <c r="U191" s="1" t="s">
        <v>65</v>
      </c>
      <c r="V191" s="1"/>
      <c r="W191" s="1" t="s">
        <v>65</v>
      </c>
      <c r="X191" s="1"/>
      <c r="Y191" s="1"/>
      <c r="Z191" s="1"/>
      <c r="AA191" s="1"/>
      <c r="AB191" s="1"/>
      <c r="AC191" s="1" t="s">
        <v>65</v>
      </c>
      <c r="AD191" s="1" t="s">
        <v>65</v>
      </c>
      <c r="AE191" s="1"/>
      <c r="AF191" s="1" t="s">
        <v>65</v>
      </c>
      <c r="AG191" s="1"/>
      <c r="AH191" s="1"/>
      <c r="AI191" s="1"/>
      <c r="AJ191" s="1"/>
      <c r="AK191" s="1"/>
      <c r="AL191" s="1"/>
      <c r="AM191" s="1"/>
      <c r="AN191" s="1"/>
    </row>
    <row r="192">
      <c r="A192" s="1" t="s">
        <v>4122</v>
      </c>
      <c r="B192" s="1" t="s">
        <v>4123</v>
      </c>
      <c r="C192" s="4">
        <v>45868.654178240744</v>
      </c>
      <c r="D192" s="5">
        <v>1.753890121E9</v>
      </c>
      <c r="E192" s="7" t="s">
        <v>4124</v>
      </c>
      <c r="F192" s="1" t="s">
        <v>4132</v>
      </c>
      <c r="G192" s="1" t="s">
        <v>4134</v>
      </c>
      <c r="H192" s="1" t="s">
        <v>4136</v>
      </c>
      <c r="I192" s="1" t="s">
        <v>4137</v>
      </c>
      <c r="J192" s="7" t="s">
        <v>4139</v>
      </c>
      <c r="K192" s="1"/>
      <c r="L192" s="9" t="b">
        <v>0</v>
      </c>
      <c r="M192" s="1" t="s">
        <v>85</v>
      </c>
      <c r="N192" s="1" t="s">
        <v>64</v>
      </c>
      <c r="O192" s="1" t="s">
        <v>65</v>
      </c>
      <c r="P192" s="5">
        <v>1.0</v>
      </c>
      <c r="Q192" s="5">
        <v>0.0</v>
      </c>
      <c r="R192" s="5">
        <v>8.0</v>
      </c>
      <c r="S192" s="5">
        <v>0.0</v>
      </c>
      <c r="T192" s="5">
        <v>1450.0</v>
      </c>
      <c r="U192" s="1" t="s">
        <v>65</v>
      </c>
      <c r="V192" s="1"/>
      <c r="W192" s="1" t="s">
        <v>65</v>
      </c>
      <c r="X192" s="1"/>
      <c r="Y192" s="1"/>
      <c r="Z192" s="1"/>
      <c r="AA192" s="1"/>
      <c r="AB192" s="1"/>
      <c r="AC192" s="1" t="s">
        <v>65</v>
      </c>
      <c r="AD192" s="1" t="s">
        <v>71</v>
      </c>
      <c r="AE192" s="1" t="s">
        <v>4153</v>
      </c>
      <c r="AF192" s="1" t="s">
        <v>65</v>
      </c>
      <c r="AG192" s="1"/>
      <c r="AH192" s="1"/>
      <c r="AI192" s="1"/>
      <c r="AJ192" s="1"/>
      <c r="AK192" s="1" t="s">
        <v>4153</v>
      </c>
      <c r="AL192" s="1"/>
      <c r="AM192" s="1"/>
      <c r="AN192" s="1"/>
    </row>
    <row r="193" hidden="1">
      <c r="A193" s="1" t="s">
        <v>4155</v>
      </c>
      <c r="B193" s="1" t="s">
        <v>4155</v>
      </c>
      <c r="C193" s="4">
        <v>45867.95438657407</v>
      </c>
      <c r="D193" s="5">
        <v>1.753829659E9</v>
      </c>
      <c r="E193" s="7" t="s">
        <v>4157</v>
      </c>
      <c r="F193" s="1" t="s">
        <v>4162</v>
      </c>
      <c r="G193" s="1" t="s">
        <v>4164</v>
      </c>
      <c r="H193" s="1" t="s">
        <v>4166</v>
      </c>
      <c r="I193" s="1" t="s">
        <v>4168</v>
      </c>
      <c r="J193" s="7" t="s">
        <v>4169</v>
      </c>
      <c r="K193" s="7" t="s">
        <v>4173</v>
      </c>
      <c r="L193" s="9" t="b">
        <v>0</v>
      </c>
      <c r="M193" s="1" t="s">
        <v>67</v>
      </c>
      <c r="N193" s="1" t="s">
        <v>68</v>
      </c>
      <c r="O193" s="1" t="s">
        <v>65</v>
      </c>
      <c r="P193" s="5">
        <v>0.0</v>
      </c>
      <c r="Q193" s="5">
        <v>0.0</v>
      </c>
      <c r="R193" s="5">
        <v>1.0</v>
      </c>
      <c r="S193" s="5">
        <v>0.0</v>
      </c>
      <c r="T193" s="5">
        <v>95.0</v>
      </c>
      <c r="U193" s="1" t="s">
        <v>65</v>
      </c>
      <c r="V193" s="1"/>
      <c r="W193" s="1" t="s">
        <v>65</v>
      </c>
      <c r="X193" s="1"/>
      <c r="Y193" s="1"/>
      <c r="Z193" s="1"/>
      <c r="AA193" s="1"/>
      <c r="AB193" s="1"/>
      <c r="AC193" s="1" t="s">
        <v>65</v>
      </c>
      <c r="AD193" s="1" t="s">
        <v>65</v>
      </c>
      <c r="AE193" s="1"/>
      <c r="AF193" s="1" t="s">
        <v>65</v>
      </c>
      <c r="AG193" s="1"/>
      <c r="AH193" s="1"/>
      <c r="AI193" s="1"/>
      <c r="AJ193" s="1"/>
      <c r="AK193" s="1"/>
      <c r="AL193" s="1"/>
      <c r="AM193" s="1"/>
      <c r="AN193" s="1"/>
    </row>
    <row r="194" hidden="1">
      <c r="A194" s="1" t="s">
        <v>4180</v>
      </c>
      <c r="B194" s="1" t="s">
        <v>4180</v>
      </c>
      <c r="C194" s="4">
        <v>45867.26074074074</v>
      </c>
      <c r="D194" s="5">
        <v>1.753769728E9</v>
      </c>
      <c r="E194" s="7" t="s">
        <v>4181</v>
      </c>
      <c r="F194" s="1" t="s">
        <v>4189</v>
      </c>
      <c r="G194" s="1" t="s">
        <v>4190</v>
      </c>
      <c r="H194" s="1" t="s">
        <v>4191</v>
      </c>
      <c r="I194" s="1" t="s">
        <v>4192</v>
      </c>
      <c r="J194" s="7" t="s">
        <v>4193</v>
      </c>
      <c r="K194" s="7" t="s">
        <v>4202</v>
      </c>
      <c r="L194" s="9" t="b">
        <v>0</v>
      </c>
      <c r="M194" s="1" t="s">
        <v>85</v>
      </c>
      <c r="N194" s="1" t="s">
        <v>68</v>
      </c>
      <c r="O194" s="1" t="s">
        <v>65</v>
      </c>
      <c r="P194" s="5">
        <v>0.0</v>
      </c>
      <c r="Q194" s="5">
        <v>0.0</v>
      </c>
      <c r="R194" s="5">
        <v>1.0</v>
      </c>
      <c r="S194" s="5">
        <v>0.0</v>
      </c>
      <c r="T194" s="5">
        <v>63.0</v>
      </c>
      <c r="U194" s="1" t="s">
        <v>65</v>
      </c>
      <c r="V194" s="1"/>
      <c r="W194" s="1" t="s">
        <v>65</v>
      </c>
      <c r="X194" s="1"/>
      <c r="Y194" s="1"/>
      <c r="Z194" s="1"/>
      <c r="AA194" s="1"/>
      <c r="AB194" s="1"/>
      <c r="AC194" s="1" t="s">
        <v>65</v>
      </c>
      <c r="AD194" s="1" t="s">
        <v>65</v>
      </c>
      <c r="AE194" s="1"/>
      <c r="AF194" s="1" t="s">
        <v>65</v>
      </c>
      <c r="AG194" s="1"/>
      <c r="AH194" s="1"/>
      <c r="AI194" s="1"/>
      <c r="AJ194" s="1"/>
      <c r="AK194" s="1"/>
      <c r="AL194" s="1"/>
      <c r="AM194" s="1"/>
      <c r="AN194" s="1"/>
    </row>
    <row r="195" hidden="1">
      <c r="A195" s="1" t="s">
        <v>4213</v>
      </c>
      <c r="B195" s="1" t="s">
        <v>4213</v>
      </c>
      <c r="C195" s="4">
        <v>45866.971979166665</v>
      </c>
      <c r="D195" s="5">
        <v>1.753744779E9</v>
      </c>
      <c r="E195" s="7" t="s">
        <v>4214</v>
      </c>
      <c r="F195" s="1" t="s">
        <v>4220</v>
      </c>
      <c r="G195" s="1" t="s">
        <v>4221</v>
      </c>
      <c r="H195" s="1" t="s">
        <v>4222</v>
      </c>
      <c r="I195" s="1" t="s">
        <v>4225</v>
      </c>
      <c r="J195" s="7" t="s">
        <v>4228</v>
      </c>
      <c r="K195" s="7" t="s">
        <v>4237</v>
      </c>
      <c r="L195" s="9" t="b">
        <v>0</v>
      </c>
      <c r="M195" s="1" t="s">
        <v>85</v>
      </c>
      <c r="N195" s="1" t="s">
        <v>68</v>
      </c>
      <c r="O195" s="1" t="s">
        <v>65</v>
      </c>
      <c r="P195" s="5">
        <v>0.0</v>
      </c>
      <c r="Q195" s="5">
        <v>0.0</v>
      </c>
      <c r="R195" s="5">
        <v>0.0</v>
      </c>
      <c r="S195" s="5">
        <v>0.0</v>
      </c>
      <c r="T195" s="5">
        <v>14.0</v>
      </c>
      <c r="U195" s="1" t="s">
        <v>65</v>
      </c>
      <c r="V195" s="1"/>
      <c r="W195" s="1" t="s">
        <v>65</v>
      </c>
      <c r="X195" s="1"/>
      <c r="Y195" s="1"/>
      <c r="Z195" s="1"/>
      <c r="AA195" s="1"/>
      <c r="AB195" s="1"/>
      <c r="AC195" s="1" t="s">
        <v>65</v>
      </c>
      <c r="AD195" s="1" t="s">
        <v>65</v>
      </c>
      <c r="AE195" s="1"/>
      <c r="AF195" s="1" t="s">
        <v>65</v>
      </c>
      <c r="AG195" s="1"/>
      <c r="AH195" s="1"/>
      <c r="AI195" s="1"/>
      <c r="AJ195" s="1"/>
      <c r="AK195" s="1"/>
      <c r="AL195" s="1"/>
      <c r="AM195" s="1"/>
      <c r="AN195" s="1"/>
    </row>
    <row r="196">
      <c r="A196" s="1" t="s">
        <v>4244</v>
      </c>
      <c r="B196" s="1" t="s">
        <v>4244</v>
      </c>
      <c r="C196" s="4">
        <v>45866.61759259259</v>
      </c>
      <c r="D196" s="5">
        <v>1.75371416E9</v>
      </c>
      <c r="E196" s="7" t="s">
        <v>4245</v>
      </c>
      <c r="F196" s="1" t="s">
        <v>4253</v>
      </c>
      <c r="G196" s="1" t="s">
        <v>3296</v>
      </c>
      <c r="H196" s="1" t="s">
        <v>3298</v>
      </c>
      <c r="I196" s="5">
        <v>2.06776127E8</v>
      </c>
      <c r="J196" s="7" t="s">
        <v>3299</v>
      </c>
      <c r="K196" s="7" t="s">
        <v>3301</v>
      </c>
      <c r="L196" s="9" t="b">
        <v>0</v>
      </c>
      <c r="M196" s="1" t="s">
        <v>721</v>
      </c>
      <c r="N196" s="1" t="s">
        <v>64</v>
      </c>
      <c r="O196" s="1" t="s">
        <v>65</v>
      </c>
      <c r="P196" s="5">
        <v>0.0</v>
      </c>
      <c r="Q196" s="5">
        <v>1.0</v>
      </c>
      <c r="R196" s="5">
        <v>6.0</v>
      </c>
      <c r="S196" s="5">
        <v>0.0</v>
      </c>
      <c r="T196" s="5">
        <v>148.0</v>
      </c>
      <c r="U196" s="1" t="s">
        <v>65</v>
      </c>
      <c r="V196" s="1"/>
      <c r="W196" s="1" t="s">
        <v>71</v>
      </c>
      <c r="X196" s="1" t="s">
        <v>4256</v>
      </c>
      <c r="Y196" s="1" t="s">
        <v>4257</v>
      </c>
      <c r="Z196" s="1" t="s">
        <v>4258</v>
      </c>
      <c r="AA196" s="1"/>
      <c r="AB196" s="1"/>
      <c r="AC196" s="1" t="s">
        <v>65</v>
      </c>
      <c r="AD196" s="1" t="s">
        <v>65</v>
      </c>
      <c r="AE196" s="1"/>
      <c r="AF196" s="1" t="s">
        <v>65</v>
      </c>
      <c r="AG196" s="1"/>
      <c r="AH196" s="1"/>
      <c r="AI196" s="1"/>
      <c r="AJ196" s="1"/>
      <c r="AK196" s="1"/>
      <c r="AL196" s="1"/>
      <c r="AM196" s="1"/>
      <c r="AN196" s="1"/>
    </row>
    <row r="197">
      <c r="A197" s="1" t="s">
        <v>295</v>
      </c>
      <c r="B197" s="1" t="s">
        <v>295</v>
      </c>
      <c r="C197" s="4">
        <v>45863.98427083333</v>
      </c>
      <c r="D197" s="5">
        <v>1.753486641E9</v>
      </c>
      <c r="E197" s="7" t="s">
        <v>296</v>
      </c>
      <c r="F197" s="1" t="s">
        <v>302</v>
      </c>
      <c r="G197" s="1" t="s">
        <v>303</v>
      </c>
      <c r="H197" s="1" t="s">
        <v>4262</v>
      </c>
      <c r="I197" s="1" t="s">
        <v>306</v>
      </c>
      <c r="J197" s="7" t="s">
        <v>4263</v>
      </c>
      <c r="K197" s="7" t="s">
        <v>4265</v>
      </c>
      <c r="L197" s="9" t="b">
        <v>1</v>
      </c>
      <c r="M197" s="1" t="s">
        <v>66</v>
      </c>
      <c r="N197" s="1" t="s">
        <v>64</v>
      </c>
      <c r="O197" s="1" t="s">
        <v>65</v>
      </c>
      <c r="P197" s="5">
        <v>188.0</v>
      </c>
      <c r="Q197" s="5">
        <v>16.0</v>
      </c>
      <c r="R197" s="5">
        <v>970.0</v>
      </c>
      <c r="S197" s="5">
        <v>3.0</v>
      </c>
      <c r="T197" s="5">
        <v>106731.0</v>
      </c>
      <c r="U197" s="1" t="s">
        <v>65</v>
      </c>
      <c r="V197" s="1"/>
      <c r="W197" s="1" t="s">
        <v>65</v>
      </c>
      <c r="X197" s="1"/>
      <c r="Y197" s="1"/>
      <c r="Z197" s="1"/>
      <c r="AA197" s="1"/>
      <c r="AB197" s="1"/>
      <c r="AC197" s="1" t="s">
        <v>65</v>
      </c>
      <c r="AD197" s="1" t="s">
        <v>65</v>
      </c>
      <c r="AE197" s="1"/>
      <c r="AF197" s="1" t="s">
        <v>65</v>
      </c>
      <c r="AG197" s="1"/>
      <c r="AH197" s="1"/>
      <c r="AI197" s="7" t="s">
        <v>322</v>
      </c>
      <c r="AJ197" s="1"/>
      <c r="AK197" s="1"/>
      <c r="AL197" s="1"/>
      <c r="AM197" s="1"/>
      <c r="AN197" s="1"/>
    </row>
    <row r="198">
      <c r="A198" s="1" t="s">
        <v>2477</v>
      </c>
      <c r="B198" s="1" t="s">
        <v>2477</v>
      </c>
      <c r="C198" s="4">
        <v>45863.88793981481</v>
      </c>
      <c r="D198" s="5">
        <v>1.753478318E9</v>
      </c>
      <c r="E198" s="7" t="s">
        <v>2478</v>
      </c>
      <c r="F198" s="1" t="s">
        <v>2514</v>
      </c>
      <c r="G198" s="1" t="s">
        <v>864</v>
      </c>
      <c r="H198" s="1" t="s">
        <v>865</v>
      </c>
      <c r="I198" s="5">
        <v>2.825615947E9</v>
      </c>
      <c r="J198" s="7" t="s">
        <v>866</v>
      </c>
      <c r="K198" s="7" t="s">
        <v>870</v>
      </c>
      <c r="L198" s="9" t="b">
        <v>1</v>
      </c>
      <c r="M198" s="1" t="s">
        <v>66</v>
      </c>
      <c r="N198" s="1" t="s">
        <v>64</v>
      </c>
      <c r="O198" s="1" t="s">
        <v>65</v>
      </c>
      <c r="P198" s="5">
        <v>2.0</v>
      </c>
      <c r="Q198" s="5">
        <v>0.0</v>
      </c>
      <c r="R198" s="5">
        <v>16.0</v>
      </c>
      <c r="S198" s="5">
        <v>1.0</v>
      </c>
      <c r="T198" s="5">
        <v>615.0</v>
      </c>
      <c r="U198" s="1" t="s">
        <v>65</v>
      </c>
      <c r="V198" s="1"/>
      <c r="W198" s="1" t="s">
        <v>65</v>
      </c>
      <c r="X198" s="1"/>
      <c r="Y198" s="1"/>
      <c r="Z198" s="1"/>
      <c r="AA198" s="1"/>
      <c r="AB198" s="1"/>
      <c r="AC198" s="1" t="s">
        <v>65</v>
      </c>
      <c r="AD198" s="1" t="s">
        <v>65</v>
      </c>
      <c r="AE198" s="1"/>
      <c r="AF198" s="1" t="s">
        <v>65</v>
      </c>
      <c r="AG198" s="1"/>
      <c r="AH198" s="1"/>
      <c r="AI198" s="1"/>
      <c r="AJ198" s="1"/>
      <c r="AK198" s="1"/>
      <c r="AL198" s="1"/>
      <c r="AM198" s="1"/>
      <c r="AN198" s="1"/>
    </row>
    <row r="199" hidden="1">
      <c r="A199" s="1" t="s">
        <v>4274</v>
      </c>
      <c r="B199" s="1" t="s">
        <v>4274</v>
      </c>
      <c r="C199" s="4">
        <v>45863.877222222225</v>
      </c>
      <c r="D199" s="5">
        <v>1.753477392E9</v>
      </c>
      <c r="E199" s="7" t="s">
        <v>4275</v>
      </c>
      <c r="F199" s="1" t="s">
        <v>4280</v>
      </c>
      <c r="G199" s="1" t="s">
        <v>4281</v>
      </c>
      <c r="H199" s="1" t="s">
        <v>4282</v>
      </c>
      <c r="I199" s="5">
        <v>8.27809092E8</v>
      </c>
      <c r="J199" s="7" t="s">
        <v>4283</v>
      </c>
      <c r="K199" s="7" t="s">
        <v>4288</v>
      </c>
      <c r="L199" s="9" t="b">
        <v>0</v>
      </c>
      <c r="M199" s="1" t="s">
        <v>67</v>
      </c>
      <c r="N199" s="1" t="s">
        <v>68</v>
      </c>
      <c r="O199" s="1" t="s">
        <v>65</v>
      </c>
      <c r="P199" s="5">
        <v>0.0</v>
      </c>
      <c r="Q199" s="5">
        <v>0.0</v>
      </c>
      <c r="R199" s="5">
        <v>0.0</v>
      </c>
      <c r="S199" s="5">
        <v>0.0</v>
      </c>
      <c r="T199" s="5">
        <v>59.0</v>
      </c>
      <c r="U199" s="1" t="s">
        <v>65</v>
      </c>
      <c r="V199" s="1"/>
      <c r="W199" s="1" t="s">
        <v>71</v>
      </c>
      <c r="X199" s="1" t="s">
        <v>4294</v>
      </c>
      <c r="Y199" s="1" t="s">
        <v>4295</v>
      </c>
      <c r="Z199" s="1" t="s">
        <v>4298</v>
      </c>
      <c r="AA199" s="1"/>
      <c r="AB199" s="1"/>
      <c r="AC199" s="1" t="s">
        <v>65</v>
      </c>
      <c r="AD199" s="1" t="s">
        <v>65</v>
      </c>
      <c r="AE199" s="1"/>
      <c r="AF199" s="1" t="s">
        <v>65</v>
      </c>
      <c r="AG199" s="1"/>
      <c r="AH199" s="1"/>
      <c r="AI199" s="1"/>
      <c r="AJ199" s="1"/>
      <c r="AK199" s="1"/>
      <c r="AL199" s="1"/>
      <c r="AM199" s="1"/>
      <c r="AN199" s="1"/>
    </row>
    <row r="200" hidden="1">
      <c r="A200" s="1" t="s">
        <v>4302</v>
      </c>
      <c r="B200" s="1" t="s">
        <v>4302</v>
      </c>
      <c r="C200" s="4">
        <v>45863.78396990741</v>
      </c>
      <c r="D200" s="5">
        <v>1.753469335E9</v>
      </c>
      <c r="E200" s="7" t="s">
        <v>4303</v>
      </c>
      <c r="F200" s="1" t="s">
        <v>4304</v>
      </c>
      <c r="G200" s="1" t="s">
        <v>4306</v>
      </c>
      <c r="H200" s="1" t="s">
        <v>4307</v>
      </c>
      <c r="I200" s="5">
        <v>2.869315798E9</v>
      </c>
      <c r="J200" s="7" t="s">
        <v>4308</v>
      </c>
      <c r="K200" s="7" t="s">
        <v>4310</v>
      </c>
      <c r="L200" s="9" t="b">
        <v>0</v>
      </c>
      <c r="M200" s="1" t="s">
        <v>67</v>
      </c>
      <c r="N200" s="1" t="s">
        <v>68</v>
      </c>
      <c r="O200" s="1" t="s">
        <v>65</v>
      </c>
      <c r="P200" s="5">
        <v>0.0</v>
      </c>
      <c r="Q200" s="5">
        <v>2.0</v>
      </c>
      <c r="R200" s="5">
        <v>3.0</v>
      </c>
      <c r="S200" s="5">
        <v>0.0</v>
      </c>
      <c r="T200" s="5">
        <v>136.0</v>
      </c>
      <c r="U200" s="1" t="s">
        <v>65</v>
      </c>
      <c r="V200" s="1"/>
      <c r="W200" s="1" t="s">
        <v>65</v>
      </c>
      <c r="X200" s="1"/>
      <c r="Y200" s="1"/>
      <c r="Z200" s="1"/>
      <c r="AA200" s="1"/>
      <c r="AB200" s="1"/>
      <c r="AC200" s="1" t="s">
        <v>65</v>
      </c>
      <c r="AD200" s="1" t="s">
        <v>65</v>
      </c>
      <c r="AE200" s="1"/>
      <c r="AF200" s="1" t="s">
        <v>65</v>
      </c>
      <c r="AG200" s="1"/>
      <c r="AH200" s="1"/>
      <c r="AI200" s="1"/>
      <c r="AJ200" s="1"/>
      <c r="AK200" s="1"/>
      <c r="AL200" s="1"/>
      <c r="AM200" s="1"/>
      <c r="AN200" s="1"/>
    </row>
    <row r="201" hidden="1">
      <c r="A201" s="1" t="s">
        <v>4318</v>
      </c>
      <c r="B201" s="1" t="s">
        <v>4318</v>
      </c>
      <c r="C201" s="4">
        <v>45860.73915509259</v>
      </c>
      <c r="D201" s="5">
        <v>1.753206263E9</v>
      </c>
      <c r="E201" s="7" t="s">
        <v>4320</v>
      </c>
      <c r="F201" s="1" t="s">
        <v>4322</v>
      </c>
      <c r="G201" s="1" t="s">
        <v>4323</v>
      </c>
      <c r="H201" s="1" t="s">
        <v>4324</v>
      </c>
      <c r="I201" s="1" t="s">
        <v>4325</v>
      </c>
      <c r="J201" s="7" t="s">
        <v>4326</v>
      </c>
      <c r="K201" s="7" t="s">
        <v>4333</v>
      </c>
      <c r="L201" s="9" t="b">
        <v>0</v>
      </c>
      <c r="M201" s="1" t="s">
        <v>67</v>
      </c>
      <c r="N201" s="1" t="s">
        <v>68</v>
      </c>
      <c r="O201" s="1" t="s">
        <v>65</v>
      </c>
      <c r="P201" s="5">
        <v>0.0</v>
      </c>
      <c r="Q201" s="5">
        <v>0.0</v>
      </c>
      <c r="R201" s="5">
        <v>0.0</v>
      </c>
      <c r="S201" s="5">
        <v>0.0</v>
      </c>
      <c r="T201" s="5">
        <v>37.0</v>
      </c>
      <c r="U201" s="1" t="s">
        <v>65</v>
      </c>
      <c r="V201" s="1"/>
      <c r="W201" s="1" t="s">
        <v>65</v>
      </c>
      <c r="X201" s="1"/>
      <c r="Y201" s="1"/>
      <c r="Z201" s="1"/>
      <c r="AA201" s="1"/>
      <c r="AB201" s="1"/>
      <c r="AC201" s="1" t="s">
        <v>65</v>
      </c>
      <c r="AD201" s="1" t="s">
        <v>65</v>
      </c>
      <c r="AE201" s="1"/>
      <c r="AF201" s="1" t="s">
        <v>65</v>
      </c>
      <c r="AG201" s="1"/>
      <c r="AH201" s="1"/>
      <c r="AI201" s="1"/>
      <c r="AJ201" s="1"/>
      <c r="AK201" s="1"/>
      <c r="AL201" s="1"/>
      <c r="AM201" s="1"/>
      <c r="AN201" s="1"/>
    </row>
    <row r="202">
      <c r="A202" s="1" t="s">
        <v>4346</v>
      </c>
      <c r="B202" s="1" t="s">
        <v>4346</v>
      </c>
      <c r="C202" s="4">
        <v>45860.732835648145</v>
      </c>
      <c r="D202" s="5">
        <v>1.753205717E9</v>
      </c>
      <c r="E202" s="7" t="s">
        <v>4347</v>
      </c>
      <c r="F202" s="1" t="s">
        <v>4353</v>
      </c>
      <c r="G202" s="1" t="s">
        <v>4354</v>
      </c>
      <c r="H202" s="1" t="s">
        <v>4356</v>
      </c>
      <c r="I202" s="5">
        <v>1.00304774E8</v>
      </c>
      <c r="J202" s="7" t="s">
        <v>4357</v>
      </c>
      <c r="K202" s="7" t="s">
        <v>4359</v>
      </c>
      <c r="L202" s="9" t="b">
        <v>0</v>
      </c>
      <c r="M202" s="1" t="s">
        <v>85</v>
      </c>
      <c r="N202" s="1" t="s">
        <v>64</v>
      </c>
      <c r="O202" s="1" t="s">
        <v>65</v>
      </c>
      <c r="P202" s="5">
        <v>0.0</v>
      </c>
      <c r="Q202" s="5">
        <v>0.0</v>
      </c>
      <c r="R202" s="5">
        <v>1.0</v>
      </c>
      <c r="S202" s="5">
        <v>0.0</v>
      </c>
      <c r="T202" s="5">
        <v>28.0</v>
      </c>
      <c r="U202" s="1" t="s">
        <v>65</v>
      </c>
      <c r="V202" s="1"/>
      <c r="W202" s="1" t="s">
        <v>65</v>
      </c>
      <c r="X202" s="1"/>
      <c r="Y202" s="1"/>
      <c r="Z202" s="1"/>
      <c r="AA202" s="1"/>
      <c r="AB202" s="1"/>
      <c r="AC202" s="1" t="s">
        <v>65</v>
      </c>
      <c r="AD202" s="1" t="s">
        <v>65</v>
      </c>
      <c r="AE202" s="1"/>
      <c r="AF202" s="1" t="s">
        <v>65</v>
      </c>
      <c r="AG202" s="1"/>
      <c r="AH202" s="1"/>
      <c r="AI202" s="1"/>
      <c r="AJ202" s="1"/>
      <c r="AK202" s="1"/>
      <c r="AL202" s="1"/>
      <c r="AM202" s="1"/>
      <c r="AN202" s="1"/>
    </row>
    <row r="203">
      <c r="A203" s="1" t="s">
        <v>4367</v>
      </c>
      <c r="B203" s="1" t="s">
        <v>4367</v>
      </c>
      <c r="C203" s="4">
        <v>45859.0047337963</v>
      </c>
      <c r="D203" s="5">
        <v>1.753056409E9</v>
      </c>
      <c r="E203" s="7" t="s">
        <v>4368</v>
      </c>
      <c r="F203" s="1" t="s">
        <v>4372</v>
      </c>
      <c r="G203" s="1" t="s">
        <v>4373</v>
      </c>
      <c r="H203" s="1" t="s">
        <v>4374</v>
      </c>
      <c r="I203" s="5">
        <v>1.30729417E8</v>
      </c>
      <c r="J203" s="7" t="s">
        <v>4375</v>
      </c>
      <c r="K203" s="7" t="s">
        <v>4381</v>
      </c>
      <c r="L203" s="9" t="b">
        <v>0</v>
      </c>
      <c r="M203" s="1" t="s">
        <v>85</v>
      </c>
      <c r="N203" s="1" t="s">
        <v>64</v>
      </c>
      <c r="O203" s="1" t="s">
        <v>65</v>
      </c>
      <c r="P203" s="5">
        <v>0.0</v>
      </c>
      <c r="Q203" s="5">
        <v>0.0</v>
      </c>
      <c r="R203" s="5">
        <v>0.0</v>
      </c>
      <c r="S203" s="5">
        <v>0.0</v>
      </c>
      <c r="T203" s="5">
        <v>49.0</v>
      </c>
      <c r="U203" s="1" t="s">
        <v>65</v>
      </c>
      <c r="V203" s="1"/>
      <c r="W203" s="1" t="s">
        <v>65</v>
      </c>
      <c r="X203" s="1"/>
      <c r="Y203" s="1"/>
      <c r="Z203" s="1"/>
      <c r="AA203" s="1"/>
      <c r="AB203" s="1"/>
      <c r="AC203" s="1" t="s">
        <v>65</v>
      </c>
      <c r="AD203" s="1" t="s">
        <v>65</v>
      </c>
      <c r="AE203" s="1"/>
      <c r="AF203" s="1" t="s">
        <v>65</v>
      </c>
      <c r="AG203" s="1"/>
      <c r="AH203" s="1"/>
      <c r="AI203" s="1"/>
      <c r="AJ203" s="1"/>
      <c r="AK203" s="1"/>
      <c r="AL203" s="1"/>
      <c r="AM203" s="1"/>
      <c r="AN203" s="1"/>
    </row>
    <row r="204" hidden="1">
      <c r="A204" s="1" t="s">
        <v>4391</v>
      </c>
      <c r="B204" s="1" t="s">
        <v>4391</v>
      </c>
      <c r="C204" s="4">
        <v>45858.02064814815</v>
      </c>
      <c r="D204" s="5">
        <v>1.752971384E9</v>
      </c>
      <c r="E204" s="7" t="s">
        <v>4392</v>
      </c>
      <c r="F204" s="1" t="s">
        <v>4397</v>
      </c>
      <c r="G204" s="1" t="s">
        <v>4398</v>
      </c>
      <c r="H204" s="1" t="s">
        <v>4399</v>
      </c>
      <c r="I204" s="1" t="s">
        <v>4400</v>
      </c>
      <c r="J204" s="7" t="s">
        <v>4402</v>
      </c>
      <c r="K204" s="7" t="s">
        <v>4407</v>
      </c>
      <c r="L204" s="9" t="b">
        <v>0</v>
      </c>
      <c r="M204" s="1" t="s">
        <v>67</v>
      </c>
      <c r="N204" s="1" t="s">
        <v>68</v>
      </c>
      <c r="O204" s="1" t="s">
        <v>65</v>
      </c>
      <c r="P204" s="5">
        <v>0.0</v>
      </c>
      <c r="Q204" s="5">
        <v>0.0</v>
      </c>
      <c r="R204" s="5">
        <v>1.0</v>
      </c>
      <c r="S204" s="5">
        <v>0.0</v>
      </c>
      <c r="T204" s="5">
        <v>24.0</v>
      </c>
      <c r="U204" s="1" t="s">
        <v>65</v>
      </c>
      <c r="V204" s="1"/>
      <c r="W204" s="1" t="s">
        <v>65</v>
      </c>
      <c r="X204" s="1"/>
      <c r="Y204" s="1"/>
      <c r="Z204" s="1"/>
      <c r="AA204" s="1"/>
      <c r="AB204" s="1"/>
      <c r="AC204" s="1" t="s">
        <v>65</v>
      </c>
      <c r="AD204" s="1" t="s">
        <v>65</v>
      </c>
      <c r="AE204" s="1"/>
      <c r="AF204" s="1" t="s">
        <v>65</v>
      </c>
      <c r="AG204" s="1"/>
      <c r="AH204" s="1"/>
      <c r="AI204" s="1"/>
      <c r="AJ204" s="1"/>
      <c r="AK204" s="1"/>
      <c r="AL204" s="1"/>
      <c r="AM204" s="1"/>
      <c r="AN204" s="1"/>
    </row>
    <row r="205">
      <c r="A205" s="1" t="s">
        <v>4415</v>
      </c>
      <c r="B205" s="1" t="s">
        <v>4415</v>
      </c>
      <c r="C205" s="4">
        <v>45857.72101851852</v>
      </c>
      <c r="D205" s="5">
        <v>1.752945496E9</v>
      </c>
      <c r="E205" s="7" t="s">
        <v>4417</v>
      </c>
      <c r="F205" s="1" t="s">
        <v>4420</v>
      </c>
      <c r="G205" s="1" t="s">
        <v>4422</v>
      </c>
      <c r="H205" s="1" t="s">
        <v>4424</v>
      </c>
      <c r="I205" s="5">
        <v>1.5458715E8</v>
      </c>
      <c r="J205" s="7" t="s">
        <v>4427</v>
      </c>
      <c r="K205" s="7" t="s">
        <v>4434</v>
      </c>
      <c r="L205" s="9" t="b">
        <v>0</v>
      </c>
      <c r="M205" s="1" t="s">
        <v>66</v>
      </c>
      <c r="N205" s="1" t="s">
        <v>64</v>
      </c>
      <c r="O205" s="1" t="s">
        <v>65</v>
      </c>
      <c r="P205" s="5">
        <v>1.0</v>
      </c>
      <c r="Q205" s="5">
        <v>0.0</v>
      </c>
      <c r="R205" s="5">
        <v>1.0</v>
      </c>
      <c r="S205" s="5">
        <v>0.0</v>
      </c>
      <c r="T205" s="5">
        <v>98.0</v>
      </c>
      <c r="U205" s="1" t="s">
        <v>65</v>
      </c>
      <c r="V205" s="1"/>
      <c r="W205" s="1" t="s">
        <v>71</v>
      </c>
      <c r="X205" s="1" t="s">
        <v>4440</v>
      </c>
      <c r="Y205" s="1" t="s">
        <v>4441</v>
      </c>
      <c r="Z205" s="5" t="s">
        <v>4442</v>
      </c>
      <c r="AA205" s="1"/>
      <c r="AB205" s="1"/>
      <c r="AC205" s="1" t="s">
        <v>65</v>
      </c>
      <c r="AD205" s="1" t="s">
        <v>65</v>
      </c>
      <c r="AE205" s="1"/>
      <c r="AF205" s="1" t="s">
        <v>65</v>
      </c>
      <c r="AG205" s="1" t="s">
        <v>1582</v>
      </c>
      <c r="AH205" s="1"/>
      <c r="AI205" s="7" t="s">
        <v>4445</v>
      </c>
      <c r="AJ205" s="1"/>
      <c r="AK205" s="1"/>
      <c r="AL205" s="1"/>
      <c r="AM205" s="1"/>
      <c r="AN205" s="1"/>
    </row>
    <row r="206" hidden="1">
      <c r="A206" s="1" t="s">
        <v>4449</v>
      </c>
      <c r="B206" s="1" t="s">
        <v>4450</v>
      </c>
      <c r="C206" s="4">
        <v>45856.83673611111</v>
      </c>
      <c r="D206" s="5">
        <v>1.752869094E9</v>
      </c>
      <c r="E206" s="7" t="s">
        <v>4451</v>
      </c>
      <c r="F206" s="1" t="s">
        <v>4459</v>
      </c>
      <c r="G206" s="1" t="s">
        <v>4460</v>
      </c>
      <c r="H206" s="1" t="s">
        <v>4461</v>
      </c>
      <c r="I206" s="1" t="s">
        <v>4462</v>
      </c>
      <c r="J206" s="7" t="s">
        <v>4463</v>
      </c>
      <c r="K206" s="7" t="s">
        <v>4470</v>
      </c>
      <c r="L206" s="9" t="b">
        <v>0</v>
      </c>
      <c r="M206" s="1" t="s">
        <v>85</v>
      </c>
      <c r="N206" s="1" t="s">
        <v>68</v>
      </c>
      <c r="O206" s="1" t="s">
        <v>65</v>
      </c>
      <c r="P206" s="5">
        <v>0.0</v>
      </c>
      <c r="Q206" s="5">
        <v>1.0</v>
      </c>
      <c r="R206" s="5">
        <v>0.0</v>
      </c>
      <c r="S206" s="5">
        <v>0.0</v>
      </c>
      <c r="T206" s="5">
        <v>142.0</v>
      </c>
      <c r="U206" s="1" t="s">
        <v>65</v>
      </c>
      <c r="V206" s="1"/>
      <c r="W206" s="1" t="s">
        <v>65</v>
      </c>
      <c r="X206" s="1"/>
      <c r="Y206" s="1"/>
      <c r="Z206" s="1"/>
      <c r="AA206" s="1"/>
      <c r="AB206" s="1"/>
      <c r="AC206" s="1" t="s">
        <v>65</v>
      </c>
      <c r="AD206" s="1" t="s">
        <v>71</v>
      </c>
      <c r="AE206" s="1" t="s">
        <v>4477</v>
      </c>
      <c r="AF206" s="1" t="s">
        <v>65</v>
      </c>
      <c r="AG206" s="1"/>
      <c r="AH206" s="1"/>
      <c r="AI206" s="7" t="s">
        <v>4480</v>
      </c>
      <c r="AJ206" s="1"/>
      <c r="AK206" s="1" t="s">
        <v>4477</v>
      </c>
      <c r="AL206" s="1"/>
      <c r="AM206" s="1"/>
      <c r="AN206" s="1"/>
    </row>
    <row r="207" hidden="1">
      <c r="A207" s="1" t="s">
        <v>4484</v>
      </c>
      <c r="B207" s="1" t="s">
        <v>4484</v>
      </c>
      <c r="C207" s="4">
        <v>45856.51047453703</v>
      </c>
      <c r="D207" s="5">
        <v>1.752840905E9</v>
      </c>
      <c r="E207" s="7" t="s">
        <v>4486</v>
      </c>
      <c r="F207" s="1" t="s">
        <v>4491</v>
      </c>
      <c r="G207" s="1" t="s">
        <v>4494</v>
      </c>
      <c r="H207" s="1" t="s">
        <v>4495</v>
      </c>
      <c r="I207" s="5">
        <v>4.520965702E9</v>
      </c>
      <c r="J207" s="7" t="s">
        <v>4496</v>
      </c>
      <c r="K207" s="7" t="s">
        <v>4500</v>
      </c>
      <c r="L207" s="9" t="b">
        <v>0</v>
      </c>
      <c r="M207" s="1" t="s">
        <v>85</v>
      </c>
      <c r="N207" s="1" t="s">
        <v>68</v>
      </c>
      <c r="O207" s="1" t="s">
        <v>65</v>
      </c>
      <c r="P207" s="5">
        <v>2.0</v>
      </c>
      <c r="Q207" s="5">
        <v>1.0</v>
      </c>
      <c r="R207" s="5">
        <v>7.0</v>
      </c>
      <c r="S207" s="5">
        <v>0.0</v>
      </c>
      <c r="T207" s="5">
        <v>527.0</v>
      </c>
      <c r="U207" s="1" t="s">
        <v>65</v>
      </c>
      <c r="V207" s="1"/>
      <c r="W207" s="1" t="s">
        <v>65</v>
      </c>
      <c r="X207" s="1"/>
      <c r="Y207" s="1"/>
      <c r="Z207" s="1"/>
      <c r="AA207" s="1"/>
      <c r="AB207" s="1"/>
      <c r="AC207" s="1" t="s">
        <v>65</v>
      </c>
      <c r="AD207" s="1" t="s">
        <v>65</v>
      </c>
      <c r="AE207" s="1"/>
      <c r="AF207" s="1" t="s">
        <v>65</v>
      </c>
      <c r="AG207" s="1"/>
      <c r="AH207" s="1"/>
      <c r="AI207" s="1"/>
      <c r="AJ207" s="1"/>
      <c r="AK207" s="1"/>
      <c r="AL207" s="1"/>
      <c r="AM207" s="1"/>
      <c r="AN207" s="1"/>
    </row>
    <row r="208" hidden="1">
      <c r="A208" s="1" t="s">
        <v>4506</v>
      </c>
      <c r="B208" s="1" t="s">
        <v>4506</v>
      </c>
      <c r="C208" s="4">
        <v>45856.44712962963</v>
      </c>
      <c r="D208" s="5">
        <v>1.752835432E9</v>
      </c>
      <c r="E208" s="7" t="s">
        <v>4507</v>
      </c>
      <c r="F208" s="1" t="s">
        <v>4513</v>
      </c>
      <c r="G208" s="1" t="s">
        <v>4514</v>
      </c>
      <c r="H208" s="1" t="s">
        <v>4515</v>
      </c>
      <c r="I208" s="1" t="s">
        <v>4516</v>
      </c>
      <c r="J208" s="7" t="s">
        <v>4517</v>
      </c>
      <c r="K208" s="7" t="s">
        <v>4523</v>
      </c>
      <c r="L208" s="9" t="b">
        <v>0</v>
      </c>
      <c r="M208" s="1" t="s">
        <v>67</v>
      </c>
      <c r="N208" s="1" t="s">
        <v>68</v>
      </c>
      <c r="O208" s="1" t="s">
        <v>65</v>
      </c>
      <c r="P208" s="5">
        <v>0.0</v>
      </c>
      <c r="Q208" s="5">
        <v>0.0</v>
      </c>
      <c r="R208" s="5">
        <v>0.0</v>
      </c>
      <c r="S208" s="5">
        <v>0.0</v>
      </c>
      <c r="T208" s="5">
        <v>61.0</v>
      </c>
      <c r="U208" s="1" t="s">
        <v>65</v>
      </c>
      <c r="V208" s="1"/>
      <c r="W208" s="1" t="s">
        <v>65</v>
      </c>
      <c r="X208" s="1"/>
      <c r="Y208" s="1"/>
      <c r="Z208" s="1"/>
      <c r="AA208" s="1"/>
      <c r="AB208" s="1"/>
      <c r="AC208" s="1" t="s">
        <v>65</v>
      </c>
      <c r="AD208" s="1" t="s">
        <v>65</v>
      </c>
      <c r="AE208" s="1"/>
      <c r="AF208" s="1" t="s">
        <v>65</v>
      </c>
      <c r="AG208" s="1"/>
      <c r="AH208" s="1"/>
      <c r="AI208" s="1"/>
      <c r="AJ208" s="1"/>
      <c r="AK208" s="1"/>
      <c r="AL208" s="1"/>
      <c r="AM208" s="1"/>
      <c r="AN208" s="1"/>
    </row>
    <row r="209">
      <c r="A209" s="1" t="s">
        <v>4532</v>
      </c>
      <c r="B209" s="1" t="s">
        <v>4532</v>
      </c>
      <c r="C209" s="4">
        <v>45855.74115740741</v>
      </c>
      <c r="D209" s="5">
        <v>1.752774436E9</v>
      </c>
      <c r="E209" s="7" t="s">
        <v>4533</v>
      </c>
      <c r="F209" s="1" t="s">
        <v>4537</v>
      </c>
      <c r="G209" s="1" t="s">
        <v>4538</v>
      </c>
      <c r="H209" s="1" t="s">
        <v>4539</v>
      </c>
      <c r="I209" s="5">
        <v>2.779168662E9</v>
      </c>
      <c r="J209" s="7" t="s">
        <v>4541</v>
      </c>
      <c r="K209" s="7" t="s">
        <v>4548</v>
      </c>
      <c r="L209" s="9" t="b">
        <v>1</v>
      </c>
      <c r="M209" s="1" t="s">
        <v>85</v>
      </c>
      <c r="N209" s="1" t="s">
        <v>64</v>
      </c>
      <c r="O209" s="1" t="s">
        <v>65</v>
      </c>
      <c r="P209" s="5">
        <v>0.0</v>
      </c>
      <c r="Q209" s="5">
        <v>0.0</v>
      </c>
      <c r="R209" s="5">
        <v>1.0</v>
      </c>
      <c r="S209" s="5">
        <v>0.0</v>
      </c>
      <c r="T209" s="5">
        <v>68.0</v>
      </c>
      <c r="U209" s="1" t="s">
        <v>65</v>
      </c>
      <c r="V209" s="1"/>
      <c r="W209" s="1" t="s">
        <v>71</v>
      </c>
      <c r="X209" s="1" t="s">
        <v>4554</v>
      </c>
      <c r="Y209" s="1" t="s">
        <v>4538</v>
      </c>
      <c r="Z209" s="1" t="s">
        <v>4555</v>
      </c>
      <c r="AA209" s="1"/>
      <c r="AB209" s="1"/>
      <c r="AC209" s="1" t="s">
        <v>65</v>
      </c>
      <c r="AD209" s="1" t="s">
        <v>65</v>
      </c>
      <c r="AE209" s="1"/>
      <c r="AF209" s="1" t="s">
        <v>65</v>
      </c>
      <c r="AG209" s="1"/>
      <c r="AH209" s="1"/>
      <c r="AI209" s="1"/>
      <c r="AJ209" s="1"/>
      <c r="AK209" s="1"/>
      <c r="AL209" s="1"/>
      <c r="AM209" s="1"/>
      <c r="AN209" s="1"/>
    </row>
    <row r="210">
      <c r="A210" s="1" t="s">
        <v>2087</v>
      </c>
      <c r="B210" s="1" t="s">
        <v>2087</v>
      </c>
      <c r="C210" s="4">
        <v>45855.23587962963</v>
      </c>
      <c r="D210" s="5">
        <v>1.75273078E9</v>
      </c>
      <c r="E210" s="7" t="s">
        <v>2092</v>
      </c>
      <c r="F210" s="1" t="s">
        <v>2094</v>
      </c>
      <c r="G210" s="1" t="s">
        <v>864</v>
      </c>
      <c r="H210" s="1" t="s">
        <v>865</v>
      </c>
      <c r="I210" s="5">
        <v>2.825615947E9</v>
      </c>
      <c r="J210" s="7" t="s">
        <v>866</v>
      </c>
      <c r="K210" s="7" t="s">
        <v>870</v>
      </c>
      <c r="L210" s="9" t="b">
        <v>1</v>
      </c>
      <c r="M210" s="1" t="s">
        <v>66</v>
      </c>
      <c r="N210" s="1" t="s">
        <v>64</v>
      </c>
      <c r="O210" s="1" t="s">
        <v>65</v>
      </c>
      <c r="P210" s="5">
        <v>0.0</v>
      </c>
      <c r="Q210" s="5">
        <v>0.0</v>
      </c>
      <c r="R210" s="5">
        <v>4.0</v>
      </c>
      <c r="S210" s="5">
        <v>0.0</v>
      </c>
      <c r="T210" s="5">
        <v>146.0</v>
      </c>
      <c r="U210" s="1" t="s">
        <v>65</v>
      </c>
      <c r="V210" s="1"/>
      <c r="W210" s="1" t="s">
        <v>65</v>
      </c>
      <c r="X210" s="1"/>
      <c r="Y210" s="1"/>
      <c r="Z210" s="1"/>
      <c r="AA210" s="1"/>
      <c r="AB210" s="1"/>
      <c r="AC210" s="1" t="s">
        <v>65</v>
      </c>
      <c r="AD210" s="1" t="s">
        <v>65</v>
      </c>
      <c r="AE210" s="1"/>
      <c r="AF210" s="1" t="s">
        <v>65</v>
      </c>
      <c r="AG210" s="1" t="s">
        <v>1930</v>
      </c>
      <c r="AH210" s="1"/>
      <c r="AI210" s="7" t="s">
        <v>2097</v>
      </c>
      <c r="AJ210" s="7" t="s">
        <v>2107</v>
      </c>
      <c r="AK210" s="1"/>
      <c r="AL210" s="1"/>
      <c r="AM210" s="1"/>
      <c r="AN210" s="1"/>
    </row>
    <row r="211" hidden="1">
      <c r="A211" s="1" t="s">
        <v>4579</v>
      </c>
      <c r="B211" s="1" t="s">
        <v>4579</v>
      </c>
      <c r="C211" s="4">
        <v>45855.188784722224</v>
      </c>
      <c r="D211" s="5">
        <v>1.752726711E9</v>
      </c>
      <c r="E211" s="7" t="s">
        <v>4580</v>
      </c>
      <c r="F211" s="1" t="s">
        <v>4581</v>
      </c>
      <c r="G211" s="1" t="s">
        <v>4582</v>
      </c>
      <c r="H211" s="1" t="s">
        <v>4583</v>
      </c>
      <c r="I211" s="1" t="s">
        <v>4584</v>
      </c>
      <c r="J211" s="7" t="s">
        <v>4586</v>
      </c>
      <c r="K211" s="7" t="s">
        <v>4592</v>
      </c>
      <c r="L211" s="9" t="b">
        <v>0</v>
      </c>
      <c r="M211" s="1" t="s">
        <v>85</v>
      </c>
      <c r="N211" s="1" t="s">
        <v>68</v>
      </c>
      <c r="O211" s="1" t="s">
        <v>65</v>
      </c>
      <c r="P211" s="5">
        <v>0.0</v>
      </c>
      <c r="Q211" s="5">
        <v>0.0</v>
      </c>
      <c r="R211" s="5">
        <v>0.0</v>
      </c>
      <c r="S211" s="5">
        <v>0.0</v>
      </c>
      <c r="T211" s="5">
        <v>11.0</v>
      </c>
      <c r="U211" s="1" t="s">
        <v>65</v>
      </c>
      <c r="V211" s="1"/>
      <c r="W211" s="1" t="s">
        <v>65</v>
      </c>
      <c r="X211" s="1"/>
      <c r="Y211" s="1"/>
      <c r="Z211" s="1"/>
      <c r="AA211" s="1"/>
      <c r="AB211" s="1"/>
      <c r="AC211" s="1" t="s">
        <v>65</v>
      </c>
      <c r="AD211" s="1" t="s">
        <v>65</v>
      </c>
      <c r="AE211" s="1"/>
      <c r="AF211" s="1" t="s">
        <v>65</v>
      </c>
      <c r="AG211" s="1"/>
      <c r="AH211" s="1"/>
      <c r="AI211" s="1"/>
      <c r="AJ211" s="1"/>
      <c r="AK211" s="1"/>
      <c r="AL211" s="1"/>
      <c r="AM211" s="1"/>
      <c r="AN211" s="1"/>
    </row>
    <row r="212" hidden="1">
      <c r="A212" s="1" t="s">
        <v>4600</v>
      </c>
      <c r="B212" s="1" t="s">
        <v>4602</v>
      </c>
      <c r="C212" s="4">
        <v>45855.03313657407</v>
      </c>
      <c r="D212" s="5">
        <v>1.752713263E9</v>
      </c>
      <c r="E212" s="7" t="s">
        <v>4605</v>
      </c>
      <c r="F212" s="1" t="s">
        <v>4606</v>
      </c>
      <c r="G212" s="1" t="s">
        <v>4607</v>
      </c>
      <c r="H212" s="1" t="s">
        <v>4608</v>
      </c>
      <c r="I212" s="5">
        <v>2.62827611E8</v>
      </c>
      <c r="J212" s="7" t="s">
        <v>4610</v>
      </c>
      <c r="K212" s="7" t="s">
        <v>4616</v>
      </c>
      <c r="L212" s="9" t="b">
        <v>0</v>
      </c>
      <c r="M212" s="1" t="s">
        <v>85</v>
      </c>
      <c r="N212" s="1" t="s">
        <v>68</v>
      </c>
      <c r="O212" s="1" t="s">
        <v>65</v>
      </c>
      <c r="P212" s="5">
        <v>0.0</v>
      </c>
      <c r="Q212" s="5">
        <v>0.0</v>
      </c>
      <c r="R212" s="5">
        <v>0.0</v>
      </c>
      <c r="S212" s="5">
        <v>0.0</v>
      </c>
      <c r="T212" s="5">
        <v>32.0</v>
      </c>
      <c r="U212" s="1" t="s">
        <v>65</v>
      </c>
      <c r="V212" s="1"/>
      <c r="W212" s="1" t="s">
        <v>65</v>
      </c>
      <c r="X212" s="1"/>
      <c r="Y212" s="1"/>
      <c r="Z212" s="1"/>
      <c r="AA212" s="1"/>
      <c r="AB212" s="1"/>
      <c r="AC212" s="1" t="s">
        <v>65</v>
      </c>
      <c r="AD212" s="1" t="s">
        <v>71</v>
      </c>
      <c r="AE212" s="1" t="s">
        <v>4607</v>
      </c>
      <c r="AF212" s="1" t="s">
        <v>65</v>
      </c>
      <c r="AG212" s="1"/>
      <c r="AH212" s="1"/>
      <c r="AI212" s="1"/>
      <c r="AJ212" s="1"/>
      <c r="AK212" s="1"/>
      <c r="AL212" s="1"/>
      <c r="AM212" s="1"/>
      <c r="AN212" s="1"/>
    </row>
    <row r="213">
      <c r="A213" s="1" t="s">
        <v>4627</v>
      </c>
      <c r="B213" s="1" t="s">
        <v>4628</v>
      </c>
      <c r="C213" s="4">
        <v>45854.708703703705</v>
      </c>
      <c r="D213" s="5">
        <v>1.752685232E9</v>
      </c>
      <c r="E213" s="7" t="s">
        <v>4629</v>
      </c>
      <c r="F213" s="1" t="s">
        <v>4635</v>
      </c>
      <c r="G213" s="1" t="s">
        <v>4636</v>
      </c>
      <c r="H213" s="1" t="s">
        <v>4637</v>
      </c>
      <c r="I213" s="5">
        <v>1.0461213E8</v>
      </c>
      <c r="J213" s="7" t="s">
        <v>4638</v>
      </c>
      <c r="K213" s="7" t="s">
        <v>4645</v>
      </c>
      <c r="L213" s="9" t="b">
        <v>0</v>
      </c>
      <c r="M213" s="1" t="s">
        <v>67</v>
      </c>
      <c r="N213" s="1" t="s">
        <v>64</v>
      </c>
      <c r="O213" s="1" t="s">
        <v>65</v>
      </c>
      <c r="P213" s="5">
        <v>0.0</v>
      </c>
      <c r="Q213" s="5">
        <v>1.0</v>
      </c>
      <c r="R213" s="5">
        <v>0.0</v>
      </c>
      <c r="S213" s="5">
        <v>0.0</v>
      </c>
      <c r="T213" s="5">
        <v>36.0</v>
      </c>
      <c r="U213" s="1" t="s">
        <v>65</v>
      </c>
      <c r="V213" s="1"/>
      <c r="W213" s="1" t="s">
        <v>65</v>
      </c>
      <c r="X213" s="1"/>
      <c r="Y213" s="1"/>
      <c r="Z213" s="1"/>
      <c r="AA213" s="1"/>
      <c r="AB213" s="1"/>
      <c r="AC213" s="1" t="s">
        <v>65</v>
      </c>
      <c r="AD213" s="1" t="s">
        <v>71</v>
      </c>
      <c r="AE213" s="1" t="s">
        <v>4650</v>
      </c>
      <c r="AF213" s="1" t="s">
        <v>65</v>
      </c>
      <c r="AG213" s="1"/>
      <c r="AH213" s="1"/>
      <c r="AI213" s="1"/>
      <c r="AJ213" s="1"/>
      <c r="AK213" s="1" t="s">
        <v>4651</v>
      </c>
      <c r="AL213" s="1"/>
      <c r="AM213" s="1"/>
      <c r="AN213" s="1"/>
    </row>
    <row r="214" hidden="1">
      <c r="A214" s="1" t="s">
        <v>4652</v>
      </c>
      <c r="B214" s="1" t="s">
        <v>4654</v>
      </c>
      <c r="C214" s="4">
        <v>45854.691342592596</v>
      </c>
      <c r="D214" s="5">
        <v>1.752683732E9</v>
      </c>
      <c r="E214" s="7" t="s">
        <v>4655</v>
      </c>
      <c r="F214" s="1" t="s">
        <v>4659</v>
      </c>
      <c r="G214" s="1" t="s">
        <v>4660</v>
      </c>
      <c r="H214" s="1" t="s">
        <v>4661</v>
      </c>
      <c r="I214" s="1" t="s">
        <v>4662</v>
      </c>
      <c r="J214" s="7" t="s">
        <v>4663</v>
      </c>
      <c r="K214" s="7" t="s">
        <v>4668</v>
      </c>
      <c r="L214" s="9" t="b">
        <v>0</v>
      </c>
      <c r="M214" s="1" t="s">
        <v>67</v>
      </c>
      <c r="N214" s="1" t="s">
        <v>68</v>
      </c>
      <c r="O214" s="1" t="s">
        <v>65</v>
      </c>
      <c r="P214" s="5">
        <v>0.0</v>
      </c>
      <c r="Q214" s="5">
        <v>0.0</v>
      </c>
      <c r="R214" s="5">
        <v>0.0</v>
      </c>
      <c r="S214" s="5">
        <v>0.0</v>
      </c>
      <c r="T214" s="5">
        <v>40.0</v>
      </c>
      <c r="U214" s="1" t="s">
        <v>65</v>
      </c>
      <c r="V214" s="1"/>
      <c r="W214" s="1" t="s">
        <v>65</v>
      </c>
      <c r="X214" s="1"/>
      <c r="Y214" s="1"/>
      <c r="Z214" s="1"/>
      <c r="AA214" s="1"/>
      <c r="AB214" s="1"/>
      <c r="AC214" s="1" t="s">
        <v>65</v>
      </c>
      <c r="AD214" s="1" t="s">
        <v>71</v>
      </c>
      <c r="AE214" s="1" t="s">
        <v>4660</v>
      </c>
      <c r="AF214" s="1" t="s">
        <v>65</v>
      </c>
      <c r="AG214" s="1"/>
      <c r="AH214" s="1"/>
      <c r="AI214" s="1"/>
      <c r="AJ214" s="1"/>
      <c r="AK214" s="1" t="s">
        <v>4678</v>
      </c>
      <c r="AL214" s="1"/>
      <c r="AM214" s="1"/>
      <c r="AN214" s="1"/>
    </row>
    <row r="215">
      <c r="A215" s="1" t="s">
        <v>4679</v>
      </c>
      <c r="B215" s="1" t="s">
        <v>4679</v>
      </c>
      <c r="C215" s="4">
        <v>45852.09265046296</v>
      </c>
      <c r="D215" s="5">
        <v>1.752459205E9</v>
      </c>
      <c r="E215" s="7" t="s">
        <v>4680</v>
      </c>
      <c r="F215" s="1" t="s">
        <v>4684</v>
      </c>
      <c r="G215" s="1" t="s">
        <v>4685</v>
      </c>
      <c r="H215" s="1" t="s">
        <v>4686</v>
      </c>
      <c r="I215" s="1" t="s">
        <v>4687</v>
      </c>
      <c r="J215" s="7" t="s">
        <v>4688</v>
      </c>
      <c r="K215" s="7" t="s">
        <v>4697</v>
      </c>
      <c r="L215" s="9" t="b">
        <v>1</v>
      </c>
      <c r="M215" s="1" t="s">
        <v>67</v>
      </c>
      <c r="N215" s="1" t="s">
        <v>64</v>
      </c>
      <c r="O215" s="1" t="s">
        <v>65</v>
      </c>
      <c r="P215" s="5">
        <v>0.0</v>
      </c>
      <c r="Q215" s="5">
        <v>0.0</v>
      </c>
      <c r="R215" s="5">
        <v>1.0</v>
      </c>
      <c r="S215" s="5">
        <v>0.0</v>
      </c>
      <c r="T215" s="5">
        <v>68.0</v>
      </c>
      <c r="U215" s="1" t="s">
        <v>65</v>
      </c>
      <c r="V215" s="1"/>
      <c r="W215" s="1" t="s">
        <v>65</v>
      </c>
      <c r="X215" s="1"/>
      <c r="Y215" s="1"/>
      <c r="Z215" s="1"/>
      <c r="AA215" s="1"/>
      <c r="AB215" s="1"/>
      <c r="AC215" s="1" t="s">
        <v>65</v>
      </c>
      <c r="AD215" s="1" t="s">
        <v>65</v>
      </c>
      <c r="AE215" s="1"/>
      <c r="AF215" s="1" t="s">
        <v>65</v>
      </c>
      <c r="AG215" s="1"/>
      <c r="AH215" s="7" t="s">
        <v>4701</v>
      </c>
      <c r="AI215" s="1"/>
      <c r="AJ215" s="1"/>
      <c r="AK215" s="1"/>
      <c r="AL215" s="1"/>
      <c r="AM215" s="1"/>
      <c r="AN215" s="1"/>
    </row>
    <row r="216">
      <c r="A216" s="1" t="s">
        <v>4710</v>
      </c>
      <c r="B216" s="1" t="s">
        <v>4711</v>
      </c>
      <c r="C216" s="4">
        <v>45851.2078125</v>
      </c>
      <c r="D216" s="5">
        <v>1.752382755E9</v>
      </c>
      <c r="E216" s="7" t="s">
        <v>4713</v>
      </c>
      <c r="F216" s="1" t="s">
        <v>4715</v>
      </c>
      <c r="G216" s="1" t="s">
        <v>4717</v>
      </c>
      <c r="H216" s="1" t="s">
        <v>4719</v>
      </c>
      <c r="I216" s="5">
        <v>1.67833631E8</v>
      </c>
      <c r="J216" s="7" t="s">
        <v>4721</v>
      </c>
      <c r="K216" s="7" t="s">
        <v>4726</v>
      </c>
      <c r="L216" s="9" t="b">
        <v>0</v>
      </c>
      <c r="M216" s="1" t="s">
        <v>67</v>
      </c>
      <c r="N216" s="1" t="s">
        <v>64</v>
      </c>
      <c r="O216" s="1" t="s">
        <v>65</v>
      </c>
      <c r="P216" s="5">
        <v>0.0</v>
      </c>
      <c r="Q216" s="5">
        <v>0.0</v>
      </c>
      <c r="R216" s="5">
        <v>0.0</v>
      </c>
      <c r="S216" s="5">
        <v>0.0</v>
      </c>
      <c r="T216" s="5">
        <v>23.0</v>
      </c>
      <c r="U216" s="1" t="s">
        <v>65</v>
      </c>
      <c r="V216" s="1"/>
      <c r="W216" s="1" t="s">
        <v>65</v>
      </c>
      <c r="X216" s="1"/>
      <c r="Y216" s="1"/>
      <c r="Z216" s="1"/>
      <c r="AA216" s="1"/>
      <c r="AB216" s="1"/>
      <c r="AC216" s="1" t="s">
        <v>65</v>
      </c>
      <c r="AD216" s="1" t="s">
        <v>71</v>
      </c>
      <c r="AE216" s="1" t="s">
        <v>4735</v>
      </c>
      <c r="AF216" s="1" t="s">
        <v>65</v>
      </c>
      <c r="AG216" s="1"/>
      <c r="AH216" s="1"/>
      <c r="AI216" s="1"/>
      <c r="AJ216" s="1"/>
      <c r="AK216" s="1" t="s">
        <v>4735</v>
      </c>
      <c r="AL216" s="1"/>
      <c r="AM216" s="1"/>
      <c r="AN216" s="1"/>
    </row>
    <row r="217">
      <c r="A217" s="1" t="s">
        <v>4737</v>
      </c>
      <c r="B217" s="1" t="s">
        <v>4738</v>
      </c>
      <c r="C217" s="4">
        <v>45850.61478009259</v>
      </c>
      <c r="D217" s="5">
        <v>1.752331517E9</v>
      </c>
      <c r="E217" s="7" t="s">
        <v>4740</v>
      </c>
      <c r="F217" s="1" t="s">
        <v>4744</v>
      </c>
      <c r="G217" s="1" t="s">
        <v>4746</v>
      </c>
      <c r="H217" s="1" t="s">
        <v>4748</v>
      </c>
      <c r="I217" s="1" t="s">
        <v>4749</v>
      </c>
      <c r="J217" s="7" t="s">
        <v>4751</v>
      </c>
      <c r="K217" s="1"/>
      <c r="L217" s="9" t="b">
        <v>0</v>
      </c>
      <c r="M217" s="1" t="s">
        <v>67</v>
      </c>
      <c r="N217" s="1" t="s">
        <v>64</v>
      </c>
      <c r="O217" s="1" t="s">
        <v>65</v>
      </c>
      <c r="P217" s="5">
        <v>0.0</v>
      </c>
      <c r="Q217" s="5">
        <v>0.0</v>
      </c>
      <c r="R217" s="5">
        <v>0.0</v>
      </c>
      <c r="S217" s="5">
        <v>0.0</v>
      </c>
      <c r="T217" s="5">
        <v>31.0</v>
      </c>
      <c r="U217" s="1" t="s">
        <v>65</v>
      </c>
      <c r="V217" s="1"/>
      <c r="W217" s="1" t="s">
        <v>65</v>
      </c>
      <c r="X217" s="1"/>
      <c r="Y217" s="1"/>
      <c r="Z217" s="1"/>
      <c r="AA217" s="1"/>
      <c r="AB217" s="1"/>
      <c r="AC217" s="1" t="s">
        <v>65</v>
      </c>
      <c r="AD217" s="1" t="s">
        <v>71</v>
      </c>
      <c r="AE217" s="1" t="s">
        <v>4760</v>
      </c>
      <c r="AF217" s="1" t="s">
        <v>65</v>
      </c>
      <c r="AG217" s="1"/>
      <c r="AH217" s="1"/>
      <c r="AI217" s="1"/>
      <c r="AJ217" s="1"/>
      <c r="AK217" s="1" t="s">
        <v>4760</v>
      </c>
      <c r="AL217" s="1"/>
      <c r="AM217" s="1"/>
      <c r="AN217" s="1"/>
    </row>
    <row r="218">
      <c r="A218" s="1" t="s">
        <v>4761</v>
      </c>
      <c r="B218" s="1" t="s">
        <v>4761</v>
      </c>
      <c r="C218" s="4">
        <v>45849.59306712963</v>
      </c>
      <c r="D218" s="5">
        <v>1.752243241E9</v>
      </c>
      <c r="E218" s="7" t="s">
        <v>4762</v>
      </c>
      <c r="F218" s="1" t="s">
        <v>4766</v>
      </c>
      <c r="G218" s="1" t="s">
        <v>4767</v>
      </c>
      <c r="H218" s="7" t="s">
        <v>4768</v>
      </c>
      <c r="I218" s="1" t="s">
        <v>4774</v>
      </c>
      <c r="J218" s="7" t="s">
        <v>4775</v>
      </c>
      <c r="K218" s="1"/>
      <c r="L218" s="9" t="b">
        <v>0</v>
      </c>
      <c r="M218" s="1" t="s">
        <v>67</v>
      </c>
      <c r="N218" s="1" t="s">
        <v>64</v>
      </c>
      <c r="O218" s="1" t="s">
        <v>65</v>
      </c>
      <c r="P218" s="5">
        <v>0.0</v>
      </c>
      <c r="Q218" s="5">
        <v>0.0</v>
      </c>
      <c r="R218" s="5">
        <v>0.0</v>
      </c>
      <c r="S218" s="5">
        <v>0.0</v>
      </c>
      <c r="T218" s="5">
        <v>21.0</v>
      </c>
      <c r="U218" s="1" t="s">
        <v>65</v>
      </c>
      <c r="V218" s="1"/>
      <c r="W218" s="1" t="s">
        <v>65</v>
      </c>
      <c r="X218" s="1"/>
      <c r="Y218" s="1"/>
      <c r="Z218" s="1"/>
      <c r="AA218" s="1"/>
      <c r="AB218" s="1"/>
      <c r="AC218" s="1" t="s">
        <v>65</v>
      </c>
      <c r="AD218" s="1" t="s">
        <v>65</v>
      </c>
      <c r="AE218" s="1"/>
      <c r="AF218" s="1" t="s">
        <v>65</v>
      </c>
      <c r="AG218" s="1"/>
      <c r="AH218" s="1"/>
      <c r="AI218" s="1"/>
      <c r="AJ218" s="1"/>
      <c r="AK218" s="1" t="s">
        <v>4784</v>
      </c>
      <c r="AL218" s="1"/>
      <c r="AM218" s="1"/>
      <c r="AN218" s="1"/>
    </row>
    <row r="219">
      <c r="A219" s="1" t="s">
        <v>4785</v>
      </c>
      <c r="B219" s="1" t="s">
        <v>4786</v>
      </c>
      <c r="C219" s="4">
        <v>45849.57607638889</v>
      </c>
      <c r="D219" s="5">
        <v>1.752241773E9</v>
      </c>
      <c r="E219" s="7" t="s">
        <v>4787</v>
      </c>
      <c r="F219" s="1" t="s">
        <v>4793</v>
      </c>
      <c r="G219" s="1" t="s">
        <v>4794</v>
      </c>
      <c r="H219" s="1" t="s">
        <v>4795</v>
      </c>
      <c r="I219" s="5">
        <v>5.5702947E8</v>
      </c>
      <c r="J219" s="7" t="s">
        <v>4797</v>
      </c>
      <c r="K219" s="7" t="s">
        <v>4800</v>
      </c>
      <c r="L219" s="9" t="b">
        <v>0</v>
      </c>
      <c r="M219" s="1" t="s">
        <v>85</v>
      </c>
      <c r="N219" s="1" t="s">
        <v>64</v>
      </c>
      <c r="O219" s="1" t="s">
        <v>65</v>
      </c>
      <c r="P219" s="5">
        <v>0.0</v>
      </c>
      <c r="Q219" s="5">
        <v>0.0</v>
      </c>
      <c r="R219" s="5">
        <v>0.0</v>
      </c>
      <c r="S219" s="5">
        <v>0.0</v>
      </c>
      <c r="T219" s="5">
        <v>60.0</v>
      </c>
      <c r="U219" s="1" t="s">
        <v>65</v>
      </c>
      <c r="V219" s="1"/>
      <c r="W219" s="1" t="s">
        <v>65</v>
      </c>
      <c r="X219" s="1"/>
      <c r="Y219" s="1"/>
      <c r="Z219" s="1"/>
      <c r="AA219" s="1"/>
      <c r="AB219" s="1"/>
      <c r="AC219" s="1" t="s">
        <v>65</v>
      </c>
      <c r="AD219" s="1" t="s">
        <v>71</v>
      </c>
      <c r="AE219" s="1" t="s">
        <v>4809</v>
      </c>
      <c r="AF219" s="1" t="s">
        <v>65</v>
      </c>
      <c r="AG219" s="1"/>
      <c r="AH219" s="1"/>
      <c r="AI219" s="1"/>
      <c r="AJ219" s="1"/>
      <c r="AK219" s="1" t="s">
        <v>4809</v>
      </c>
      <c r="AL219" s="1"/>
      <c r="AM219" s="1"/>
      <c r="AN219" s="1"/>
    </row>
    <row r="220" hidden="1">
      <c r="A220" s="1" t="s">
        <v>4812</v>
      </c>
      <c r="B220" s="1" t="s">
        <v>4813</v>
      </c>
      <c r="C220" s="4">
        <v>45849.47450231481</v>
      </c>
      <c r="D220" s="5">
        <v>1.752232997E9</v>
      </c>
      <c r="E220" s="7" t="s">
        <v>4814</v>
      </c>
      <c r="F220" s="1" t="s">
        <v>4820</v>
      </c>
      <c r="G220" s="1" t="s">
        <v>4821</v>
      </c>
      <c r="H220" s="1" t="s">
        <v>4822</v>
      </c>
      <c r="I220" s="1" t="s">
        <v>4823</v>
      </c>
      <c r="J220" s="7" t="s">
        <v>4824</v>
      </c>
      <c r="K220" s="7" t="s">
        <v>4833</v>
      </c>
      <c r="L220" s="9" t="b">
        <v>0</v>
      </c>
      <c r="M220" s="1" t="s">
        <v>67</v>
      </c>
      <c r="N220" s="1" t="s">
        <v>68</v>
      </c>
      <c r="O220" s="1" t="s">
        <v>65</v>
      </c>
      <c r="P220" s="5">
        <v>0.0</v>
      </c>
      <c r="Q220" s="5">
        <v>0.0</v>
      </c>
      <c r="R220" s="5">
        <v>0.0</v>
      </c>
      <c r="S220" s="5">
        <v>0.0</v>
      </c>
      <c r="T220" s="5">
        <v>28.0</v>
      </c>
      <c r="U220" s="1" t="s">
        <v>65</v>
      </c>
      <c r="V220" s="1"/>
      <c r="W220" s="1" t="s">
        <v>65</v>
      </c>
      <c r="X220" s="1"/>
      <c r="Y220" s="1"/>
      <c r="Z220" s="1"/>
      <c r="AA220" s="1"/>
      <c r="AB220" s="1"/>
      <c r="AC220" s="1" t="s">
        <v>65</v>
      </c>
      <c r="AD220" s="1" t="s">
        <v>71</v>
      </c>
      <c r="AE220" s="1"/>
      <c r="AF220" s="1" t="s">
        <v>65</v>
      </c>
      <c r="AG220" s="1"/>
      <c r="AH220" s="1"/>
      <c r="AI220" s="1"/>
      <c r="AJ220" s="1"/>
      <c r="AK220" s="1"/>
      <c r="AL220" s="1"/>
      <c r="AM220" s="1"/>
      <c r="AN220" s="1"/>
    </row>
    <row r="221">
      <c r="A221" s="1" t="s">
        <v>4845</v>
      </c>
      <c r="B221" s="1" t="s">
        <v>4846</v>
      </c>
      <c r="C221" s="4">
        <v>45848.96952546296</v>
      </c>
      <c r="D221" s="5">
        <v>1.752189367E9</v>
      </c>
      <c r="E221" s="7" t="s">
        <v>4848</v>
      </c>
      <c r="F221" s="1" t="s">
        <v>4849</v>
      </c>
      <c r="G221" s="1" t="s">
        <v>4850</v>
      </c>
      <c r="H221" s="1" t="s">
        <v>4851</v>
      </c>
      <c r="I221" s="1" t="s">
        <v>4852</v>
      </c>
      <c r="J221" s="7" t="s">
        <v>4853</v>
      </c>
      <c r="K221" s="7" t="s">
        <v>4857</v>
      </c>
      <c r="L221" s="9" t="b">
        <v>0</v>
      </c>
      <c r="M221" s="1" t="s">
        <v>67</v>
      </c>
      <c r="N221" s="1" t="s">
        <v>64</v>
      </c>
      <c r="O221" s="1" t="s">
        <v>65</v>
      </c>
      <c r="P221" s="5">
        <v>4.0</v>
      </c>
      <c r="Q221" s="5">
        <v>0.0</v>
      </c>
      <c r="R221" s="5">
        <v>8.0</v>
      </c>
      <c r="S221" s="5">
        <v>0.0</v>
      </c>
      <c r="T221" s="5">
        <v>619.0</v>
      </c>
      <c r="U221" s="1" t="s">
        <v>65</v>
      </c>
      <c r="V221" s="1"/>
      <c r="W221" s="1" t="s">
        <v>65</v>
      </c>
      <c r="X221" s="1"/>
      <c r="Y221" s="1"/>
      <c r="Z221" s="1"/>
      <c r="AA221" s="1"/>
      <c r="AB221" s="1"/>
      <c r="AC221" s="1" t="s">
        <v>65</v>
      </c>
      <c r="AD221" s="1" t="s">
        <v>71</v>
      </c>
      <c r="AE221" s="1" t="s">
        <v>4871</v>
      </c>
      <c r="AF221" s="1" t="s">
        <v>65</v>
      </c>
      <c r="AG221" s="1"/>
      <c r="AH221" s="1"/>
      <c r="AI221" s="1"/>
      <c r="AJ221" s="1"/>
      <c r="AK221" s="1" t="s">
        <v>4871</v>
      </c>
      <c r="AL221" s="1"/>
      <c r="AM221" s="1"/>
      <c r="AN221" s="1"/>
    </row>
    <row r="222">
      <c r="A222" s="1" t="s">
        <v>857</v>
      </c>
      <c r="B222" s="1" t="s">
        <v>857</v>
      </c>
      <c r="C222" s="4">
        <v>45848.83148148148</v>
      </c>
      <c r="D222" s="5">
        <v>1.75217744E9</v>
      </c>
      <c r="E222" s="7" t="s">
        <v>858</v>
      </c>
      <c r="F222" s="1" t="s">
        <v>863</v>
      </c>
      <c r="G222" s="1" t="s">
        <v>864</v>
      </c>
      <c r="H222" s="1" t="s">
        <v>865</v>
      </c>
      <c r="I222" s="5">
        <v>2.825615947E9</v>
      </c>
      <c r="J222" s="7" t="s">
        <v>866</v>
      </c>
      <c r="K222" s="7" t="s">
        <v>870</v>
      </c>
      <c r="L222" s="9" t="b">
        <v>1</v>
      </c>
      <c r="M222" s="1" t="s">
        <v>66</v>
      </c>
      <c r="N222" s="1" t="s">
        <v>64</v>
      </c>
      <c r="O222" s="1" t="s">
        <v>65</v>
      </c>
      <c r="P222" s="5">
        <v>3.0</v>
      </c>
      <c r="Q222" s="5">
        <v>1.0</v>
      </c>
      <c r="R222" s="5">
        <v>13.0</v>
      </c>
      <c r="S222" s="5">
        <v>1.0</v>
      </c>
      <c r="T222" s="5">
        <v>454.0</v>
      </c>
      <c r="U222" s="1" t="s">
        <v>65</v>
      </c>
      <c r="V222" s="1"/>
      <c r="W222" s="1" t="s">
        <v>65</v>
      </c>
      <c r="X222" s="1"/>
      <c r="Y222" s="1"/>
      <c r="Z222" s="1"/>
      <c r="AA222" s="1"/>
      <c r="AB222" s="1"/>
      <c r="AC222" s="1" t="s">
        <v>65</v>
      </c>
      <c r="AD222" s="1" t="s">
        <v>65</v>
      </c>
      <c r="AE222" s="1"/>
      <c r="AF222" s="1" t="s">
        <v>65</v>
      </c>
      <c r="AG222" s="1" t="s">
        <v>880</v>
      </c>
      <c r="AH222" s="1"/>
      <c r="AI222" s="7" t="s">
        <v>881</v>
      </c>
      <c r="AJ222" s="7" t="s">
        <v>885</v>
      </c>
      <c r="AK222" s="1"/>
      <c r="AL222" s="1"/>
      <c r="AM222" s="1"/>
      <c r="AN222" s="1"/>
    </row>
    <row r="223">
      <c r="A223" s="1" t="s">
        <v>2309</v>
      </c>
      <c r="B223" s="1" t="s">
        <v>2309</v>
      </c>
      <c r="C223" s="4">
        <v>45848.823912037034</v>
      </c>
      <c r="D223" s="5">
        <v>1.752176786E9</v>
      </c>
      <c r="E223" s="7" t="s">
        <v>2311</v>
      </c>
      <c r="F223" s="1" t="s">
        <v>2317</v>
      </c>
      <c r="G223" s="1" t="s">
        <v>864</v>
      </c>
      <c r="H223" s="1" t="s">
        <v>865</v>
      </c>
      <c r="I223" s="5">
        <v>2.825615947E9</v>
      </c>
      <c r="J223" s="7" t="s">
        <v>866</v>
      </c>
      <c r="K223" s="7" t="s">
        <v>870</v>
      </c>
      <c r="L223" s="9" t="b">
        <v>1</v>
      </c>
      <c r="M223" s="1" t="s">
        <v>66</v>
      </c>
      <c r="N223" s="1" t="s">
        <v>64</v>
      </c>
      <c r="O223" s="1" t="s">
        <v>65</v>
      </c>
      <c r="P223" s="5">
        <v>0.0</v>
      </c>
      <c r="Q223" s="5">
        <v>0.0</v>
      </c>
      <c r="R223" s="5">
        <v>0.0</v>
      </c>
      <c r="S223" s="5">
        <v>0.0</v>
      </c>
      <c r="T223" s="5">
        <v>107.0</v>
      </c>
      <c r="U223" s="1" t="s">
        <v>65</v>
      </c>
      <c r="V223" s="1"/>
      <c r="W223" s="1" t="s">
        <v>65</v>
      </c>
      <c r="X223" s="1"/>
      <c r="Y223" s="1"/>
      <c r="Z223" s="1"/>
      <c r="AA223" s="1"/>
      <c r="AB223" s="1"/>
      <c r="AC223" s="1" t="s">
        <v>65</v>
      </c>
      <c r="AD223" s="1" t="s">
        <v>65</v>
      </c>
      <c r="AE223" s="1"/>
      <c r="AF223" s="1" t="s">
        <v>65</v>
      </c>
      <c r="AG223" s="1" t="s">
        <v>880</v>
      </c>
      <c r="AH223" s="1"/>
      <c r="AI223" s="7" t="s">
        <v>2319</v>
      </c>
      <c r="AJ223" s="7" t="s">
        <v>2322</v>
      </c>
      <c r="AK223" s="1"/>
      <c r="AL223" s="1"/>
      <c r="AM223" s="1"/>
      <c r="AN223" s="1"/>
    </row>
    <row r="224">
      <c r="A224" s="1" t="s">
        <v>2333</v>
      </c>
      <c r="B224" s="1" t="s">
        <v>2333</v>
      </c>
      <c r="C224" s="4">
        <v>45848.807118055556</v>
      </c>
      <c r="D224" s="5">
        <v>1.752175335E9</v>
      </c>
      <c r="E224" s="7" t="s">
        <v>2335</v>
      </c>
      <c r="F224" s="1" t="s">
        <v>2336</v>
      </c>
      <c r="G224" s="1" t="s">
        <v>864</v>
      </c>
      <c r="H224" s="1" t="s">
        <v>865</v>
      </c>
      <c r="I224" s="5">
        <v>2.825615947E9</v>
      </c>
      <c r="J224" s="7" t="s">
        <v>866</v>
      </c>
      <c r="K224" s="7" t="s">
        <v>870</v>
      </c>
      <c r="L224" s="9" t="b">
        <v>1</v>
      </c>
      <c r="M224" s="1" t="s">
        <v>66</v>
      </c>
      <c r="N224" s="1" t="s">
        <v>64</v>
      </c>
      <c r="O224" s="1" t="s">
        <v>65</v>
      </c>
      <c r="P224" s="5">
        <v>0.0</v>
      </c>
      <c r="Q224" s="5">
        <v>0.0</v>
      </c>
      <c r="R224" s="5">
        <v>1.0</v>
      </c>
      <c r="S224" s="5">
        <v>0.0</v>
      </c>
      <c r="T224" s="5">
        <v>113.0</v>
      </c>
      <c r="U224" s="1" t="s">
        <v>65</v>
      </c>
      <c r="V224" s="1"/>
      <c r="W224" s="1" t="s">
        <v>65</v>
      </c>
      <c r="X224" s="1"/>
      <c r="Y224" s="1"/>
      <c r="Z224" s="1"/>
      <c r="AA224" s="1"/>
      <c r="AB224" s="1"/>
      <c r="AC224" s="1" t="s">
        <v>65</v>
      </c>
      <c r="AD224" s="1" t="s">
        <v>65</v>
      </c>
      <c r="AE224" s="1"/>
      <c r="AF224" s="1" t="s">
        <v>65</v>
      </c>
      <c r="AG224" s="1" t="s">
        <v>880</v>
      </c>
      <c r="AH224" s="1"/>
      <c r="AI224" s="7" t="s">
        <v>2339</v>
      </c>
      <c r="AJ224" s="7" t="s">
        <v>2343</v>
      </c>
      <c r="AK224" s="1"/>
      <c r="AL224" s="1"/>
      <c r="AM224" s="1"/>
      <c r="AN224" s="1"/>
    </row>
    <row r="225">
      <c r="A225" s="1" t="s">
        <v>1342</v>
      </c>
      <c r="B225" s="1" t="s">
        <v>1342</v>
      </c>
      <c r="C225" s="4">
        <v>45848.70122685185</v>
      </c>
      <c r="D225" s="5">
        <v>1.752166186E9</v>
      </c>
      <c r="E225" s="7" t="s">
        <v>1343</v>
      </c>
      <c r="F225" s="1" t="s">
        <v>1346</v>
      </c>
      <c r="G225" s="1" t="s">
        <v>864</v>
      </c>
      <c r="H225" s="1" t="s">
        <v>865</v>
      </c>
      <c r="I225" s="5">
        <v>2.825615947E9</v>
      </c>
      <c r="J225" s="7" t="s">
        <v>866</v>
      </c>
      <c r="K225" s="7" t="s">
        <v>870</v>
      </c>
      <c r="L225" s="9" t="b">
        <v>1</v>
      </c>
      <c r="M225" s="1" t="s">
        <v>66</v>
      </c>
      <c r="N225" s="1" t="s">
        <v>64</v>
      </c>
      <c r="O225" s="1" t="s">
        <v>65</v>
      </c>
      <c r="P225" s="5">
        <v>0.0</v>
      </c>
      <c r="Q225" s="5">
        <v>1.0</v>
      </c>
      <c r="R225" s="5">
        <v>3.0</v>
      </c>
      <c r="S225" s="5">
        <v>0.0</v>
      </c>
      <c r="T225" s="5">
        <v>156.0</v>
      </c>
      <c r="U225" s="1" t="s">
        <v>65</v>
      </c>
      <c r="V225" s="1"/>
      <c r="W225" s="1" t="s">
        <v>65</v>
      </c>
      <c r="X225" s="1"/>
      <c r="Y225" s="1"/>
      <c r="Z225" s="1"/>
      <c r="AA225" s="1"/>
      <c r="AB225" s="1"/>
      <c r="AC225" s="1" t="s">
        <v>65</v>
      </c>
      <c r="AD225" s="1" t="s">
        <v>65</v>
      </c>
      <c r="AE225" s="1"/>
      <c r="AF225" s="1" t="s">
        <v>65</v>
      </c>
      <c r="AG225" s="1" t="s">
        <v>880</v>
      </c>
      <c r="AH225" s="1"/>
      <c r="AI225" s="7" t="s">
        <v>1347</v>
      </c>
      <c r="AJ225" s="7" t="s">
        <v>1352</v>
      </c>
      <c r="AK225" s="1"/>
      <c r="AL225" s="1"/>
      <c r="AM225" s="1"/>
      <c r="AN225" s="1"/>
    </row>
    <row r="226" hidden="1">
      <c r="A226" s="1" t="s">
        <v>3013</v>
      </c>
      <c r="B226" s="1" t="s">
        <v>3013</v>
      </c>
      <c r="C226" s="4">
        <v>45848.65414351852</v>
      </c>
      <c r="D226" s="5">
        <v>1.752162118E9</v>
      </c>
      <c r="E226" s="7" t="s">
        <v>3014</v>
      </c>
      <c r="F226" s="1" t="s">
        <v>3017</v>
      </c>
      <c r="G226" s="1" t="s">
        <v>3018</v>
      </c>
      <c r="H226" s="1" t="s">
        <v>3020</v>
      </c>
      <c r="I226" s="5">
        <v>4.32322234E8</v>
      </c>
      <c r="J226" s="7" t="s">
        <v>3022</v>
      </c>
      <c r="K226" s="7" t="s">
        <v>3036</v>
      </c>
      <c r="L226" s="9" t="b">
        <v>0</v>
      </c>
      <c r="M226" s="1" t="s">
        <v>66</v>
      </c>
      <c r="N226" s="1" t="s">
        <v>2012</v>
      </c>
      <c r="O226" s="1" t="s">
        <v>65</v>
      </c>
      <c r="P226" s="5">
        <v>0.0</v>
      </c>
      <c r="Q226" s="5">
        <v>0.0</v>
      </c>
      <c r="R226" s="5">
        <v>0.0</v>
      </c>
      <c r="S226" s="5">
        <v>0.0</v>
      </c>
      <c r="T226" s="5">
        <v>70.0</v>
      </c>
      <c r="U226" s="1" t="s">
        <v>65</v>
      </c>
      <c r="V226" s="1"/>
      <c r="W226" s="1" t="s">
        <v>65</v>
      </c>
      <c r="X226" s="1"/>
      <c r="Y226" s="1"/>
      <c r="Z226" s="1"/>
      <c r="AA226" s="1"/>
      <c r="AB226" s="1"/>
      <c r="AC226" s="1" t="s">
        <v>65</v>
      </c>
      <c r="AD226" s="1" t="s">
        <v>65</v>
      </c>
      <c r="AE226" s="1"/>
      <c r="AF226" s="1" t="s">
        <v>65</v>
      </c>
      <c r="AG226" s="1"/>
      <c r="AH226" s="7" t="s">
        <v>3042</v>
      </c>
      <c r="AI226" s="1"/>
      <c r="AJ226" s="1"/>
      <c r="AK226" s="1"/>
      <c r="AL226" s="1"/>
      <c r="AM226" s="1"/>
      <c r="AN226" s="1"/>
    </row>
    <row r="227">
      <c r="A227" s="1" t="s">
        <v>4928</v>
      </c>
      <c r="B227" s="1" t="s">
        <v>148</v>
      </c>
      <c r="C227" s="4">
        <v>45846.98574074074</v>
      </c>
      <c r="D227" s="5">
        <v>1.752017968E9</v>
      </c>
      <c r="E227" s="7" t="s">
        <v>4929</v>
      </c>
      <c r="F227" s="1" t="s">
        <v>4931</v>
      </c>
      <c r="G227" s="1" t="s">
        <v>158</v>
      </c>
      <c r="H227" s="1" t="s">
        <v>159</v>
      </c>
      <c r="I227" s="5">
        <v>2.36621586E8</v>
      </c>
      <c r="J227" s="7" t="s">
        <v>160</v>
      </c>
      <c r="K227" s="7" t="s">
        <v>162</v>
      </c>
      <c r="L227" s="9" t="b">
        <v>0</v>
      </c>
      <c r="M227" s="1" t="s">
        <v>67</v>
      </c>
      <c r="N227" s="1" t="s">
        <v>64</v>
      </c>
      <c r="O227" s="1" t="s">
        <v>65</v>
      </c>
      <c r="P227" s="5">
        <v>1.0</v>
      </c>
      <c r="Q227" s="5">
        <v>1.0</v>
      </c>
      <c r="R227" s="5">
        <v>4.0</v>
      </c>
      <c r="S227" s="5">
        <v>0.0</v>
      </c>
      <c r="T227" s="5">
        <v>249.0</v>
      </c>
      <c r="U227" s="1" t="s">
        <v>65</v>
      </c>
      <c r="V227" s="1"/>
      <c r="W227" s="1" t="s">
        <v>65</v>
      </c>
      <c r="X227" s="1"/>
      <c r="Y227" s="1"/>
      <c r="Z227" s="1"/>
      <c r="AA227" s="1"/>
      <c r="AB227" s="1"/>
      <c r="AC227" s="1" t="s">
        <v>65</v>
      </c>
      <c r="AD227" s="1" t="s">
        <v>71</v>
      </c>
      <c r="AE227" s="1" t="s">
        <v>158</v>
      </c>
      <c r="AF227" s="1" t="s">
        <v>65</v>
      </c>
      <c r="AG227" s="1"/>
      <c r="AH227" s="1"/>
      <c r="AI227" s="1"/>
      <c r="AJ227" s="1"/>
      <c r="AK227" s="1"/>
      <c r="AL227" s="1"/>
      <c r="AM227" s="1"/>
      <c r="AN227" s="1"/>
    </row>
    <row r="228">
      <c r="A228" s="1" t="s">
        <v>148</v>
      </c>
      <c r="B228" s="1" t="s">
        <v>148</v>
      </c>
      <c r="C228" s="4">
        <v>45846.98563657407</v>
      </c>
      <c r="D228" s="5">
        <v>1.752017959E9</v>
      </c>
      <c r="E228" s="7" t="s">
        <v>149</v>
      </c>
      <c r="F228" s="1" t="s">
        <v>157</v>
      </c>
      <c r="G228" s="1" t="s">
        <v>158</v>
      </c>
      <c r="H228" s="1" t="s">
        <v>159</v>
      </c>
      <c r="I228" s="5">
        <v>2.36621586E8</v>
      </c>
      <c r="J228" s="7" t="s">
        <v>160</v>
      </c>
      <c r="K228" s="7" t="s">
        <v>162</v>
      </c>
      <c r="L228" s="9" t="b">
        <v>0</v>
      </c>
      <c r="M228" s="1" t="s">
        <v>67</v>
      </c>
      <c r="N228" s="1" t="s">
        <v>64</v>
      </c>
      <c r="O228" s="1" t="s">
        <v>65</v>
      </c>
      <c r="P228" s="5">
        <v>20.0</v>
      </c>
      <c r="Q228" s="5">
        <v>3.0</v>
      </c>
      <c r="R228" s="5">
        <v>74.0</v>
      </c>
      <c r="S228" s="5">
        <v>2.0</v>
      </c>
      <c r="T228" s="5">
        <v>7122.0</v>
      </c>
      <c r="U228" s="1" t="s">
        <v>65</v>
      </c>
      <c r="V228" s="1"/>
      <c r="W228" s="1" t="s">
        <v>65</v>
      </c>
      <c r="X228" s="1"/>
      <c r="Y228" s="1"/>
      <c r="Z228" s="1"/>
      <c r="AA228" s="1"/>
      <c r="AB228" s="1"/>
      <c r="AC228" s="1" t="s">
        <v>65</v>
      </c>
      <c r="AD228" s="1" t="s">
        <v>65</v>
      </c>
      <c r="AE228" s="1"/>
      <c r="AF228" s="1" t="s">
        <v>65</v>
      </c>
      <c r="AG228" s="1"/>
      <c r="AH228" s="1"/>
      <c r="AI228" s="7" t="s">
        <v>169</v>
      </c>
      <c r="AJ228" s="1"/>
      <c r="AK228" s="1"/>
      <c r="AL228" s="1"/>
      <c r="AM228" s="1"/>
      <c r="AN228" s="1"/>
    </row>
    <row r="229">
      <c r="A229" s="1" t="s">
        <v>3346</v>
      </c>
      <c r="B229" s="1" t="s">
        <v>3347</v>
      </c>
      <c r="C229" s="4">
        <v>45845.92733796296</v>
      </c>
      <c r="D229" s="5">
        <v>1.751926522E9</v>
      </c>
      <c r="E229" s="7" t="s">
        <v>3348</v>
      </c>
      <c r="F229" s="1" t="s">
        <v>3349</v>
      </c>
      <c r="G229" s="1" t="s">
        <v>158</v>
      </c>
      <c r="H229" s="1" t="s">
        <v>159</v>
      </c>
      <c r="I229" s="5">
        <v>2.36621586E8</v>
      </c>
      <c r="J229" s="7" t="s">
        <v>160</v>
      </c>
      <c r="K229" s="7" t="s">
        <v>162</v>
      </c>
      <c r="L229" s="9" t="b">
        <v>0</v>
      </c>
      <c r="M229" s="1" t="s">
        <v>66</v>
      </c>
      <c r="N229" s="1" t="s">
        <v>64</v>
      </c>
      <c r="O229" s="1" t="s">
        <v>65</v>
      </c>
      <c r="P229" s="5">
        <v>1.0</v>
      </c>
      <c r="Q229" s="5">
        <v>1.0</v>
      </c>
      <c r="R229" s="5">
        <v>10.0</v>
      </c>
      <c r="S229" s="5">
        <v>0.0</v>
      </c>
      <c r="T229" s="5">
        <v>541.0</v>
      </c>
      <c r="U229" s="1" t="s">
        <v>65</v>
      </c>
      <c r="V229" s="1"/>
      <c r="W229" s="1" t="s">
        <v>65</v>
      </c>
      <c r="X229" s="1"/>
      <c r="Y229" s="1"/>
      <c r="Z229" s="1"/>
      <c r="AA229" s="1"/>
      <c r="AB229" s="1"/>
      <c r="AC229" s="1" t="s">
        <v>65</v>
      </c>
      <c r="AD229" s="1" t="s">
        <v>71</v>
      </c>
      <c r="AE229" s="1" t="s">
        <v>158</v>
      </c>
      <c r="AF229" s="1" t="s">
        <v>65</v>
      </c>
      <c r="AG229" s="1"/>
      <c r="AH229" s="1"/>
      <c r="AI229" s="1"/>
      <c r="AJ229" s="1"/>
      <c r="AK229" s="1"/>
      <c r="AL229" s="1"/>
      <c r="AM229" s="1"/>
      <c r="AN229" s="1"/>
    </row>
    <row r="230">
      <c r="A230" s="1" t="s">
        <v>4952</v>
      </c>
      <c r="B230" s="1" t="s">
        <v>3347</v>
      </c>
      <c r="C230" s="4">
        <v>45845.92729166667</v>
      </c>
      <c r="D230" s="5">
        <v>1.751926518E9</v>
      </c>
      <c r="E230" s="7" t="s">
        <v>4953</v>
      </c>
      <c r="F230" s="1" t="s">
        <v>4956</v>
      </c>
      <c r="G230" s="1" t="s">
        <v>158</v>
      </c>
      <c r="H230" s="1" t="s">
        <v>159</v>
      </c>
      <c r="I230" s="5">
        <v>2.36621586E8</v>
      </c>
      <c r="J230" s="7" t="s">
        <v>160</v>
      </c>
      <c r="K230" s="7" t="s">
        <v>162</v>
      </c>
      <c r="L230" s="9" t="b">
        <v>0</v>
      </c>
      <c r="M230" s="1" t="s">
        <v>66</v>
      </c>
      <c r="N230" s="1" t="s">
        <v>64</v>
      </c>
      <c r="O230" s="1" t="s">
        <v>65</v>
      </c>
      <c r="P230" s="5">
        <v>2.0</v>
      </c>
      <c r="Q230" s="5">
        <v>1.0</v>
      </c>
      <c r="R230" s="5">
        <v>6.0</v>
      </c>
      <c r="S230" s="5">
        <v>0.0</v>
      </c>
      <c r="T230" s="5">
        <v>548.0</v>
      </c>
      <c r="U230" s="1" t="s">
        <v>65</v>
      </c>
      <c r="V230" s="1"/>
      <c r="W230" s="1" t="s">
        <v>65</v>
      </c>
      <c r="X230" s="1"/>
      <c r="Y230" s="1"/>
      <c r="Z230" s="1"/>
      <c r="AA230" s="1"/>
      <c r="AB230" s="1"/>
      <c r="AC230" s="1" t="s">
        <v>65</v>
      </c>
      <c r="AD230" s="1" t="s">
        <v>71</v>
      </c>
      <c r="AE230" s="1" t="s">
        <v>158</v>
      </c>
      <c r="AF230" s="1" t="s">
        <v>65</v>
      </c>
      <c r="AG230" s="1"/>
      <c r="AH230" s="1"/>
      <c r="AI230" s="1"/>
      <c r="AJ230" s="1"/>
      <c r="AK230" s="1"/>
      <c r="AL230" s="1"/>
      <c r="AM230" s="1"/>
      <c r="AN230" s="1"/>
    </row>
    <row r="231">
      <c r="A231" s="1" t="s">
        <v>3437</v>
      </c>
      <c r="B231" s="1" t="s">
        <v>3347</v>
      </c>
      <c r="C231" s="4">
        <v>45845.92726851852</v>
      </c>
      <c r="D231" s="5">
        <v>1.751926516E9</v>
      </c>
      <c r="E231" s="7" t="s">
        <v>3438</v>
      </c>
      <c r="F231" s="1" t="s">
        <v>3440</v>
      </c>
      <c r="G231" s="1" t="s">
        <v>158</v>
      </c>
      <c r="H231" s="1" t="s">
        <v>159</v>
      </c>
      <c r="I231" s="5">
        <v>2.36621586E8</v>
      </c>
      <c r="J231" s="7" t="s">
        <v>160</v>
      </c>
      <c r="K231" s="7" t="s">
        <v>162</v>
      </c>
      <c r="L231" s="9" t="b">
        <v>0</v>
      </c>
      <c r="M231" s="1" t="s">
        <v>66</v>
      </c>
      <c r="N231" s="1" t="s">
        <v>64</v>
      </c>
      <c r="O231" s="1" t="s">
        <v>65</v>
      </c>
      <c r="P231" s="5">
        <v>1.0</v>
      </c>
      <c r="Q231" s="5">
        <v>1.0</v>
      </c>
      <c r="R231" s="5">
        <v>7.0</v>
      </c>
      <c r="S231" s="5">
        <v>1.0</v>
      </c>
      <c r="T231" s="5">
        <v>578.0</v>
      </c>
      <c r="U231" s="1" t="s">
        <v>65</v>
      </c>
      <c r="V231" s="1"/>
      <c r="W231" s="1" t="s">
        <v>65</v>
      </c>
      <c r="X231" s="1"/>
      <c r="Y231" s="1"/>
      <c r="Z231" s="1"/>
      <c r="AA231" s="1"/>
      <c r="AB231" s="1"/>
      <c r="AC231" s="1" t="s">
        <v>65</v>
      </c>
      <c r="AD231" s="1" t="s">
        <v>71</v>
      </c>
      <c r="AE231" s="1" t="s">
        <v>158</v>
      </c>
      <c r="AF231" s="1" t="s">
        <v>65</v>
      </c>
      <c r="AG231" s="1"/>
      <c r="AH231" s="1"/>
      <c r="AI231" s="1"/>
      <c r="AJ231" s="1"/>
      <c r="AK231" s="1"/>
      <c r="AL231" s="1"/>
      <c r="AM231" s="1"/>
      <c r="AN231" s="1"/>
    </row>
    <row r="232" hidden="1">
      <c r="A232" s="1" t="s">
        <v>4962</v>
      </c>
      <c r="B232" s="1" t="s">
        <v>4963</v>
      </c>
      <c r="C232" s="4">
        <v>45845.69196759259</v>
      </c>
      <c r="D232" s="5">
        <v>1.751906186E9</v>
      </c>
      <c r="E232" s="7" t="s">
        <v>4964</v>
      </c>
      <c r="F232" s="1" t="s">
        <v>4965</v>
      </c>
      <c r="G232" s="1" t="s">
        <v>4966</v>
      </c>
      <c r="H232" s="1" t="s">
        <v>4967</v>
      </c>
      <c r="I232" s="1" t="s">
        <v>4968</v>
      </c>
      <c r="J232" s="7" t="s">
        <v>4969</v>
      </c>
      <c r="K232" s="7" t="s">
        <v>4976</v>
      </c>
      <c r="L232" s="9" t="b">
        <v>0</v>
      </c>
      <c r="M232" s="1" t="s">
        <v>85</v>
      </c>
      <c r="N232" s="1" t="s">
        <v>68</v>
      </c>
      <c r="O232" s="1" t="s">
        <v>65</v>
      </c>
      <c r="P232" s="5">
        <v>0.0</v>
      </c>
      <c r="Q232" s="5">
        <v>0.0</v>
      </c>
      <c r="R232" s="5">
        <v>0.0</v>
      </c>
      <c r="S232" s="5">
        <v>0.0</v>
      </c>
      <c r="T232" s="5">
        <v>37.0</v>
      </c>
      <c r="U232" s="1" t="s">
        <v>65</v>
      </c>
      <c r="V232" s="1"/>
      <c r="W232" s="1" t="s">
        <v>65</v>
      </c>
      <c r="X232" s="1"/>
      <c r="Y232" s="1"/>
      <c r="Z232" s="1"/>
      <c r="AA232" s="1"/>
      <c r="AB232" s="1"/>
      <c r="AC232" s="1" t="s">
        <v>65</v>
      </c>
      <c r="AD232" s="1" t="s">
        <v>71</v>
      </c>
      <c r="AE232" s="1" t="s">
        <v>4966</v>
      </c>
      <c r="AF232" s="1" t="s">
        <v>65</v>
      </c>
      <c r="AG232" s="1"/>
      <c r="AH232" s="1"/>
      <c r="AI232" s="1"/>
      <c r="AJ232" s="1"/>
      <c r="AK232" s="1" t="s">
        <v>4978</v>
      </c>
      <c r="AL232" s="1"/>
      <c r="AM232" s="1"/>
      <c r="AN232" s="1"/>
    </row>
    <row r="233" hidden="1">
      <c r="A233" s="1" t="s">
        <v>4980</v>
      </c>
      <c r="B233" s="1" t="s">
        <v>4963</v>
      </c>
      <c r="C233" s="4">
        <v>45845.61592592593</v>
      </c>
      <c r="D233" s="5">
        <v>1.751899616E9</v>
      </c>
      <c r="E233" s="7" t="s">
        <v>4982</v>
      </c>
      <c r="F233" s="1" t="s">
        <v>4985</v>
      </c>
      <c r="G233" s="1" t="s">
        <v>4987</v>
      </c>
      <c r="H233" s="1" t="s">
        <v>4988</v>
      </c>
      <c r="I233" s="1" t="s">
        <v>4989</v>
      </c>
      <c r="J233" s="7" t="s">
        <v>4990</v>
      </c>
      <c r="K233" s="1"/>
      <c r="L233" s="9" t="b">
        <v>0</v>
      </c>
      <c r="M233" s="1" t="s">
        <v>66</v>
      </c>
      <c r="N233" s="1" t="s">
        <v>68</v>
      </c>
      <c r="O233" s="1" t="s">
        <v>65</v>
      </c>
      <c r="P233" s="5">
        <v>0.0</v>
      </c>
      <c r="Q233" s="5">
        <v>1.0</v>
      </c>
      <c r="R233" s="5">
        <v>0.0</v>
      </c>
      <c r="S233" s="5">
        <v>0.0</v>
      </c>
      <c r="T233" s="5">
        <v>39.0</v>
      </c>
      <c r="U233" s="1" t="s">
        <v>65</v>
      </c>
      <c r="V233" s="1"/>
      <c r="W233" s="1" t="s">
        <v>65</v>
      </c>
      <c r="X233" s="1"/>
      <c r="Y233" s="1"/>
      <c r="Z233" s="1"/>
      <c r="AA233" s="1"/>
      <c r="AB233" s="1"/>
      <c r="AC233" s="1" t="s">
        <v>65</v>
      </c>
      <c r="AD233" s="1" t="s">
        <v>71</v>
      </c>
      <c r="AE233" s="1" t="s">
        <v>4966</v>
      </c>
      <c r="AF233" s="1" t="s">
        <v>65</v>
      </c>
      <c r="AG233" s="1"/>
      <c r="AH233" s="1"/>
      <c r="AI233" s="1"/>
      <c r="AJ233" s="1"/>
      <c r="AK233" s="1" t="s">
        <v>4992</v>
      </c>
      <c r="AL233" s="1"/>
      <c r="AM233" s="1"/>
      <c r="AN233" s="1"/>
    </row>
    <row r="234">
      <c r="A234" s="1" t="s">
        <v>4993</v>
      </c>
      <c r="B234" s="1" t="s">
        <v>4993</v>
      </c>
      <c r="C234" s="4">
        <v>45843.64094907408</v>
      </c>
      <c r="D234" s="5">
        <v>1.751728978E9</v>
      </c>
      <c r="E234" s="7" t="s">
        <v>4994</v>
      </c>
      <c r="F234" s="1" t="s">
        <v>4997</v>
      </c>
      <c r="G234" s="1" t="s">
        <v>4998</v>
      </c>
      <c r="H234" s="1" t="s">
        <v>4999</v>
      </c>
      <c r="I234" s="5">
        <v>9.0483398E7</v>
      </c>
      <c r="J234" s="7" t="s">
        <v>5000</v>
      </c>
      <c r="K234" s="7" t="s">
        <v>5005</v>
      </c>
      <c r="L234" s="9" t="b">
        <v>1</v>
      </c>
      <c r="M234" s="1" t="s">
        <v>67</v>
      </c>
      <c r="N234" s="1" t="s">
        <v>64</v>
      </c>
      <c r="O234" s="1" t="s">
        <v>65</v>
      </c>
      <c r="P234" s="5">
        <v>2.0</v>
      </c>
      <c r="Q234" s="5">
        <v>0.0</v>
      </c>
      <c r="R234" s="5">
        <v>2.0</v>
      </c>
      <c r="S234" s="5">
        <v>0.0</v>
      </c>
      <c r="T234" s="5">
        <v>255.0</v>
      </c>
      <c r="U234" s="1" t="s">
        <v>65</v>
      </c>
      <c r="V234" s="1"/>
      <c r="W234" s="1" t="s">
        <v>65</v>
      </c>
      <c r="X234" s="1"/>
      <c r="Y234" s="1"/>
      <c r="Z234" s="1"/>
      <c r="AA234" s="1"/>
      <c r="AB234" s="1"/>
      <c r="AC234" s="1" t="s">
        <v>65</v>
      </c>
      <c r="AD234" s="1" t="s">
        <v>65</v>
      </c>
      <c r="AE234" s="1"/>
      <c r="AF234" s="1" t="s">
        <v>65</v>
      </c>
      <c r="AG234" s="1" t="s">
        <v>5007</v>
      </c>
      <c r="AH234" s="7" t="s">
        <v>5008</v>
      </c>
      <c r="AI234" s="1"/>
      <c r="AJ234" s="1"/>
      <c r="AK234" s="1" t="s">
        <v>5019</v>
      </c>
      <c r="AL234" s="1"/>
      <c r="AM234" s="1"/>
      <c r="AN234" s="1"/>
    </row>
    <row r="235" hidden="1">
      <c r="A235" s="1" t="s">
        <v>5020</v>
      </c>
      <c r="B235" s="1" t="s">
        <v>5021</v>
      </c>
      <c r="C235" s="4">
        <v>45843.63072916667</v>
      </c>
      <c r="D235" s="5">
        <v>1.751728095E9</v>
      </c>
      <c r="E235" s="7" t="s">
        <v>5022</v>
      </c>
      <c r="F235" s="1" t="s">
        <v>5029</v>
      </c>
      <c r="G235" s="1" t="s">
        <v>5030</v>
      </c>
      <c r="H235" s="1" t="s">
        <v>5031</v>
      </c>
      <c r="I235" s="5">
        <v>5.3059226E7</v>
      </c>
      <c r="J235" s="7" t="s">
        <v>5032</v>
      </c>
      <c r="K235" s="7" t="s">
        <v>5036</v>
      </c>
      <c r="L235" s="9" t="b">
        <v>0</v>
      </c>
      <c r="M235" s="1" t="s">
        <v>67</v>
      </c>
      <c r="N235" s="1" t="s">
        <v>68</v>
      </c>
      <c r="O235" s="1" t="s">
        <v>65</v>
      </c>
      <c r="P235" s="5">
        <v>0.0</v>
      </c>
      <c r="Q235" s="5">
        <v>5.0</v>
      </c>
      <c r="R235" s="5">
        <v>33.0</v>
      </c>
      <c r="S235" s="5">
        <v>0.0</v>
      </c>
      <c r="T235" s="5">
        <v>2324.0</v>
      </c>
      <c r="U235" s="1" t="s">
        <v>65</v>
      </c>
      <c r="V235" s="1"/>
      <c r="W235" s="1" t="s">
        <v>65</v>
      </c>
      <c r="X235" s="1"/>
      <c r="Y235" s="1"/>
      <c r="Z235" s="1"/>
      <c r="AA235" s="1"/>
      <c r="AB235" s="1"/>
      <c r="AC235" s="1" t="s">
        <v>65</v>
      </c>
      <c r="AD235" s="1" t="s">
        <v>71</v>
      </c>
      <c r="AE235" s="1" t="s">
        <v>4197</v>
      </c>
      <c r="AF235" s="1" t="s">
        <v>65</v>
      </c>
      <c r="AG235" s="1"/>
      <c r="AH235" s="1"/>
      <c r="AI235" s="1"/>
      <c r="AJ235" s="1"/>
      <c r="AK235" s="1" t="s">
        <v>4197</v>
      </c>
      <c r="AL235" s="1"/>
      <c r="AM235" s="1"/>
      <c r="AN235" s="1"/>
    </row>
    <row r="236">
      <c r="A236" s="1" t="s">
        <v>4352</v>
      </c>
      <c r="B236" s="1" t="s">
        <v>4352</v>
      </c>
      <c r="C236" s="4">
        <v>45843.55734953703</v>
      </c>
      <c r="D236" s="5">
        <v>1.751721755E9</v>
      </c>
      <c r="E236" s="7" t="s">
        <v>4355</v>
      </c>
      <c r="F236" s="1" t="s">
        <v>4360</v>
      </c>
      <c r="G236" s="1" t="s">
        <v>4361</v>
      </c>
      <c r="H236" s="1" t="s">
        <v>4362</v>
      </c>
      <c r="I236" s="5">
        <v>1.79990537E8</v>
      </c>
      <c r="J236" s="7" t="s">
        <v>4363</v>
      </c>
      <c r="K236" s="7" t="s">
        <v>4365</v>
      </c>
      <c r="L236" s="9" t="b">
        <v>1</v>
      </c>
      <c r="M236" s="7" t="s">
        <v>473</v>
      </c>
      <c r="N236" s="1" t="s">
        <v>64</v>
      </c>
      <c r="O236" s="1" t="s">
        <v>65</v>
      </c>
      <c r="P236" s="5">
        <v>1.0</v>
      </c>
      <c r="Q236" s="5">
        <v>0.0</v>
      </c>
      <c r="R236" s="5">
        <v>3.0</v>
      </c>
      <c r="S236" s="5">
        <v>1.0</v>
      </c>
      <c r="T236" s="5">
        <v>1011.0</v>
      </c>
      <c r="U236" s="1" t="s">
        <v>65</v>
      </c>
      <c r="V236" s="1"/>
      <c r="W236" s="1" t="s">
        <v>65</v>
      </c>
      <c r="X236" s="1"/>
      <c r="Y236" s="1"/>
      <c r="Z236" s="1"/>
      <c r="AA236" s="1"/>
      <c r="AB236" s="1"/>
      <c r="AC236" s="1" t="s">
        <v>65</v>
      </c>
      <c r="AD236" s="1" t="s">
        <v>65</v>
      </c>
      <c r="AE236" s="1"/>
      <c r="AF236" s="1" t="s">
        <v>65</v>
      </c>
      <c r="AG236" s="1"/>
      <c r="AH236" s="7" t="s">
        <v>4376</v>
      </c>
      <c r="AI236" s="1"/>
      <c r="AJ236" s="1"/>
      <c r="AK236" s="1"/>
      <c r="AL236" s="1"/>
      <c r="AM236" s="1"/>
      <c r="AN236" s="1"/>
    </row>
    <row r="237" hidden="1">
      <c r="A237" s="1" t="s">
        <v>5075</v>
      </c>
      <c r="B237" s="1" t="s">
        <v>5075</v>
      </c>
      <c r="C237" s="4">
        <v>45840.062523148146</v>
      </c>
      <c r="D237" s="5">
        <v>1.751419802E9</v>
      </c>
      <c r="E237" s="7" t="s">
        <v>5076</v>
      </c>
      <c r="F237" s="1" t="s">
        <v>5084</v>
      </c>
      <c r="G237" s="1" t="s">
        <v>5085</v>
      </c>
      <c r="H237" s="1" t="s">
        <v>5086</v>
      </c>
      <c r="I237" s="1" t="s">
        <v>5087</v>
      </c>
      <c r="J237" s="7" t="s">
        <v>5088</v>
      </c>
      <c r="K237" s="7" t="s">
        <v>5093</v>
      </c>
      <c r="L237" s="9" t="b">
        <v>0</v>
      </c>
      <c r="M237" s="1" t="s">
        <v>67</v>
      </c>
      <c r="N237" s="1" t="s">
        <v>68</v>
      </c>
      <c r="O237" s="1" t="s">
        <v>65</v>
      </c>
      <c r="P237" s="5">
        <v>0.0</v>
      </c>
      <c r="Q237" s="5">
        <v>0.0</v>
      </c>
      <c r="R237" s="5">
        <v>0.0</v>
      </c>
      <c r="S237" s="5">
        <v>0.0</v>
      </c>
      <c r="T237" s="5">
        <v>19.0</v>
      </c>
      <c r="U237" s="1" t="s">
        <v>65</v>
      </c>
      <c r="V237" s="1"/>
      <c r="W237" s="1" t="s">
        <v>65</v>
      </c>
      <c r="X237" s="1"/>
      <c r="Y237" s="1"/>
      <c r="Z237" s="1"/>
      <c r="AA237" s="1"/>
      <c r="AB237" s="1"/>
      <c r="AC237" s="1" t="s">
        <v>65</v>
      </c>
      <c r="AD237" s="1" t="s">
        <v>65</v>
      </c>
      <c r="AE237" s="1"/>
      <c r="AF237" s="1" t="s">
        <v>65</v>
      </c>
      <c r="AG237" s="1"/>
      <c r="AH237" s="1"/>
      <c r="AI237" s="1"/>
      <c r="AJ237" s="1"/>
      <c r="AK237" s="1"/>
      <c r="AL237" s="1"/>
      <c r="AM237" s="1"/>
      <c r="AN237" s="1"/>
    </row>
    <row r="238">
      <c r="A238" s="1" t="s">
        <v>551</v>
      </c>
      <c r="B238" s="1" t="s">
        <v>551</v>
      </c>
      <c r="C238" s="4">
        <v>45839.302083333336</v>
      </c>
      <c r="D238" s="5">
        <v>1.7513541E9</v>
      </c>
      <c r="E238" s="7" t="s">
        <v>552</v>
      </c>
      <c r="F238" s="1" t="s">
        <v>555</v>
      </c>
      <c r="G238" s="1" t="s">
        <v>228</v>
      </c>
      <c r="H238" s="1" t="s">
        <v>229</v>
      </c>
      <c r="I238" s="1" t="s">
        <v>230</v>
      </c>
      <c r="J238" s="7" t="s">
        <v>231</v>
      </c>
      <c r="K238" s="7" t="s">
        <v>234</v>
      </c>
      <c r="L238" s="9" t="b">
        <v>0</v>
      </c>
      <c r="M238" s="1" t="s">
        <v>66</v>
      </c>
      <c r="N238" s="1" t="s">
        <v>64</v>
      </c>
      <c r="O238" s="1" t="s">
        <v>65</v>
      </c>
      <c r="P238" s="5">
        <v>1.0</v>
      </c>
      <c r="Q238" s="5">
        <v>1.0</v>
      </c>
      <c r="R238" s="5">
        <v>2.0</v>
      </c>
      <c r="S238" s="5">
        <v>0.0</v>
      </c>
      <c r="T238" s="5">
        <v>47.0</v>
      </c>
      <c r="U238" s="1" t="s">
        <v>65</v>
      </c>
      <c r="V238" s="1"/>
      <c r="W238" s="1" t="s">
        <v>65</v>
      </c>
      <c r="X238" s="1"/>
      <c r="Y238" s="1"/>
      <c r="Z238" s="1"/>
      <c r="AA238" s="1"/>
      <c r="AB238" s="1"/>
      <c r="AC238" s="1" t="s">
        <v>65</v>
      </c>
      <c r="AD238" s="1" t="s">
        <v>65</v>
      </c>
      <c r="AE238" s="1"/>
      <c r="AF238" s="1" t="s">
        <v>65</v>
      </c>
      <c r="AG238" s="1" t="s">
        <v>561</v>
      </c>
      <c r="AH238" s="7" t="s">
        <v>562</v>
      </c>
      <c r="AI238" s="7" t="s">
        <v>569</v>
      </c>
      <c r="AJ238" s="7" t="s">
        <v>577</v>
      </c>
      <c r="AK238" s="1"/>
      <c r="AL238" s="1"/>
      <c r="AM238" s="1"/>
      <c r="AN238" s="1"/>
    </row>
    <row r="239">
      <c r="A239" s="1" t="s">
        <v>5147</v>
      </c>
      <c r="B239" s="1" t="s">
        <v>5147</v>
      </c>
      <c r="C239" s="4">
        <v>45839.01137731481</v>
      </c>
      <c r="D239" s="5">
        <v>1.751328983E9</v>
      </c>
      <c r="E239" s="7" t="s">
        <v>5148</v>
      </c>
      <c r="F239" s="1" t="s">
        <v>5153</v>
      </c>
      <c r="G239" s="1" t="s">
        <v>5154</v>
      </c>
      <c r="H239" s="1" t="s">
        <v>5155</v>
      </c>
      <c r="I239" s="5">
        <v>1.43447722E8</v>
      </c>
      <c r="J239" s="7" t="s">
        <v>5156</v>
      </c>
      <c r="K239" s="7" t="s">
        <v>5164</v>
      </c>
      <c r="L239" s="9" t="b">
        <v>0</v>
      </c>
      <c r="M239" s="1" t="s">
        <v>85</v>
      </c>
      <c r="N239" s="1" t="s">
        <v>64</v>
      </c>
      <c r="O239" s="1" t="s">
        <v>65</v>
      </c>
      <c r="P239" s="5">
        <v>0.0</v>
      </c>
      <c r="Q239" s="5">
        <v>0.0</v>
      </c>
      <c r="R239" s="5">
        <v>0.0</v>
      </c>
      <c r="S239" s="5">
        <v>0.0</v>
      </c>
      <c r="T239" s="5">
        <v>114.0</v>
      </c>
      <c r="U239" s="1" t="s">
        <v>65</v>
      </c>
      <c r="V239" s="1"/>
      <c r="W239" s="1" t="s">
        <v>65</v>
      </c>
      <c r="X239" s="1"/>
      <c r="Y239" s="1"/>
      <c r="Z239" s="1"/>
      <c r="AA239" s="1"/>
      <c r="AB239" s="1"/>
      <c r="AC239" s="1" t="s">
        <v>65</v>
      </c>
      <c r="AD239" s="1" t="s">
        <v>65</v>
      </c>
      <c r="AE239" s="1"/>
      <c r="AF239" s="1" t="s">
        <v>65</v>
      </c>
      <c r="AG239" s="1"/>
      <c r="AH239" s="1"/>
      <c r="AI239" s="1"/>
      <c r="AJ239" s="1"/>
      <c r="AK239" s="1"/>
      <c r="AL239" s="1"/>
      <c r="AM239" s="1"/>
      <c r="AN239" s="1"/>
    </row>
    <row r="240" hidden="1">
      <c r="A240" s="1" t="s">
        <v>5180</v>
      </c>
      <c r="B240" s="1" t="s">
        <v>5180</v>
      </c>
      <c r="C240" s="4">
        <v>45837.89376157407</v>
      </c>
      <c r="D240" s="5">
        <v>1.751232421E9</v>
      </c>
      <c r="E240" s="7" t="s">
        <v>5182</v>
      </c>
      <c r="F240" s="1" t="s">
        <v>5188</v>
      </c>
      <c r="G240" s="1" t="s">
        <v>5190</v>
      </c>
      <c r="H240" s="1" t="s">
        <v>5191</v>
      </c>
      <c r="I240" s="1" t="s">
        <v>5192</v>
      </c>
      <c r="J240" s="7" t="s">
        <v>5193</v>
      </c>
      <c r="K240" s="7" t="s">
        <v>5202</v>
      </c>
      <c r="L240" s="9" t="b">
        <v>0</v>
      </c>
      <c r="M240" s="1" t="s">
        <v>66</v>
      </c>
      <c r="N240" s="1" t="s">
        <v>68</v>
      </c>
      <c r="O240" s="1" t="s">
        <v>65</v>
      </c>
      <c r="P240" s="5">
        <v>0.0</v>
      </c>
      <c r="Q240" s="5">
        <v>0.0</v>
      </c>
      <c r="R240" s="5">
        <v>1.0</v>
      </c>
      <c r="S240" s="5">
        <v>0.0</v>
      </c>
      <c r="T240" s="5">
        <v>158.0</v>
      </c>
      <c r="U240" s="1" t="s">
        <v>65</v>
      </c>
      <c r="V240" s="1"/>
      <c r="W240" s="1" t="s">
        <v>71</v>
      </c>
      <c r="X240" s="1" t="s">
        <v>5211</v>
      </c>
      <c r="Y240" s="1" t="s">
        <v>5212</v>
      </c>
      <c r="Z240" s="1" t="s">
        <v>5213</v>
      </c>
      <c r="AA240" s="7" t="s">
        <v>5214</v>
      </c>
      <c r="AB240" s="1"/>
      <c r="AC240" s="1" t="s">
        <v>65</v>
      </c>
      <c r="AD240" s="1" t="s">
        <v>65</v>
      </c>
      <c r="AE240" s="1"/>
      <c r="AF240" s="1" t="s">
        <v>65</v>
      </c>
      <c r="AG240" s="1"/>
      <c r="AH240" s="1"/>
      <c r="AI240" s="1"/>
      <c r="AJ240" s="1"/>
      <c r="AK240" s="1"/>
      <c r="AL240" s="1"/>
      <c r="AM240" s="1"/>
      <c r="AN240" s="1"/>
    </row>
    <row r="241" hidden="1">
      <c r="A241" s="1" t="s">
        <v>5223</v>
      </c>
      <c r="B241" s="1" t="s">
        <v>5225</v>
      </c>
      <c r="C241" s="4">
        <v>45836.41924768518</v>
      </c>
      <c r="D241" s="5">
        <v>1.751105023E9</v>
      </c>
      <c r="E241" s="7" t="s">
        <v>5227</v>
      </c>
      <c r="F241" s="1" t="s">
        <v>5231</v>
      </c>
      <c r="G241" s="1" t="s">
        <v>5232</v>
      </c>
      <c r="H241" s="1" t="s">
        <v>5234</v>
      </c>
      <c r="I241" s="1" t="s">
        <v>5235</v>
      </c>
      <c r="J241" s="7" t="s">
        <v>5236</v>
      </c>
      <c r="K241" s="1"/>
      <c r="L241" s="9" t="b">
        <v>0</v>
      </c>
      <c r="M241" s="1" t="s">
        <v>67</v>
      </c>
      <c r="N241" s="1" t="s">
        <v>68</v>
      </c>
      <c r="O241" s="1" t="s">
        <v>65</v>
      </c>
      <c r="P241" s="5">
        <v>0.0</v>
      </c>
      <c r="Q241" s="5">
        <v>2.0</v>
      </c>
      <c r="R241" s="5">
        <v>9.0</v>
      </c>
      <c r="S241" s="5">
        <v>0.0</v>
      </c>
      <c r="T241" s="5">
        <v>2145.0</v>
      </c>
      <c r="U241" s="1" t="s">
        <v>65</v>
      </c>
      <c r="V241" s="1"/>
      <c r="W241" s="1" t="s">
        <v>65</v>
      </c>
      <c r="X241" s="1"/>
      <c r="Y241" s="1"/>
      <c r="Z241" s="1"/>
      <c r="AA241" s="1"/>
      <c r="AB241" s="1"/>
      <c r="AC241" s="1" t="s">
        <v>65</v>
      </c>
      <c r="AD241" s="1" t="s">
        <v>71</v>
      </c>
      <c r="AE241" s="1" t="s">
        <v>5243</v>
      </c>
      <c r="AF241" s="1" t="s">
        <v>65</v>
      </c>
      <c r="AG241" s="1"/>
      <c r="AH241" s="1"/>
      <c r="AI241" s="1"/>
      <c r="AJ241" s="1"/>
      <c r="AK241" s="1" t="s">
        <v>5247</v>
      </c>
      <c r="AL241" s="1"/>
      <c r="AM241" s="1"/>
      <c r="AN241" s="1"/>
    </row>
    <row r="242" hidden="1">
      <c r="A242" s="1" t="s">
        <v>4120</v>
      </c>
      <c r="B242" s="1" t="s">
        <v>4120</v>
      </c>
      <c r="C242" s="4">
        <v>45836.051203703704</v>
      </c>
      <c r="D242" s="5">
        <v>1.751073224E9</v>
      </c>
      <c r="E242" s="7" t="s">
        <v>4121</v>
      </c>
      <c r="F242" s="1" t="s">
        <v>4127</v>
      </c>
      <c r="G242" s="1" t="s">
        <v>4128</v>
      </c>
      <c r="H242" s="1" t="s">
        <v>4129</v>
      </c>
      <c r="I242" s="1" t="s">
        <v>4130</v>
      </c>
      <c r="J242" s="7" t="s">
        <v>4131</v>
      </c>
      <c r="K242" s="7" t="s">
        <v>4135</v>
      </c>
      <c r="L242" s="9" t="b">
        <v>0</v>
      </c>
      <c r="M242" s="1" t="s">
        <v>67</v>
      </c>
      <c r="N242" s="1" t="s">
        <v>68</v>
      </c>
      <c r="O242" s="1" t="s">
        <v>65</v>
      </c>
      <c r="P242" s="5">
        <v>0.0</v>
      </c>
      <c r="Q242" s="5">
        <v>0.0</v>
      </c>
      <c r="R242" s="5">
        <v>0.0</v>
      </c>
      <c r="S242" s="5">
        <v>0.0</v>
      </c>
      <c r="T242" s="5">
        <v>81.0</v>
      </c>
      <c r="U242" s="1" t="s">
        <v>65</v>
      </c>
      <c r="V242" s="1"/>
      <c r="W242" s="1" t="s">
        <v>71</v>
      </c>
      <c r="X242" s="1" t="s">
        <v>4141</v>
      </c>
      <c r="Y242" s="1" t="s">
        <v>4142</v>
      </c>
      <c r="Z242" s="1" t="s">
        <v>4143</v>
      </c>
      <c r="AA242" s="1"/>
      <c r="AB242" s="1"/>
      <c r="AC242" s="1" t="s">
        <v>65</v>
      </c>
      <c r="AD242" s="1" t="s">
        <v>65</v>
      </c>
      <c r="AE242" s="1"/>
      <c r="AF242" s="1" t="s">
        <v>65</v>
      </c>
      <c r="AG242" s="1"/>
      <c r="AH242" s="1"/>
      <c r="AI242" s="1"/>
      <c r="AJ242" s="1"/>
      <c r="AK242" s="1"/>
      <c r="AL242" s="1"/>
      <c r="AM242" s="1"/>
      <c r="AN242" s="1"/>
    </row>
    <row r="243">
      <c r="A243" s="1" t="s">
        <v>2049</v>
      </c>
      <c r="B243" s="1" t="s">
        <v>2049</v>
      </c>
      <c r="C243" s="4">
        <v>45835.82472222222</v>
      </c>
      <c r="D243" s="5">
        <v>1.751053656E9</v>
      </c>
      <c r="E243" s="7" t="s">
        <v>2053</v>
      </c>
      <c r="F243" s="1" t="s">
        <v>2075</v>
      </c>
      <c r="G243" s="1" t="s">
        <v>864</v>
      </c>
      <c r="H243" s="1" t="s">
        <v>865</v>
      </c>
      <c r="I243" s="5">
        <v>2.825615947E9</v>
      </c>
      <c r="J243" s="7" t="s">
        <v>866</v>
      </c>
      <c r="K243" s="7" t="s">
        <v>870</v>
      </c>
      <c r="L243" s="9" t="b">
        <v>1</v>
      </c>
      <c r="M243" s="1" t="s">
        <v>1116</v>
      </c>
      <c r="N243" s="1" t="s">
        <v>64</v>
      </c>
      <c r="O243" s="1" t="s">
        <v>65</v>
      </c>
      <c r="P243" s="5">
        <v>1.0</v>
      </c>
      <c r="Q243" s="5">
        <v>0.0</v>
      </c>
      <c r="R243" s="5">
        <v>0.0</v>
      </c>
      <c r="S243" s="5">
        <v>0.0</v>
      </c>
      <c r="T243" s="5">
        <v>138.0</v>
      </c>
      <c r="U243" s="1" t="s">
        <v>65</v>
      </c>
      <c r="V243" s="1"/>
      <c r="W243" s="1" t="s">
        <v>65</v>
      </c>
      <c r="X243" s="1"/>
      <c r="Y243" s="1"/>
      <c r="Z243" s="1"/>
      <c r="AA243" s="1"/>
      <c r="AB243" s="1"/>
      <c r="AC243" s="1" t="s">
        <v>65</v>
      </c>
      <c r="AD243" s="1" t="s">
        <v>65</v>
      </c>
      <c r="AE243" s="1"/>
      <c r="AF243" s="1" t="s">
        <v>65</v>
      </c>
      <c r="AG243" s="1"/>
      <c r="AH243" s="7" t="s">
        <v>2083</v>
      </c>
      <c r="AI243" s="1"/>
      <c r="AJ243" s="1"/>
      <c r="AK243" s="1"/>
      <c r="AL243" s="1"/>
      <c r="AM243" s="1"/>
      <c r="AN243" s="1"/>
    </row>
    <row r="244">
      <c r="A244" s="1" t="s">
        <v>3846</v>
      </c>
      <c r="B244" s="1" t="s">
        <v>3846</v>
      </c>
      <c r="C244" s="4">
        <v>45835.17965277778</v>
      </c>
      <c r="D244" s="5">
        <v>1.750997922E9</v>
      </c>
      <c r="E244" s="7" t="s">
        <v>3847</v>
      </c>
      <c r="F244" s="1" t="s">
        <v>3850</v>
      </c>
      <c r="G244" s="1" t="s">
        <v>864</v>
      </c>
      <c r="H244" s="1" t="s">
        <v>865</v>
      </c>
      <c r="I244" s="5">
        <v>2.825615947E9</v>
      </c>
      <c r="J244" s="7" t="s">
        <v>866</v>
      </c>
      <c r="K244" s="7" t="s">
        <v>870</v>
      </c>
      <c r="L244" s="9" t="b">
        <v>1</v>
      </c>
      <c r="M244" s="1" t="s">
        <v>67</v>
      </c>
      <c r="N244" s="1" t="s">
        <v>64</v>
      </c>
      <c r="O244" s="1" t="s">
        <v>65</v>
      </c>
      <c r="P244" s="5">
        <v>0.0</v>
      </c>
      <c r="Q244" s="5">
        <v>0.0</v>
      </c>
      <c r="R244" s="5">
        <v>1.0</v>
      </c>
      <c r="S244" s="5">
        <v>0.0</v>
      </c>
      <c r="T244" s="5">
        <v>146.0</v>
      </c>
      <c r="U244" s="1" t="s">
        <v>65</v>
      </c>
      <c r="V244" s="1"/>
      <c r="W244" s="1" t="s">
        <v>65</v>
      </c>
      <c r="X244" s="1"/>
      <c r="Y244" s="1"/>
      <c r="Z244" s="1"/>
      <c r="AA244" s="1"/>
      <c r="AB244" s="1"/>
      <c r="AC244" s="1" t="s">
        <v>65</v>
      </c>
      <c r="AD244" s="1" t="s">
        <v>65</v>
      </c>
      <c r="AE244" s="1"/>
      <c r="AF244" s="1" t="s">
        <v>65</v>
      </c>
      <c r="AG244" s="1" t="s">
        <v>1950</v>
      </c>
      <c r="AH244" s="1"/>
      <c r="AI244" s="7" t="s">
        <v>3852</v>
      </c>
      <c r="AJ244" s="1"/>
      <c r="AK244" s="1"/>
      <c r="AL244" s="1" t="s">
        <v>1958</v>
      </c>
      <c r="AM244" s="1" t="s">
        <v>1959</v>
      </c>
      <c r="AN244" s="1"/>
    </row>
    <row r="245" hidden="1">
      <c r="A245" s="1" t="s">
        <v>5293</v>
      </c>
      <c r="B245" s="1" t="s">
        <v>5294</v>
      </c>
      <c r="C245" s="4">
        <v>45833.04993055556</v>
      </c>
      <c r="D245" s="5">
        <v>1.750813914E9</v>
      </c>
      <c r="E245" s="7" t="s">
        <v>5296</v>
      </c>
      <c r="F245" s="1" t="s">
        <v>5298</v>
      </c>
      <c r="G245" s="1" t="s">
        <v>5299</v>
      </c>
      <c r="H245" s="1" t="s">
        <v>5300</v>
      </c>
      <c r="I245" s="1" t="s">
        <v>5301</v>
      </c>
      <c r="J245" s="7" t="s">
        <v>5303</v>
      </c>
      <c r="K245" s="7" t="s">
        <v>5314</v>
      </c>
      <c r="L245" s="9" t="b">
        <v>1</v>
      </c>
      <c r="M245" s="1" t="s">
        <v>85</v>
      </c>
      <c r="N245" s="1" t="s">
        <v>68</v>
      </c>
      <c r="O245" s="1" t="s">
        <v>65</v>
      </c>
      <c r="P245" s="5">
        <v>1.0</v>
      </c>
      <c r="Q245" s="5">
        <v>0.0</v>
      </c>
      <c r="R245" s="5">
        <v>3.0</v>
      </c>
      <c r="S245" s="5">
        <v>0.0</v>
      </c>
      <c r="T245" s="5">
        <v>330.0</v>
      </c>
      <c r="U245" s="1" t="s">
        <v>65</v>
      </c>
      <c r="V245" s="1"/>
      <c r="W245" s="1" t="s">
        <v>65</v>
      </c>
      <c r="X245" s="1"/>
      <c r="Y245" s="1"/>
      <c r="Z245" s="1"/>
      <c r="AA245" s="1"/>
      <c r="AB245" s="1"/>
      <c r="AC245" s="1" t="s">
        <v>65</v>
      </c>
      <c r="AD245" s="1" t="s">
        <v>71</v>
      </c>
      <c r="AE245" s="1" t="s">
        <v>4197</v>
      </c>
      <c r="AF245" s="1" t="s">
        <v>65</v>
      </c>
      <c r="AG245" s="1"/>
      <c r="AH245" s="1"/>
      <c r="AI245" s="1"/>
      <c r="AJ245" s="1"/>
      <c r="AK245" s="1" t="s">
        <v>4197</v>
      </c>
      <c r="AL245" s="1"/>
      <c r="AM245" s="1"/>
      <c r="AN245" s="1"/>
    </row>
    <row r="246">
      <c r="A246" s="1" t="s">
        <v>5317</v>
      </c>
      <c r="B246" s="1" t="s">
        <v>5318</v>
      </c>
      <c r="C246" s="4">
        <v>45832.06958333333</v>
      </c>
      <c r="D246" s="5">
        <v>1.750729212E9</v>
      </c>
      <c r="E246" s="7" t="s">
        <v>5319</v>
      </c>
      <c r="F246" s="1" t="s">
        <v>5323</v>
      </c>
      <c r="G246" s="1" t="s">
        <v>5324</v>
      </c>
      <c r="H246" s="1" t="s">
        <v>5325</v>
      </c>
      <c r="I246" s="5">
        <v>1.337942784E9</v>
      </c>
      <c r="J246" s="7" t="s">
        <v>5326</v>
      </c>
      <c r="K246" s="7" t="s">
        <v>5334</v>
      </c>
      <c r="L246" s="9" t="b">
        <v>0</v>
      </c>
      <c r="M246" s="1" t="s">
        <v>67</v>
      </c>
      <c r="N246" s="1" t="s">
        <v>64</v>
      </c>
      <c r="O246" s="1" t="s">
        <v>65</v>
      </c>
      <c r="P246" s="5">
        <v>0.0</v>
      </c>
      <c r="Q246" s="5">
        <v>0.0</v>
      </c>
      <c r="R246" s="5">
        <v>0.0</v>
      </c>
      <c r="S246" s="5">
        <v>0.0</v>
      </c>
      <c r="T246" s="5">
        <v>21.0</v>
      </c>
      <c r="U246" s="1" t="s">
        <v>65</v>
      </c>
      <c r="V246" s="1"/>
      <c r="W246" s="1" t="s">
        <v>65</v>
      </c>
      <c r="X246" s="1"/>
      <c r="Y246" s="1"/>
      <c r="Z246" s="1"/>
      <c r="AA246" s="1"/>
      <c r="AB246" s="1"/>
      <c r="AC246" s="1" t="s">
        <v>65</v>
      </c>
      <c r="AD246" s="1" t="s">
        <v>71</v>
      </c>
      <c r="AE246" s="1" t="s">
        <v>5324</v>
      </c>
      <c r="AF246" s="1" t="s">
        <v>65</v>
      </c>
      <c r="AG246" s="1"/>
      <c r="AH246" s="1"/>
      <c r="AI246" s="1"/>
      <c r="AJ246" s="1"/>
      <c r="AK246" s="1"/>
      <c r="AL246" s="1"/>
      <c r="AM246" s="1"/>
      <c r="AN246" s="1"/>
    </row>
    <row r="247" hidden="1">
      <c r="A247" s="1" t="s">
        <v>5345</v>
      </c>
      <c r="B247" s="1" t="s">
        <v>5346</v>
      </c>
      <c r="C247" s="4">
        <v>45831.87767361111</v>
      </c>
      <c r="D247" s="5">
        <v>1.750712631E9</v>
      </c>
      <c r="E247" s="7" t="s">
        <v>5347</v>
      </c>
      <c r="F247" s="1" t="s">
        <v>5352</v>
      </c>
      <c r="G247" s="1" t="s">
        <v>5353</v>
      </c>
      <c r="H247" s="1" t="s">
        <v>5353</v>
      </c>
      <c r="I247" s="1" t="s">
        <v>5355</v>
      </c>
      <c r="J247" s="7" t="s">
        <v>5356</v>
      </c>
      <c r="K247" s="7" t="s">
        <v>5363</v>
      </c>
      <c r="L247" s="9" t="b">
        <v>0</v>
      </c>
      <c r="M247" s="1" t="s">
        <v>66</v>
      </c>
      <c r="N247" s="1" t="s">
        <v>68</v>
      </c>
      <c r="O247" s="1" t="s">
        <v>65</v>
      </c>
      <c r="P247" s="5">
        <v>1.0</v>
      </c>
      <c r="Q247" s="5">
        <v>1.0</v>
      </c>
      <c r="R247" s="5">
        <v>1.0</v>
      </c>
      <c r="S247" s="5">
        <v>0.0</v>
      </c>
      <c r="T247" s="5">
        <v>56.0</v>
      </c>
      <c r="U247" s="1" t="s">
        <v>65</v>
      </c>
      <c r="V247" s="1"/>
      <c r="W247" s="1" t="s">
        <v>65</v>
      </c>
      <c r="X247" s="1"/>
      <c r="Y247" s="1"/>
      <c r="Z247" s="1"/>
      <c r="AA247" s="1"/>
      <c r="AB247" s="1"/>
      <c r="AC247" s="1" t="s">
        <v>65</v>
      </c>
      <c r="AD247" s="1" t="s">
        <v>71</v>
      </c>
      <c r="AE247" s="1" t="s">
        <v>5353</v>
      </c>
      <c r="AF247" s="1" t="s">
        <v>65</v>
      </c>
      <c r="AG247" s="1"/>
      <c r="AH247" s="7" t="s">
        <v>5372</v>
      </c>
      <c r="AI247" s="7" t="s">
        <v>5380</v>
      </c>
      <c r="AJ247" s="1"/>
      <c r="AK247" s="1"/>
      <c r="AL247" s="1"/>
      <c r="AM247" s="1"/>
      <c r="AN247" s="1"/>
    </row>
    <row r="248">
      <c r="A248" s="1" t="s">
        <v>3262</v>
      </c>
      <c r="B248" s="1" t="s">
        <v>3262</v>
      </c>
      <c r="C248" s="4">
        <v>45830.83005787037</v>
      </c>
      <c r="D248" s="5">
        <v>1.750622117E9</v>
      </c>
      <c r="E248" s="7" t="s">
        <v>3264</v>
      </c>
      <c r="F248" s="1" t="s">
        <v>3267</v>
      </c>
      <c r="G248" s="1" t="s">
        <v>3268</v>
      </c>
      <c r="H248" s="1" t="s">
        <v>3270</v>
      </c>
      <c r="I248" s="5">
        <v>1.400777557E9</v>
      </c>
      <c r="J248" s="7" t="s">
        <v>3272</v>
      </c>
      <c r="K248" s="7" t="s">
        <v>3274</v>
      </c>
      <c r="L248" s="9" t="b">
        <v>0</v>
      </c>
      <c r="M248" s="1" t="s">
        <v>85</v>
      </c>
      <c r="N248" s="1" t="s">
        <v>64</v>
      </c>
      <c r="O248" s="1" t="s">
        <v>65</v>
      </c>
      <c r="P248" s="5">
        <v>1.0</v>
      </c>
      <c r="Q248" s="5">
        <v>0.0</v>
      </c>
      <c r="R248" s="5">
        <v>1.0</v>
      </c>
      <c r="S248" s="5">
        <v>0.0</v>
      </c>
      <c r="T248" s="5">
        <v>328.0</v>
      </c>
      <c r="U248" s="1" t="s">
        <v>65</v>
      </c>
      <c r="V248" s="1"/>
      <c r="W248" s="1" t="s">
        <v>65</v>
      </c>
      <c r="X248" s="1"/>
      <c r="Y248" s="1"/>
      <c r="Z248" s="1"/>
      <c r="AA248" s="1"/>
      <c r="AB248" s="1"/>
      <c r="AC248" s="1" t="s">
        <v>65</v>
      </c>
      <c r="AD248" s="1" t="s">
        <v>65</v>
      </c>
      <c r="AE248" s="1"/>
      <c r="AF248" s="1" t="s">
        <v>65</v>
      </c>
      <c r="AG248" s="1" t="s">
        <v>3279</v>
      </c>
      <c r="AH248" s="1"/>
      <c r="AI248" s="7" t="s">
        <v>3280</v>
      </c>
      <c r="AJ248" s="1"/>
      <c r="AK248" s="1"/>
      <c r="AL248" s="1"/>
      <c r="AM248" s="1"/>
      <c r="AN248" s="1"/>
    </row>
    <row r="249" hidden="1">
      <c r="A249" s="1" t="s">
        <v>5411</v>
      </c>
      <c r="B249" s="1" t="s">
        <v>5411</v>
      </c>
      <c r="C249" s="4">
        <v>45830.65752314815</v>
      </c>
      <c r="D249" s="5">
        <v>1.75060721E9</v>
      </c>
      <c r="E249" s="7" t="s">
        <v>5413</v>
      </c>
      <c r="F249" s="7" t="s">
        <v>5415</v>
      </c>
      <c r="G249" s="1" t="s">
        <v>5416</v>
      </c>
      <c r="H249" s="1" t="s">
        <v>5417</v>
      </c>
      <c r="I249" s="1" t="s">
        <v>5418</v>
      </c>
      <c r="J249" s="7" t="s">
        <v>5419</v>
      </c>
      <c r="K249" s="7" t="s">
        <v>5423</v>
      </c>
      <c r="L249" s="9" t="b">
        <v>0</v>
      </c>
      <c r="M249" s="1" t="s">
        <v>85</v>
      </c>
      <c r="N249" s="1" t="s">
        <v>5429</v>
      </c>
      <c r="O249" s="1" t="s">
        <v>65</v>
      </c>
      <c r="P249" s="5">
        <v>0.0</v>
      </c>
      <c r="Q249" s="5">
        <v>0.0</v>
      </c>
      <c r="R249" s="5">
        <v>0.0</v>
      </c>
      <c r="S249" s="5">
        <v>0.0</v>
      </c>
      <c r="T249" s="5">
        <v>9.0</v>
      </c>
      <c r="U249" s="1" t="s">
        <v>65</v>
      </c>
      <c r="V249" s="1"/>
      <c r="W249" s="1" t="s">
        <v>65</v>
      </c>
      <c r="X249" s="1"/>
      <c r="Y249" s="1"/>
      <c r="Z249" s="1"/>
      <c r="AA249" s="1"/>
      <c r="AB249" s="1"/>
      <c r="AC249" s="1" t="s">
        <v>65</v>
      </c>
      <c r="AD249" s="1" t="s">
        <v>65</v>
      </c>
      <c r="AE249" s="1"/>
      <c r="AF249" s="1" t="s">
        <v>65</v>
      </c>
      <c r="AG249" s="1"/>
      <c r="AH249" s="7" t="s">
        <v>5432</v>
      </c>
      <c r="AI249" s="1"/>
      <c r="AJ249" s="1"/>
      <c r="AK249" s="1"/>
      <c r="AL249" s="1"/>
      <c r="AM249" s="1"/>
      <c r="AN249" s="1"/>
    </row>
    <row r="250" hidden="1">
      <c r="A250" s="1" t="s">
        <v>5440</v>
      </c>
      <c r="B250" s="1" t="s">
        <v>5440</v>
      </c>
      <c r="C250" s="4">
        <v>45829.85469907407</v>
      </c>
      <c r="D250" s="5">
        <v>1.750537846E9</v>
      </c>
      <c r="E250" s="7" t="s">
        <v>5441</v>
      </c>
      <c r="F250" s="1" t="s">
        <v>5447</v>
      </c>
      <c r="G250" s="1" t="s">
        <v>5448</v>
      </c>
      <c r="H250" s="1" t="s">
        <v>5449</v>
      </c>
      <c r="I250" s="1" t="s">
        <v>5450</v>
      </c>
      <c r="J250" s="7" t="s">
        <v>5451</v>
      </c>
      <c r="K250" s="7" t="s">
        <v>5454</v>
      </c>
      <c r="L250" s="9" t="b">
        <v>0</v>
      </c>
      <c r="M250" s="1" t="s">
        <v>85</v>
      </c>
      <c r="N250" s="1" t="s">
        <v>68</v>
      </c>
      <c r="O250" s="1" t="s">
        <v>65</v>
      </c>
      <c r="P250" s="5">
        <v>0.0</v>
      </c>
      <c r="Q250" s="5">
        <v>0.0</v>
      </c>
      <c r="R250" s="5">
        <v>7.0</v>
      </c>
      <c r="S250" s="5">
        <v>0.0</v>
      </c>
      <c r="T250" s="5">
        <v>329.0</v>
      </c>
      <c r="U250" s="1" t="s">
        <v>65</v>
      </c>
      <c r="V250" s="1"/>
      <c r="W250" s="1" t="s">
        <v>71</v>
      </c>
      <c r="X250" s="1" t="s">
        <v>5465</v>
      </c>
      <c r="Y250" s="1" t="s">
        <v>5467</v>
      </c>
      <c r="Z250" s="7" t="s">
        <v>5468</v>
      </c>
      <c r="AA250" s="7" t="s">
        <v>5471</v>
      </c>
      <c r="AB250" s="1"/>
      <c r="AC250" s="1" t="s">
        <v>65</v>
      </c>
      <c r="AD250" s="1" t="s">
        <v>65</v>
      </c>
      <c r="AE250" s="1"/>
      <c r="AF250" s="1" t="s">
        <v>65</v>
      </c>
      <c r="AG250" s="1"/>
      <c r="AH250" s="1"/>
      <c r="AI250" s="1"/>
      <c r="AJ250" s="1"/>
      <c r="AK250" s="1"/>
      <c r="AL250" s="1"/>
      <c r="AM250" s="1"/>
      <c r="AN250" s="1"/>
    </row>
    <row r="251" hidden="1">
      <c r="A251" s="1" t="s">
        <v>5474</v>
      </c>
      <c r="B251" s="1" t="s">
        <v>5475</v>
      </c>
      <c r="C251" s="4">
        <v>45829.76306712963</v>
      </c>
      <c r="D251" s="5">
        <v>1.750529929E9</v>
      </c>
      <c r="E251" s="7" t="s">
        <v>5476</v>
      </c>
      <c r="F251" s="1" t="s">
        <v>5480</v>
      </c>
      <c r="G251" s="1" t="s">
        <v>5482</v>
      </c>
      <c r="H251" s="1" t="s">
        <v>5484</v>
      </c>
      <c r="I251" s="1" t="s">
        <v>5485</v>
      </c>
      <c r="J251" s="7" t="s">
        <v>5486</v>
      </c>
      <c r="K251" s="7" t="s">
        <v>5492</v>
      </c>
      <c r="L251" s="9" t="b">
        <v>0</v>
      </c>
      <c r="M251" s="1" t="s">
        <v>85</v>
      </c>
      <c r="N251" s="1" t="s">
        <v>68</v>
      </c>
      <c r="O251" s="1" t="s">
        <v>65</v>
      </c>
      <c r="P251" s="5">
        <v>0.0</v>
      </c>
      <c r="Q251" s="5">
        <v>1.0</v>
      </c>
      <c r="R251" s="5">
        <v>0.0</v>
      </c>
      <c r="S251" s="5">
        <v>0.0</v>
      </c>
      <c r="T251" s="5">
        <v>51.0</v>
      </c>
      <c r="U251" s="1" t="s">
        <v>65</v>
      </c>
      <c r="V251" s="1"/>
      <c r="W251" s="1" t="s">
        <v>65</v>
      </c>
      <c r="X251" s="1"/>
      <c r="Y251" s="1"/>
      <c r="Z251" s="1"/>
      <c r="AA251" s="1"/>
      <c r="AB251" s="1"/>
      <c r="AC251" s="1" t="s">
        <v>65</v>
      </c>
      <c r="AD251" s="1" t="s">
        <v>71</v>
      </c>
      <c r="AE251" s="1" t="s">
        <v>5496</v>
      </c>
      <c r="AF251" s="1" t="s">
        <v>65</v>
      </c>
      <c r="AG251" s="1"/>
      <c r="AH251" s="1"/>
      <c r="AI251" s="1"/>
      <c r="AJ251" s="1"/>
      <c r="AK251" s="1" t="s">
        <v>5497</v>
      </c>
      <c r="AL251" s="1"/>
      <c r="AM251" s="1"/>
      <c r="AN251" s="1"/>
    </row>
    <row r="252">
      <c r="A252" s="1" t="s">
        <v>5498</v>
      </c>
      <c r="B252" s="1" t="s">
        <v>5499</v>
      </c>
      <c r="C252" s="4">
        <v>45828.770104166666</v>
      </c>
      <c r="D252" s="5">
        <v>1.750444137E9</v>
      </c>
      <c r="E252" s="7" t="s">
        <v>5501</v>
      </c>
      <c r="F252" s="1" t="s">
        <v>5506</v>
      </c>
      <c r="G252" s="1" t="s">
        <v>5508</v>
      </c>
      <c r="H252" s="1" t="s">
        <v>5508</v>
      </c>
      <c r="I252" s="1" t="s">
        <v>5511</v>
      </c>
      <c r="J252" s="7" t="s">
        <v>5512</v>
      </c>
      <c r="K252" s="7" t="s">
        <v>5520</v>
      </c>
      <c r="L252" s="9" t="b">
        <v>0</v>
      </c>
      <c r="M252" s="1" t="s">
        <v>66</v>
      </c>
      <c r="N252" s="1" t="s">
        <v>64</v>
      </c>
      <c r="O252" s="1" t="s">
        <v>65</v>
      </c>
      <c r="P252" s="5">
        <v>0.0</v>
      </c>
      <c r="Q252" s="5">
        <v>1.0</v>
      </c>
      <c r="R252" s="5">
        <v>0.0</v>
      </c>
      <c r="S252" s="5">
        <v>0.0</v>
      </c>
      <c r="T252" s="5">
        <v>12.0</v>
      </c>
      <c r="U252" s="1" t="s">
        <v>65</v>
      </c>
      <c r="V252" s="1"/>
      <c r="W252" s="1" t="s">
        <v>65</v>
      </c>
      <c r="X252" s="1"/>
      <c r="Y252" s="1"/>
      <c r="Z252" s="1"/>
      <c r="AA252" s="1"/>
      <c r="AB252" s="1"/>
      <c r="AC252" s="1" t="s">
        <v>65</v>
      </c>
      <c r="AD252" s="1" t="s">
        <v>71</v>
      </c>
      <c r="AE252" s="1" t="s">
        <v>5508</v>
      </c>
      <c r="AF252" s="1" t="s">
        <v>65</v>
      </c>
      <c r="AG252" s="1"/>
      <c r="AH252" s="1"/>
      <c r="AI252" s="1"/>
      <c r="AJ252" s="1"/>
      <c r="AK252" s="1"/>
      <c r="AL252" s="1"/>
      <c r="AM252" s="1"/>
      <c r="AN252" s="1"/>
    </row>
    <row r="253">
      <c r="A253" s="1" t="s">
        <v>5530</v>
      </c>
      <c r="B253" s="1" t="s">
        <v>5499</v>
      </c>
      <c r="C253" s="4">
        <v>45828.76957175926</v>
      </c>
      <c r="D253" s="5">
        <v>1.750444091E9</v>
      </c>
      <c r="E253" s="7" t="s">
        <v>5533</v>
      </c>
      <c r="F253" s="1" t="s">
        <v>5534</v>
      </c>
      <c r="G253" s="1" t="s">
        <v>5508</v>
      </c>
      <c r="H253" s="1" t="s">
        <v>5508</v>
      </c>
      <c r="I253" s="1" t="s">
        <v>5511</v>
      </c>
      <c r="J253" s="7" t="s">
        <v>5512</v>
      </c>
      <c r="K253" s="7" t="s">
        <v>5520</v>
      </c>
      <c r="L253" s="9" t="b">
        <v>0</v>
      </c>
      <c r="M253" s="1" t="s">
        <v>66</v>
      </c>
      <c r="N253" s="1" t="s">
        <v>64</v>
      </c>
      <c r="O253" s="1" t="s">
        <v>65</v>
      </c>
      <c r="P253" s="5">
        <v>0.0</v>
      </c>
      <c r="Q253" s="5">
        <v>2.0</v>
      </c>
      <c r="R253" s="5">
        <v>0.0</v>
      </c>
      <c r="S253" s="5">
        <v>0.0</v>
      </c>
      <c r="T253" s="5">
        <v>8.0</v>
      </c>
      <c r="U253" s="1" t="s">
        <v>65</v>
      </c>
      <c r="V253" s="1"/>
      <c r="W253" s="1" t="s">
        <v>65</v>
      </c>
      <c r="X253" s="1"/>
      <c r="Y253" s="1"/>
      <c r="Z253" s="1"/>
      <c r="AA253" s="1"/>
      <c r="AB253" s="1"/>
      <c r="AC253" s="1" t="s">
        <v>65</v>
      </c>
      <c r="AD253" s="1" t="s">
        <v>71</v>
      </c>
      <c r="AE253" s="1" t="s">
        <v>5508</v>
      </c>
      <c r="AF253" s="1" t="s">
        <v>65</v>
      </c>
      <c r="AG253" s="1"/>
      <c r="AH253" s="1"/>
      <c r="AI253" s="1"/>
      <c r="AJ253" s="1"/>
      <c r="AK253" s="1"/>
      <c r="AL253" s="1"/>
      <c r="AM253" s="1"/>
      <c r="AN253" s="1"/>
    </row>
    <row r="254">
      <c r="A254" s="1" t="s">
        <v>5541</v>
      </c>
      <c r="B254" s="1" t="s">
        <v>5499</v>
      </c>
      <c r="C254" s="4">
        <v>45828.76917824074</v>
      </c>
      <c r="D254" s="5">
        <v>1.750444057E9</v>
      </c>
      <c r="E254" s="7" t="s">
        <v>5544</v>
      </c>
      <c r="F254" s="1" t="s">
        <v>5548</v>
      </c>
      <c r="G254" s="1" t="s">
        <v>5508</v>
      </c>
      <c r="H254" s="1" t="s">
        <v>5508</v>
      </c>
      <c r="I254" s="1" t="s">
        <v>5511</v>
      </c>
      <c r="J254" s="7" t="s">
        <v>5512</v>
      </c>
      <c r="K254" s="7" t="s">
        <v>5520</v>
      </c>
      <c r="L254" s="9" t="b">
        <v>0</v>
      </c>
      <c r="M254" s="1" t="s">
        <v>66</v>
      </c>
      <c r="N254" s="1" t="s">
        <v>64</v>
      </c>
      <c r="O254" s="1" t="s">
        <v>65</v>
      </c>
      <c r="P254" s="5">
        <v>0.0</v>
      </c>
      <c r="Q254" s="5">
        <v>1.0</v>
      </c>
      <c r="R254" s="5">
        <v>0.0</v>
      </c>
      <c r="S254" s="5">
        <v>0.0</v>
      </c>
      <c r="T254" s="5">
        <v>28.0</v>
      </c>
      <c r="U254" s="1" t="s">
        <v>65</v>
      </c>
      <c r="V254" s="1"/>
      <c r="W254" s="1" t="s">
        <v>65</v>
      </c>
      <c r="X254" s="1"/>
      <c r="Y254" s="1"/>
      <c r="Z254" s="1"/>
      <c r="AA254" s="1"/>
      <c r="AB254" s="1"/>
      <c r="AC254" s="1" t="s">
        <v>65</v>
      </c>
      <c r="AD254" s="1" t="s">
        <v>71</v>
      </c>
      <c r="AE254" s="1" t="s">
        <v>5508</v>
      </c>
      <c r="AF254" s="1" t="s">
        <v>65</v>
      </c>
      <c r="AG254" s="1"/>
      <c r="AH254" s="1"/>
      <c r="AI254" s="1"/>
      <c r="AJ254" s="1"/>
      <c r="AK254" s="1"/>
      <c r="AL254" s="1"/>
      <c r="AM254" s="1"/>
      <c r="AN254" s="1"/>
    </row>
    <row r="255" hidden="1">
      <c r="A255" s="1" t="s">
        <v>5553</v>
      </c>
      <c r="B255" s="1" t="s">
        <v>5553</v>
      </c>
      <c r="C255" s="4">
        <v>45826.817511574074</v>
      </c>
      <c r="D255" s="5">
        <v>1.750275433E9</v>
      </c>
      <c r="E255" s="7" t="s">
        <v>5554</v>
      </c>
      <c r="F255" s="1" t="s">
        <v>5559</v>
      </c>
      <c r="G255" s="1" t="s">
        <v>5560</v>
      </c>
      <c r="H255" s="1" t="s">
        <v>5561</v>
      </c>
      <c r="I255" s="1" t="s">
        <v>5562</v>
      </c>
      <c r="J255" s="7" t="s">
        <v>5563</v>
      </c>
      <c r="K255" s="7" t="s">
        <v>5565</v>
      </c>
      <c r="L255" s="9" t="b">
        <v>0</v>
      </c>
      <c r="M255" s="1" t="s">
        <v>67</v>
      </c>
      <c r="N255" s="1" t="s">
        <v>68</v>
      </c>
      <c r="O255" s="1" t="s">
        <v>65</v>
      </c>
      <c r="P255" s="5">
        <v>0.0</v>
      </c>
      <c r="Q255" s="5">
        <v>0.0</v>
      </c>
      <c r="R255" s="5">
        <v>1.0</v>
      </c>
      <c r="S255" s="5">
        <v>0.0</v>
      </c>
      <c r="T255" s="5">
        <v>177.0</v>
      </c>
      <c r="U255" s="1" t="s">
        <v>65</v>
      </c>
      <c r="V255" s="1"/>
      <c r="W255" s="1" t="s">
        <v>71</v>
      </c>
      <c r="X255" s="1" t="s">
        <v>5475</v>
      </c>
      <c r="Y255" s="1" t="s">
        <v>5566</v>
      </c>
      <c r="Z255" s="1" t="s">
        <v>5568</v>
      </c>
      <c r="AA255" s="1"/>
      <c r="AB255" s="1"/>
      <c r="AC255" s="1" t="s">
        <v>65</v>
      </c>
      <c r="AD255" s="1" t="s">
        <v>65</v>
      </c>
      <c r="AE255" s="1"/>
      <c r="AF255" s="1" t="s">
        <v>65</v>
      </c>
      <c r="AG255" s="1"/>
      <c r="AH255" s="1"/>
      <c r="AI255" s="1"/>
      <c r="AJ255" s="1"/>
      <c r="AK255" s="1"/>
      <c r="AL255" s="1"/>
      <c r="AM255" s="1"/>
      <c r="AN255" s="1"/>
    </row>
    <row r="256">
      <c r="A256" s="1" t="s">
        <v>5570</v>
      </c>
      <c r="B256" s="1" t="s">
        <v>5571</v>
      </c>
      <c r="C256" s="4">
        <v>45826.76298611111</v>
      </c>
      <c r="D256" s="5">
        <v>1.750270722E9</v>
      </c>
      <c r="E256" s="7" t="s">
        <v>5572</v>
      </c>
      <c r="F256" s="1" t="s">
        <v>5575</v>
      </c>
      <c r="G256" s="1" t="s">
        <v>5576</v>
      </c>
      <c r="H256" s="1" t="s">
        <v>5578</v>
      </c>
      <c r="I256" s="1" t="s">
        <v>5580</v>
      </c>
      <c r="J256" s="7" t="s">
        <v>5583</v>
      </c>
      <c r="K256" s="1"/>
      <c r="L256" s="9" t="b">
        <v>0</v>
      </c>
      <c r="M256" s="1" t="s">
        <v>67</v>
      </c>
      <c r="N256" s="1" t="s">
        <v>64</v>
      </c>
      <c r="O256" s="1" t="s">
        <v>65</v>
      </c>
      <c r="P256" s="5">
        <v>0.0</v>
      </c>
      <c r="Q256" s="5">
        <v>1.0</v>
      </c>
      <c r="R256" s="5">
        <v>1.0</v>
      </c>
      <c r="S256" s="5">
        <v>0.0</v>
      </c>
      <c r="T256" s="5">
        <v>32.0</v>
      </c>
      <c r="U256" s="1" t="s">
        <v>65</v>
      </c>
      <c r="V256" s="1"/>
      <c r="W256" s="1" t="s">
        <v>65</v>
      </c>
      <c r="X256" s="1"/>
      <c r="Y256" s="1"/>
      <c r="Z256" s="1"/>
      <c r="AA256" s="1"/>
      <c r="AB256" s="1"/>
      <c r="AC256" s="1" t="s">
        <v>65</v>
      </c>
      <c r="AD256" s="1" t="s">
        <v>71</v>
      </c>
      <c r="AE256" s="1" t="s">
        <v>5576</v>
      </c>
      <c r="AF256" s="1" t="s">
        <v>65</v>
      </c>
      <c r="AG256" s="1"/>
      <c r="AH256" s="1"/>
      <c r="AI256" s="1"/>
      <c r="AJ256" s="1"/>
      <c r="AK256" s="1" t="s">
        <v>5589</v>
      </c>
      <c r="AL256" s="1"/>
      <c r="AM256" s="1"/>
      <c r="AN256" s="1"/>
    </row>
    <row r="257" hidden="1">
      <c r="A257" s="1" t="s">
        <v>5590</v>
      </c>
      <c r="B257" s="1" t="s">
        <v>5590</v>
      </c>
      <c r="C257" s="4">
        <v>45825.62608796296</v>
      </c>
      <c r="D257" s="5">
        <v>1.750172494E9</v>
      </c>
      <c r="E257" s="7" t="s">
        <v>5591</v>
      </c>
      <c r="F257" s="1" t="s">
        <v>5600</v>
      </c>
      <c r="G257" s="1" t="s">
        <v>5601</v>
      </c>
      <c r="H257" s="1" t="s">
        <v>5602</v>
      </c>
      <c r="I257" s="1" t="s">
        <v>5603</v>
      </c>
      <c r="J257" s="7" t="s">
        <v>5604</v>
      </c>
      <c r="K257" s="7" t="s">
        <v>5610</v>
      </c>
      <c r="L257" s="9" t="b">
        <v>0</v>
      </c>
      <c r="M257" s="1" t="s">
        <v>85</v>
      </c>
      <c r="N257" s="1" t="s">
        <v>68</v>
      </c>
      <c r="O257" s="1" t="s">
        <v>65</v>
      </c>
      <c r="P257" s="5">
        <v>0.0</v>
      </c>
      <c r="Q257" s="5">
        <v>0.0</v>
      </c>
      <c r="R257" s="5">
        <v>0.0</v>
      </c>
      <c r="S257" s="5">
        <v>0.0</v>
      </c>
      <c r="T257" s="5">
        <v>55.0</v>
      </c>
      <c r="U257" s="1" t="s">
        <v>65</v>
      </c>
      <c r="V257" s="1"/>
      <c r="W257" s="1" t="s">
        <v>65</v>
      </c>
      <c r="X257" s="1"/>
      <c r="Y257" s="1"/>
      <c r="Z257" s="1"/>
      <c r="AA257" s="1"/>
      <c r="AB257" s="1"/>
      <c r="AC257" s="1" t="s">
        <v>65</v>
      </c>
      <c r="AD257" s="1" t="s">
        <v>65</v>
      </c>
      <c r="AE257" s="1"/>
      <c r="AF257" s="1" t="s">
        <v>65</v>
      </c>
      <c r="AG257" s="1"/>
      <c r="AH257" s="1"/>
      <c r="AI257" s="1"/>
      <c r="AJ257" s="1"/>
      <c r="AK257" s="1"/>
      <c r="AL257" s="1"/>
      <c r="AM257" s="1"/>
      <c r="AN257" s="1"/>
    </row>
    <row r="258" hidden="1">
      <c r="A258" s="1" t="s">
        <v>5621</v>
      </c>
      <c r="B258" s="1" t="s">
        <v>5621</v>
      </c>
      <c r="C258" s="4">
        <v>45825.0790162037</v>
      </c>
      <c r="D258" s="5">
        <v>1.750125227E9</v>
      </c>
      <c r="E258" s="7" t="s">
        <v>5622</v>
      </c>
      <c r="F258" s="1" t="s">
        <v>5625</v>
      </c>
      <c r="G258" s="1" t="s">
        <v>5627</v>
      </c>
      <c r="H258" s="1" t="s">
        <v>5628</v>
      </c>
      <c r="I258" s="5">
        <v>3.295560831E9</v>
      </c>
      <c r="J258" s="7" t="s">
        <v>5630</v>
      </c>
      <c r="K258" s="7" t="s">
        <v>5636</v>
      </c>
      <c r="L258" s="9" t="b">
        <v>0</v>
      </c>
      <c r="M258" s="1" t="s">
        <v>67</v>
      </c>
      <c r="N258" s="1" t="s">
        <v>68</v>
      </c>
      <c r="O258" s="1" t="s">
        <v>65</v>
      </c>
      <c r="P258" s="5">
        <v>0.0</v>
      </c>
      <c r="Q258" s="5">
        <v>0.0</v>
      </c>
      <c r="R258" s="5">
        <v>2.0</v>
      </c>
      <c r="S258" s="5">
        <v>0.0</v>
      </c>
      <c r="T258" s="5">
        <v>55.0</v>
      </c>
      <c r="U258" s="1" t="s">
        <v>65</v>
      </c>
      <c r="V258" s="1"/>
      <c r="W258" s="1" t="s">
        <v>71</v>
      </c>
      <c r="X258" s="1" t="s">
        <v>5640</v>
      </c>
      <c r="Y258" s="1" t="s">
        <v>5641</v>
      </c>
      <c r="Z258" s="1" t="s">
        <v>5642</v>
      </c>
      <c r="AA258" s="1"/>
      <c r="AB258" s="1"/>
      <c r="AC258" s="1" t="s">
        <v>65</v>
      </c>
      <c r="AD258" s="1" t="s">
        <v>65</v>
      </c>
      <c r="AE258" s="1"/>
      <c r="AF258" s="1" t="s">
        <v>65</v>
      </c>
      <c r="AG258" s="1"/>
      <c r="AH258" s="1"/>
      <c r="AI258" s="1"/>
      <c r="AJ258" s="1"/>
      <c r="AK258" s="1"/>
      <c r="AL258" s="1"/>
      <c r="AM258" s="1"/>
      <c r="AN258" s="1"/>
    </row>
    <row r="259" hidden="1">
      <c r="A259" s="1" t="s">
        <v>5649</v>
      </c>
      <c r="B259" s="1" t="s">
        <v>5649</v>
      </c>
      <c r="C259" s="4">
        <v>45824.64083333333</v>
      </c>
      <c r="D259" s="5">
        <v>1.750087368E9</v>
      </c>
      <c r="E259" s="7" t="s">
        <v>5650</v>
      </c>
      <c r="F259" s="1" t="s">
        <v>5652</v>
      </c>
      <c r="G259" s="1" t="s">
        <v>5653</v>
      </c>
      <c r="H259" s="1" t="s">
        <v>5655</v>
      </c>
      <c r="I259" s="5">
        <v>4.23669787E8</v>
      </c>
      <c r="J259" s="7" t="s">
        <v>5656</v>
      </c>
      <c r="K259" s="7" t="s">
        <v>5660</v>
      </c>
      <c r="L259" s="9" t="b">
        <v>0</v>
      </c>
      <c r="M259" s="1" t="s">
        <v>85</v>
      </c>
      <c r="N259" s="1" t="s">
        <v>68</v>
      </c>
      <c r="O259" s="1" t="s">
        <v>65</v>
      </c>
      <c r="P259" s="5">
        <v>0.0</v>
      </c>
      <c r="Q259" s="5">
        <v>2.0</v>
      </c>
      <c r="R259" s="5">
        <v>1.0</v>
      </c>
      <c r="S259" s="5">
        <v>0.0</v>
      </c>
      <c r="T259" s="5">
        <v>102.0</v>
      </c>
      <c r="U259" s="1" t="s">
        <v>65</v>
      </c>
      <c r="V259" s="1"/>
      <c r="W259" s="1" t="s">
        <v>65</v>
      </c>
      <c r="X259" s="1"/>
      <c r="Y259" s="1"/>
      <c r="Z259" s="1"/>
      <c r="AA259" s="1"/>
      <c r="AB259" s="1"/>
      <c r="AC259" s="1" t="s">
        <v>65</v>
      </c>
      <c r="AD259" s="1" t="s">
        <v>65</v>
      </c>
      <c r="AE259" s="1"/>
      <c r="AF259" s="1" t="s">
        <v>65</v>
      </c>
      <c r="AG259" s="1"/>
      <c r="AH259" s="1"/>
      <c r="AI259" s="1"/>
      <c r="AJ259" s="1"/>
      <c r="AK259" s="1"/>
      <c r="AL259" s="1"/>
      <c r="AM259" s="1"/>
      <c r="AN259" s="1"/>
    </row>
    <row r="260">
      <c r="A260" s="1" t="s">
        <v>1924</v>
      </c>
      <c r="B260" s="1" t="s">
        <v>1924</v>
      </c>
      <c r="C260" s="4">
        <v>45824.18736111111</v>
      </c>
      <c r="D260" s="5">
        <v>1.750048188E9</v>
      </c>
      <c r="E260" s="7" t="s">
        <v>1925</v>
      </c>
      <c r="F260" s="1" t="s">
        <v>1928</v>
      </c>
      <c r="G260" s="1" t="s">
        <v>864</v>
      </c>
      <c r="H260" s="1" t="s">
        <v>865</v>
      </c>
      <c r="I260" s="5">
        <v>2.825615947E9</v>
      </c>
      <c r="J260" s="7" t="s">
        <v>866</v>
      </c>
      <c r="K260" s="7" t="s">
        <v>870</v>
      </c>
      <c r="L260" s="9" t="b">
        <v>1</v>
      </c>
      <c r="M260" s="1" t="s">
        <v>66</v>
      </c>
      <c r="N260" s="1" t="s">
        <v>64</v>
      </c>
      <c r="O260" s="1" t="s">
        <v>65</v>
      </c>
      <c r="P260" s="5">
        <v>0.0</v>
      </c>
      <c r="Q260" s="5">
        <v>0.0</v>
      </c>
      <c r="R260" s="5">
        <v>18.0</v>
      </c>
      <c r="S260" s="5">
        <v>0.0</v>
      </c>
      <c r="T260" s="5">
        <v>338.0</v>
      </c>
      <c r="U260" s="1" t="s">
        <v>65</v>
      </c>
      <c r="V260" s="1"/>
      <c r="W260" s="1" t="s">
        <v>65</v>
      </c>
      <c r="X260" s="1"/>
      <c r="Y260" s="1"/>
      <c r="Z260" s="1"/>
      <c r="AA260" s="1"/>
      <c r="AB260" s="1"/>
      <c r="AC260" s="1" t="s">
        <v>65</v>
      </c>
      <c r="AD260" s="1" t="s">
        <v>65</v>
      </c>
      <c r="AE260" s="1"/>
      <c r="AF260" s="1" t="s">
        <v>65</v>
      </c>
      <c r="AG260" s="1" t="s">
        <v>1930</v>
      </c>
      <c r="AH260" s="1"/>
      <c r="AI260" s="7" t="s">
        <v>1931</v>
      </c>
      <c r="AJ260" s="7" t="s">
        <v>1936</v>
      </c>
      <c r="AK260" s="1"/>
      <c r="AL260" s="1"/>
      <c r="AM260" s="1"/>
      <c r="AN260" s="1"/>
    </row>
    <row r="261">
      <c r="A261" s="1" t="s">
        <v>5682</v>
      </c>
      <c r="B261" s="1" t="s">
        <v>5684</v>
      </c>
      <c r="C261" s="4">
        <v>45823.46297453704</v>
      </c>
      <c r="D261" s="5">
        <v>1.749985601E9</v>
      </c>
      <c r="E261" s="7" t="s">
        <v>5685</v>
      </c>
      <c r="F261" s="1" t="s">
        <v>5687</v>
      </c>
      <c r="G261" s="1" t="s">
        <v>5688</v>
      </c>
      <c r="H261" s="1" t="s">
        <v>5689</v>
      </c>
      <c r="I261" s="5">
        <v>1.142431224E9</v>
      </c>
      <c r="J261" s="7" t="s">
        <v>5690</v>
      </c>
      <c r="K261" s="7" t="s">
        <v>5696</v>
      </c>
      <c r="L261" s="9" t="b">
        <v>0</v>
      </c>
      <c r="M261" s="1" t="s">
        <v>66</v>
      </c>
      <c r="N261" s="1" t="s">
        <v>64</v>
      </c>
      <c r="O261" s="1" t="s">
        <v>65</v>
      </c>
      <c r="P261" s="5">
        <v>0.0</v>
      </c>
      <c r="Q261" s="5">
        <v>0.0</v>
      </c>
      <c r="R261" s="5">
        <v>0.0</v>
      </c>
      <c r="S261" s="5">
        <v>0.0</v>
      </c>
      <c r="T261" s="5">
        <v>38.0</v>
      </c>
      <c r="U261" s="1" t="s">
        <v>65</v>
      </c>
      <c r="V261" s="1"/>
      <c r="W261" s="1" t="s">
        <v>65</v>
      </c>
      <c r="X261" s="1"/>
      <c r="Y261" s="1"/>
      <c r="Z261" s="1"/>
      <c r="AA261" s="1"/>
      <c r="AB261" s="1"/>
      <c r="AC261" s="1" t="s">
        <v>65</v>
      </c>
      <c r="AD261" s="1" t="s">
        <v>71</v>
      </c>
      <c r="AE261" s="1" t="s">
        <v>5688</v>
      </c>
      <c r="AF261" s="1" t="s">
        <v>65</v>
      </c>
      <c r="AG261" s="1"/>
      <c r="AH261" s="7" t="s">
        <v>5704</v>
      </c>
      <c r="AI261" s="1"/>
      <c r="AJ261" s="1"/>
      <c r="AK261" s="1"/>
      <c r="AL261" s="1"/>
      <c r="AM261" s="1"/>
      <c r="AN261" s="1"/>
    </row>
    <row r="262">
      <c r="A262" s="1" t="s">
        <v>5712</v>
      </c>
      <c r="B262" s="1" t="s">
        <v>5712</v>
      </c>
      <c r="C262" s="4">
        <v>45822.77866898148</v>
      </c>
      <c r="D262" s="5">
        <v>1.749926477E9</v>
      </c>
      <c r="E262" s="7" t="s">
        <v>5713</v>
      </c>
      <c r="F262" s="1" t="s">
        <v>5715</v>
      </c>
      <c r="G262" s="1" t="s">
        <v>219</v>
      </c>
      <c r="H262" s="1" t="s">
        <v>221</v>
      </c>
      <c r="I262" s="1" t="s">
        <v>222</v>
      </c>
      <c r="J262" s="7" t="s">
        <v>223</v>
      </c>
      <c r="K262" s="7" t="s">
        <v>226</v>
      </c>
      <c r="L262" s="9" t="b">
        <v>0</v>
      </c>
      <c r="M262" s="1" t="s">
        <v>66</v>
      </c>
      <c r="N262" s="1" t="s">
        <v>64</v>
      </c>
      <c r="O262" s="1" t="s">
        <v>65</v>
      </c>
      <c r="P262" s="5">
        <v>1.0</v>
      </c>
      <c r="Q262" s="5">
        <v>0.0</v>
      </c>
      <c r="R262" s="5">
        <v>1.0</v>
      </c>
      <c r="S262" s="5">
        <v>0.0</v>
      </c>
      <c r="T262" s="5">
        <v>47.0</v>
      </c>
      <c r="U262" s="1" t="s">
        <v>65</v>
      </c>
      <c r="V262" s="1"/>
      <c r="W262" s="1" t="s">
        <v>65</v>
      </c>
      <c r="X262" s="1"/>
      <c r="Y262" s="1"/>
      <c r="Z262" s="1"/>
      <c r="AA262" s="1"/>
      <c r="AB262" s="1"/>
      <c r="AC262" s="1" t="s">
        <v>65</v>
      </c>
      <c r="AD262" s="1" t="s">
        <v>65</v>
      </c>
      <c r="AE262" s="1"/>
      <c r="AF262" s="1" t="s">
        <v>65</v>
      </c>
      <c r="AG262" s="1" t="s">
        <v>5719</v>
      </c>
      <c r="AH262" s="1"/>
      <c r="AI262" s="7" t="s">
        <v>5720</v>
      </c>
      <c r="AJ262" s="1"/>
      <c r="AK262" s="1"/>
      <c r="AL262" s="1"/>
      <c r="AM262" s="1"/>
      <c r="AN262" s="1"/>
    </row>
    <row r="263">
      <c r="A263" s="1" t="s">
        <v>1392</v>
      </c>
      <c r="B263" s="1" t="s">
        <v>1392</v>
      </c>
      <c r="C263" s="4">
        <v>45821.80519675926</v>
      </c>
      <c r="D263" s="5">
        <v>1.749842369E9</v>
      </c>
      <c r="E263" s="7" t="s">
        <v>1393</v>
      </c>
      <c r="F263" s="1" t="s">
        <v>1395</v>
      </c>
      <c r="G263" s="1" t="s">
        <v>864</v>
      </c>
      <c r="H263" s="1" t="s">
        <v>865</v>
      </c>
      <c r="I263" s="5">
        <v>2.825615947E9</v>
      </c>
      <c r="J263" s="7" t="s">
        <v>866</v>
      </c>
      <c r="K263" s="7" t="s">
        <v>870</v>
      </c>
      <c r="L263" s="9" t="b">
        <v>1</v>
      </c>
      <c r="M263" s="1" t="s">
        <v>1116</v>
      </c>
      <c r="N263" s="1" t="s">
        <v>64</v>
      </c>
      <c r="O263" s="1" t="s">
        <v>65</v>
      </c>
      <c r="P263" s="5">
        <v>0.0</v>
      </c>
      <c r="Q263" s="5">
        <v>0.0</v>
      </c>
      <c r="R263" s="5">
        <v>1.0</v>
      </c>
      <c r="S263" s="5">
        <v>0.0</v>
      </c>
      <c r="T263" s="5">
        <v>122.0</v>
      </c>
      <c r="U263" s="1" t="s">
        <v>65</v>
      </c>
      <c r="V263" s="1"/>
      <c r="W263" s="1" t="s">
        <v>65</v>
      </c>
      <c r="X263" s="1"/>
      <c r="Y263" s="1"/>
      <c r="Z263" s="1"/>
      <c r="AA263" s="1"/>
      <c r="AB263" s="1"/>
      <c r="AC263" s="1" t="s">
        <v>65</v>
      </c>
      <c r="AD263" s="1" t="s">
        <v>65</v>
      </c>
      <c r="AE263" s="1"/>
      <c r="AF263" s="1" t="s">
        <v>65</v>
      </c>
      <c r="AG263" s="1"/>
      <c r="AH263" s="7" t="s">
        <v>1398</v>
      </c>
      <c r="AI263" s="1"/>
      <c r="AJ263" s="1"/>
      <c r="AK263" s="1"/>
      <c r="AL263" s="1"/>
      <c r="AM263" s="1"/>
      <c r="AN263" s="1"/>
    </row>
    <row r="264">
      <c r="A264" s="1" t="s">
        <v>1943</v>
      </c>
      <c r="B264" s="1" t="s">
        <v>1943</v>
      </c>
      <c r="C264" s="4">
        <v>45821.72583333333</v>
      </c>
      <c r="D264" s="5">
        <v>1.749835512E9</v>
      </c>
      <c r="E264" s="7" t="s">
        <v>1944</v>
      </c>
      <c r="F264" s="1" t="s">
        <v>1948</v>
      </c>
      <c r="G264" s="1" t="s">
        <v>864</v>
      </c>
      <c r="H264" s="1" t="s">
        <v>865</v>
      </c>
      <c r="I264" s="5">
        <v>2.825615947E9</v>
      </c>
      <c r="J264" s="7" t="s">
        <v>866</v>
      </c>
      <c r="K264" s="7" t="s">
        <v>870</v>
      </c>
      <c r="L264" s="9" t="b">
        <v>1</v>
      </c>
      <c r="M264" s="1" t="s">
        <v>67</v>
      </c>
      <c r="N264" s="1" t="s">
        <v>64</v>
      </c>
      <c r="O264" s="1" t="s">
        <v>65</v>
      </c>
      <c r="P264" s="5">
        <v>2.0</v>
      </c>
      <c r="Q264" s="5">
        <v>0.0</v>
      </c>
      <c r="R264" s="5">
        <v>19.0</v>
      </c>
      <c r="S264" s="5">
        <v>0.0</v>
      </c>
      <c r="T264" s="5">
        <v>343.0</v>
      </c>
      <c r="U264" s="1" t="s">
        <v>65</v>
      </c>
      <c r="V264" s="1"/>
      <c r="W264" s="1" t="s">
        <v>65</v>
      </c>
      <c r="X264" s="1"/>
      <c r="Y264" s="1"/>
      <c r="Z264" s="1"/>
      <c r="AA264" s="1"/>
      <c r="AB264" s="1"/>
      <c r="AC264" s="1" t="s">
        <v>65</v>
      </c>
      <c r="AD264" s="1" t="s">
        <v>65</v>
      </c>
      <c r="AE264" s="1"/>
      <c r="AF264" s="1" t="s">
        <v>65</v>
      </c>
      <c r="AG264" s="1" t="s">
        <v>1950</v>
      </c>
      <c r="AH264" s="1"/>
      <c r="AI264" s="7" t="s">
        <v>1951</v>
      </c>
      <c r="AJ264" s="1"/>
      <c r="AK264" s="1"/>
      <c r="AL264" s="1" t="s">
        <v>1958</v>
      </c>
      <c r="AM264" s="1" t="s">
        <v>1959</v>
      </c>
      <c r="AN264" s="1"/>
    </row>
    <row r="265">
      <c r="A265" s="1" t="s">
        <v>5743</v>
      </c>
      <c r="B265" s="1" t="s">
        <v>5743</v>
      </c>
      <c r="C265" s="4">
        <v>45821.6556712963</v>
      </c>
      <c r="D265" s="5">
        <v>1.74982945E9</v>
      </c>
      <c r="E265" s="7" t="s">
        <v>5744</v>
      </c>
      <c r="F265" s="1" t="s">
        <v>5749</v>
      </c>
      <c r="G265" s="1" t="s">
        <v>5750</v>
      </c>
      <c r="H265" s="1" t="s">
        <v>5751</v>
      </c>
      <c r="I265" s="1" t="s">
        <v>5752</v>
      </c>
      <c r="J265" s="7" t="s">
        <v>5753</v>
      </c>
      <c r="K265" s="1"/>
      <c r="L265" s="9" t="b">
        <v>0</v>
      </c>
      <c r="M265" s="1" t="s">
        <v>67</v>
      </c>
      <c r="N265" s="1" t="s">
        <v>64</v>
      </c>
      <c r="O265" s="1" t="s">
        <v>65</v>
      </c>
      <c r="P265" s="5">
        <v>0.0</v>
      </c>
      <c r="Q265" s="5">
        <v>0.0</v>
      </c>
      <c r="R265" s="5">
        <v>0.0</v>
      </c>
      <c r="S265" s="5">
        <v>0.0</v>
      </c>
      <c r="T265" s="5">
        <v>37.0</v>
      </c>
      <c r="U265" s="1" t="s">
        <v>65</v>
      </c>
      <c r="V265" s="1"/>
      <c r="W265" s="1" t="s">
        <v>65</v>
      </c>
      <c r="X265" s="1"/>
      <c r="Y265" s="1"/>
      <c r="Z265" s="1"/>
      <c r="AA265" s="1"/>
      <c r="AB265" s="1"/>
      <c r="AC265" s="1" t="s">
        <v>65</v>
      </c>
      <c r="AD265" s="1" t="s">
        <v>65</v>
      </c>
      <c r="AE265" s="1"/>
      <c r="AF265" s="1" t="s">
        <v>65</v>
      </c>
      <c r="AG265" s="1"/>
      <c r="AH265" s="1"/>
      <c r="AI265" s="1"/>
      <c r="AJ265" s="1"/>
      <c r="AK265" s="1"/>
      <c r="AL265" s="1"/>
      <c r="AM265" s="1"/>
      <c r="AN265" s="1"/>
    </row>
    <row r="266" hidden="1">
      <c r="A266" s="1" t="s">
        <v>5759</v>
      </c>
      <c r="B266" s="1" t="s">
        <v>5759</v>
      </c>
      <c r="C266" s="4">
        <v>45821.623090277775</v>
      </c>
      <c r="D266" s="5">
        <v>1.749826635E9</v>
      </c>
      <c r="E266" s="7" t="s">
        <v>5762</v>
      </c>
      <c r="F266" s="1" t="s">
        <v>5766</v>
      </c>
      <c r="G266" s="1" t="s">
        <v>5768</v>
      </c>
      <c r="H266" s="1" t="s">
        <v>5770</v>
      </c>
      <c r="I266" s="1" t="s">
        <v>5771</v>
      </c>
      <c r="J266" s="7" t="s">
        <v>5772</v>
      </c>
      <c r="K266" s="7" t="s">
        <v>5775</v>
      </c>
      <c r="L266" s="9" t="b">
        <v>0</v>
      </c>
      <c r="M266" s="1" t="s">
        <v>67</v>
      </c>
      <c r="N266" s="1" t="s">
        <v>68</v>
      </c>
      <c r="O266" s="1" t="s">
        <v>65</v>
      </c>
      <c r="P266" s="5">
        <v>0.0</v>
      </c>
      <c r="Q266" s="5">
        <v>0.0</v>
      </c>
      <c r="R266" s="5">
        <v>2.0</v>
      </c>
      <c r="S266" s="5">
        <v>0.0</v>
      </c>
      <c r="T266" s="5">
        <v>76.0</v>
      </c>
      <c r="U266" s="1" t="s">
        <v>65</v>
      </c>
      <c r="V266" s="1"/>
      <c r="W266" s="1" t="s">
        <v>65</v>
      </c>
      <c r="X266" s="1"/>
      <c r="Y266" s="1"/>
      <c r="Z266" s="1"/>
      <c r="AA266" s="1"/>
      <c r="AB266" s="1"/>
      <c r="AC266" s="1" t="s">
        <v>65</v>
      </c>
      <c r="AD266" s="1" t="s">
        <v>65</v>
      </c>
      <c r="AE266" s="1"/>
      <c r="AF266" s="1" t="s">
        <v>65</v>
      </c>
      <c r="AG266" s="1"/>
      <c r="AH266" s="1"/>
      <c r="AI266" s="1"/>
      <c r="AJ266" s="1"/>
      <c r="AK266" s="1"/>
      <c r="AL266" s="1"/>
      <c r="AM266" s="1"/>
      <c r="AN266" s="1"/>
    </row>
    <row r="267">
      <c r="A267" s="1" t="s">
        <v>5785</v>
      </c>
      <c r="B267" s="1" t="s">
        <v>5785</v>
      </c>
      <c r="C267" s="4">
        <v>45820.65243055556</v>
      </c>
      <c r="D267" s="5">
        <v>1.74974277E9</v>
      </c>
      <c r="E267" s="7" t="s">
        <v>5786</v>
      </c>
      <c r="F267" s="1" t="s">
        <v>5791</v>
      </c>
      <c r="G267" s="1" t="s">
        <v>219</v>
      </c>
      <c r="H267" s="1" t="s">
        <v>221</v>
      </c>
      <c r="I267" s="1" t="s">
        <v>222</v>
      </c>
      <c r="J267" s="7" t="s">
        <v>223</v>
      </c>
      <c r="K267" s="7" t="s">
        <v>226</v>
      </c>
      <c r="L267" s="9" t="b">
        <v>0</v>
      </c>
      <c r="M267" s="1" t="s">
        <v>66</v>
      </c>
      <c r="N267" s="1" t="s">
        <v>64</v>
      </c>
      <c r="O267" s="1" t="s">
        <v>65</v>
      </c>
      <c r="P267" s="5">
        <v>1.0</v>
      </c>
      <c r="Q267" s="5">
        <v>0.0</v>
      </c>
      <c r="R267" s="5">
        <v>3.0</v>
      </c>
      <c r="S267" s="5">
        <v>0.0</v>
      </c>
      <c r="T267" s="5">
        <v>862.0</v>
      </c>
      <c r="U267" s="1" t="s">
        <v>65</v>
      </c>
      <c r="V267" s="1"/>
      <c r="W267" s="1" t="s">
        <v>65</v>
      </c>
      <c r="X267" s="1"/>
      <c r="Y267" s="1"/>
      <c r="Z267" s="1"/>
      <c r="AA267" s="1"/>
      <c r="AB267" s="1"/>
      <c r="AC267" s="1" t="s">
        <v>65</v>
      </c>
      <c r="AD267" s="1" t="s">
        <v>65</v>
      </c>
      <c r="AE267" s="1"/>
      <c r="AF267" s="1" t="s">
        <v>65</v>
      </c>
      <c r="AG267" s="1" t="s">
        <v>5795</v>
      </c>
      <c r="AH267" s="1"/>
      <c r="AI267" s="7" t="s">
        <v>5796</v>
      </c>
      <c r="AJ267" s="1"/>
      <c r="AK267" s="1"/>
      <c r="AL267" s="1"/>
      <c r="AM267" s="1"/>
      <c r="AN267" s="1"/>
    </row>
    <row r="268" hidden="1">
      <c r="A268" s="1" t="s">
        <v>5805</v>
      </c>
      <c r="B268" s="1" t="s">
        <v>5805</v>
      </c>
      <c r="C268" s="4">
        <v>45819.75667824074</v>
      </c>
      <c r="D268" s="5">
        <v>1.749665377E9</v>
      </c>
      <c r="E268" s="7" t="s">
        <v>5807</v>
      </c>
      <c r="F268" s="1" t="s">
        <v>5811</v>
      </c>
      <c r="G268" s="1" t="s">
        <v>5813</v>
      </c>
      <c r="H268" s="1" t="s">
        <v>5815</v>
      </c>
      <c r="I268" s="1" t="s">
        <v>5816</v>
      </c>
      <c r="J268" s="7" t="s">
        <v>5818</v>
      </c>
      <c r="K268" s="7" t="s">
        <v>5822</v>
      </c>
      <c r="L268" s="9" t="b">
        <v>0</v>
      </c>
      <c r="M268" s="1" t="s">
        <v>66</v>
      </c>
      <c r="N268" s="1" t="s">
        <v>68</v>
      </c>
      <c r="O268" s="1" t="s">
        <v>65</v>
      </c>
      <c r="P268" s="5">
        <v>0.0</v>
      </c>
      <c r="Q268" s="5">
        <v>0.0</v>
      </c>
      <c r="R268" s="5">
        <v>0.0</v>
      </c>
      <c r="S268" s="5">
        <v>0.0</v>
      </c>
      <c r="T268" s="5">
        <v>14.0</v>
      </c>
      <c r="U268" s="1" t="s">
        <v>65</v>
      </c>
      <c r="V268" s="1"/>
      <c r="W268" s="1" t="s">
        <v>65</v>
      </c>
      <c r="X268" s="1"/>
      <c r="Y268" s="1"/>
      <c r="Z268" s="1"/>
      <c r="AA268" s="1"/>
      <c r="AB268" s="1"/>
      <c r="AC268" s="1" t="s">
        <v>65</v>
      </c>
      <c r="AD268" s="1" t="s">
        <v>65</v>
      </c>
      <c r="AE268" s="1"/>
      <c r="AF268" s="1" t="s">
        <v>65</v>
      </c>
      <c r="AG268" s="1"/>
      <c r="AH268" s="1"/>
      <c r="AI268" s="1"/>
      <c r="AJ268" s="1"/>
      <c r="AK268" s="1"/>
      <c r="AL268" s="1"/>
      <c r="AM268" s="1"/>
      <c r="AN268" s="1"/>
    </row>
    <row r="269">
      <c r="A269" s="1" t="s">
        <v>5828</v>
      </c>
      <c r="B269" s="1" t="s">
        <v>5828</v>
      </c>
      <c r="C269" s="4">
        <v>45819.73631944445</v>
      </c>
      <c r="D269" s="5">
        <v>1.749663618E9</v>
      </c>
      <c r="E269" s="7" t="s">
        <v>5829</v>
      </c>
      <c r="F269" s="1" t="s">
        <v>5837</v>
      </c>
      <c r="G269" s="1" t="s">
        <v>219</v>
      </c>
      <c r="H269" s="1" t="s">
        <v>221</v>
      </c>
      <c r="I269" s="1" t="s">
        <v>222</v>
      </c>
      <c r="J269" s="7" t="s">
        <v>223</v>
      </c>
      <c r="K269" s="7" t="s">
        <v>226</v>
      </c>
      <c r="L269" s="9" t="b">
        <v>0</v>
      </c>
      <c r="M269" s="1" t="s">
        <v>66</v>
      </c>
      <c r="N269" s="1" t="s">
        <v>64</v>
      </c>
      <c r="O269" s="1" t="s">
        <v>65</v>
      </c>
      <c r="P269" s="5">
        <v>1.0</v>
      </c>
      <c r="Q269" s="5">
        <v>0.0</v>
      </c>
      <c r="R269" s="5">
        <v>1.0</v>
      </c>
      <c r="S269" s="5">
        <v>0.0</v>
      </c>
      <c r="T269" s="5">
        <v>60.0</v>
      </c>
      <c r="U269" s="1" t="s">
        <v>65</v>
      </c>
      <c r="V269" s="1"/>
      <c r="W269" s="1" t="s">
        <v>65</v>
      </c>
      <c r="X269" s="1"/>
      <c r="Y269" s="1"/>
      <c r="Z269" s="1"/>
      <c r="AA269" s="1"/>
      <c r="AB269" s="1"/>
      <c r="AC269" s="1" t="s">
        <v>65</v>
      </c>
      <c r="AD269" s="1" t="s">
        <v>65</v>
      </c>
      <c r="AE269" s="1"/>
      <c r="AF269" s="1" t="s">
        <v>65</v>
      </c>
      <c r="AG269" s="1" t="s">
        <v>5840</v>
      </c>
      <c r="AH269" s="1"/>
      <c r="AI269" s="7" t="s">
        <v>5841</v>
      </c>
      <c r="AJ269" s="7" t="s">
        <v>5845</v>
      </c>
      <c r="AK269" s="1"/>
      <c r="AL269" s="1"/>
      <c r="AM269" s="1"/>
      <c r="AN269" s="1"/>
    </row>
    <row r="270">
      <c r="A270" s="1" t="s">
        <v>5850</v>
      </c>
      <c r="B270" s="1" t="s">
        <v>5850</v>
      </c>
      <c r="C270" s="4">
        <v>45819.61650462963</v>
      </c>
      <c r="D270" s="5">
        <v>1.749653266E9</v>
      </c>
      <c r="E270" s="7" t="s">
        <v>5851</v>
      </c>
      <c r="F270" s="1" t="s">
        <v>5857</v>
      </c>
      <c r="G270" s="1" t="s">
        <v>4269</v>
      </c>
      <c r="H270" s="1" t="s">
        <v>4269</v>
      </c>
      <c r="I270" s="5">
        <v>3.329875162E9</v>
      </c>
      <c r="J270" s="7" t="s">
        <v>4270</v>
      </c>
      <c r="K270" s="7" t="s">
        <v>4271</v>
      </c>
      <c r="L270" s="9" t="b">
        <v>0</v>
      </c>
      <c r="M270" s="1" t="s">
        <v>67</v>
      </c>
      <c r="N270" s="1" t="s">
        <v>64</v>
      </c>
      <c r="O270" s="1" t="s">
        <v>65</v>
      </c>
      <c r="P270" s="5">
        <v>0.0</v>
      </c>
      <c r="Q270" s="5">
        <v>1.0</v>
      </c>
      <c r="R270" s="5">
        <v>0.0</v>
      </c>
      <c r="S270" s="5">
        <v>0.0</v>
      </c>
      <c r="T270" s="5">
        <v>43.0</v>
      </c>
      <c r="U270" s="1" t="s">
        <v>65</v>
      </c>
      <c r="V270" s="1"/>
      <c r="W270" s="1" t="s">
        <v>65</v>
      </c>
      <c r="X270" s="1"/>
      <c r="Y270" s="1"/>
      <c r="Z270" s="1"/>
      <c r="AA270" s="1"/>
      <c r="AB270" s="1"/>
      <c r="AC270" s="1" t="s">
        <v>65</v>
      </c>
      <c r="AD270" s="1" t="s">
        <v>65</v>
      </c>
      <c r="AE270" s="1"/>
      <c r="AF270" s="1" t="s">
        <v>65</v>
      </c>
      <c r="AG270" s="1"/>
      <c r="AH270" s="7" t="s">
        <v>5867</v>
      </c>
      <c r="AI270" s="1"/>
      <c r="AJ270" s="1"/>
      <c r="AK270" s="1" t="s">
        <v>5870</v>
      </c>
      <c r="AL270" s="1"/>
      <c r="AM270" s="1"/>
      <c r="AN270" s="1"/>
    </row>
    <row r="271" hidden="1">
      <c r="A271" s="1" t="s">
        <v>5871</v>
      </c>
      <c r="B271" s="1" t="s">
        <v>5872</v>
      </c>
      <c r="C271" s="4">
        <v>45818.76625</v>
      </c>
      <c r="D271" s="5">
        <v>1.749579804E9</v>
      </c>
      <c r="E271" s="7" t="s">
        <v>5873</v>
      </c>
      <c r="F271" s="1" t="s">
        <v>5875</v>
      </c>
      <c r="G271" s="1" t="s">
        <v>5876</v>
      </c>
      <c r="H271" s="1" t="s">
        <v>5877</v>
      </c>
      <c r="I271" s="5">
        <v>2.413171268E9</v>
      </c>
      <c r="J271" s="7" t="s">
        <v>5878</v>
      </c>
      <c r="K271" s="7" t="s">
        <v>5881</v>
      </c>
      <c r="L271" s="9" t="b">
        <v>0</v>
      </c>
      <c r="M271" s="1" t="s">
        <v>67</v>
      </c>
      <c r="N271" s="1" t="s">
        <v>68</v>
      </c>
      <c r="O271" s="1" t="s">
        <v>65</v>
      </c>
      <c r="P271" s="5">
        <v>0.0</v>
      </c>
      <c r="Q271" s="5">
        <v>0.0</v>
      </c>
      <c r="R271" s="5">
        <v>1.0</v>
      </c>
      <c r="S271" s="5">
        <v>0.0</v>
      </c>
      <c r="T271" s="5">
        <v>805.0</v>
      </c>
      <c r="U271" s="1" t="s">
        <v>65</v>
      </c>
      <c r="V271" s="1"/>
      <c r="W271" s="1" t="s">
        <v>65</v>
      </c>
      <c r="X271" s="1"/>
      <c r="Y271" s="1"/>
      <c r="Z271" s="1"/>
      <c r="AA271" s="1"/>
      <c r="AB271" s="1"/>
      <c r="AC271" s="1" t="s">
        <v>65</v>
      </c>
      <c r="AD271" s="1" t="s">
        <v>71</v>
      </c>
      <c r="AE271" s="1" t="s">
        <v>5887</v>
      </c>
      <c r="AF271" s="1" t="s">
        <v>65</v>
      </c>
      <c r="AG271" s="1"/>
      <c r="AH271" s="1"/>
      <c r="AI271" s="1"/>
      <c r="AJ271" s="1"/>
      <c r="AK271" s="1" t="s">
        <v>5887</v>
      </c>
      <c r="AL271" s="1"/>
      <c r="AM271" s="1"/>
      <c r="AN271" s="1"/>
    </row>
    <row r="272">
      <c r="A272" s="1" t="s">
        <v>2667</v>
      </c>
      <c r="B272" s="1" t="s">
        <v>2667</v>
      </c>
      <c r="C272" s="4">
        <v>45818.44516203704</v>
      </c>
      <c r="D272" s="5">
        <v>1.749552062E9</v>
      </c>
      <c r="E272" s="7" t="s">
        <v>2668</v>
      </c>
      <c r="F272" s="1" t="s">
        <v>2670</v>
      </c>
      <c r="G272" s="1" t="s">
        <v>1613</v>
      </c>
      <c r="H272" s="1" t="s">
        <v>1614</v>
      </c>
      <c r="I272" s="5">
        <v>3.37569038E8</v>
      </c>
      <c r="J272" s="7" t="s">
        <v>1615</v>
      </c>
      <c r="K272" s="7" t="s">
        <v>1622</v>
      </c>
      <c r="L272" s="9" t="b">
        <v>0</v>
      </c>
      <c r="M272" s="1" t="s">
        <v>66</v>
      </c>
      <c r="N272" s="1" t="s">
        <v>64</v>
      </c>
      <c r="O272" s="1" t="s">
        <v>65</v>
      </c>
      <c r="P272" s="5">
        <v>0.0</v>
      </c>
      <c r="Q272" s="5">
        <v>0.0</v>
      </c>
      <c r="R272" s="5">
        <v>0.0</v>
      </c>
      <c r="S272" s="5">
        <v>0.0</v>
      </c>
      <c r="T272" s="5">
        <v>68.0</v>
      </c>
      <c r="U272" s="1" t="s">
        <v>65</v>
      </c>
      <c r="V272" s="1"/>
      <c r="W272" s="1" t="s">
        <v>65</v>
      </c>
      <c r="X272" s="1"/>
      <c r="Y272" s="1"/>
      <c r="Z272" s="1"/>
      <c r="AA272" s="1"/>
      <c r="AB272" s="1"/>
      <c r="AC272" s="1" t="s">
        <v>65</v>
      </c>
      <c r="AD272" s="1" t="s">
        <v>65</v>
      </c>
      <c r="AE272" s="1"/>
      <c r="AF272" s="1" t="s">
        <v>65</v>
      </c>
      <c r="AG272" s="1"/>
      <c r="AH272" s="7" t="s">
        <v>2689</v>
      </c>
      <c r="AI272" s="1"/>
      <c r="AJ272" s="1"/>
      <c r="AK272" s="1"/>
      <c r="AL272" s="1"/>
      <c r="AM272" s="1"/>
      <c r="AN272" s="1"/>
    </row>
    <row r="273" hidden="1">
      <c r="A273" s="1" t="s">
        <v>5904</v>
      </c>
      <c r="B273" s="1" t="s">
        <v>5905</v>
      </c>
      <c r="C273" s="4">
        <v>45817.74659722222</v>
      </c>
      <c r="D273" s="5">
        <v>1.749491706E9</v>
      </c>
      <c r="E273" s="7" t="s">
        <v>5906</v>
      </c>
      <c r="F273" s="1" t="s">
        <v>5909</v>
      </c>
      <c r="G273" s="1" t="s">
        <v>5910</v>
      </c>
      <c r="H273" s="1" t="s">
        <v>5911</v>
      </c>
      <c r="I273" s="1" t="s">
        <v>5912</v>
      </c>
      <c r="J273" s="7" t="s">
        <v>5913</v>
      </c>
      <c r="K273" s="7" t="s">
        <v>5914</v>
      </c>
      <c r="L273" s="9" t="b">
        <v>0</v>
      </c>
      <c r="M273" s="1" t="s">
        <v>67</v>
      </c>
      <c r="N273" s="1" t="s">
        <v>68</v>
      </c>
      <c r="O273" s="1" t="s">
        <v>65</v>
      </c>
      <c r="P273" s="5">
        <v>0.0</v>
      </c>
      <c r="Q273" s="5">
        <v>0.0</v>
      </c>
      <c r="R273" s="5">
        <v>3.0</v>
      </c>
      <c r="S273" s="5">
        <v>0.0</v>
      </c>
      <c r="T273" s="5">
        <v>30.0</v>
      </c>
      <c r="U273" s="1" t="s">
        <v>65</v>
      </c>
      <c r="V273" s="1"/>
      <c r="W273" s="1" t="s">
        <v>65</v>
      </c>
      <c r="X273" s="1"/>
      <c r="Y273" s="1"/>
      <c r="Z273" s="1"/>
      <c r="AA273" s="1"/>
      <c r="AB273" s="1"/>
      <c r="AC273" s="1" t="s">
        <v>65</v>
      </c>
      <c r="AD273" s="1" t="s">
        <v>71</v>
      </c>
      <c r="AE273" s="1" t="s">
        <v>5910</v>
      </c>
      <c r="AF273" s="1" t="s">
        <v>65</v>
      </c>
      <c r="AG273" s="1"/>
      <c r="AH273" s="1"/>
      <c r="AI273" s="1"/>
      <c r="AJ273" s="1"/>
      <c r="AK273" s="1"/>
      <c r="AL273" s="1"/>
      <c r="AM273" s="1"/>
      <c r="AN273" s="1"/>
    </row>
    <row r="274" hidden="1">
      <c r="A274" s="1" t="s">
        <v>5916</v>
      </c>
      <c r="B274" s="1" t="s">
        <v>5916</v>
      </c>
      <c r="C274" s="4">
        <v>45817.06829861111</v>
      </c>
      <c r="D274" s="5">
        <v>1.749433101E9</v>
      </c>
      <c r="E274" s="7" t="s">
        <v>5917</v>
      </c>
      <c r="F274" s="1" t="s">
        <v>5920</v>
      </c>
      <c r="G274" s="1" t="s">
        <v>5921</v>
      </c>
      <c r="H274" s="1" t="s">
        <v>5922</v>
      </c>
      <c r="I274" s="1" t="s">
        <v>5923</v>
      </c>
      <c r="J274" s="7" t="s">
        <v>5924</v>
      </c>
      <c r="K274" s="7" t="s">
        <v>5927</v>
      </c>
      <c r="L274" s="9" t="b">
        <v>0</v>
      </c>
      <c r="M274" s="1" t="s">
        <v>67</v>
      </c>
      <c r="N274" s="1" t="s">
        <v>68</v>
      </c>
      <c r="O274" s="1" t="s">
        <v>65</v>
      </c>
      <c r="P274" s="5">
        <v>0.0</v>
      </c>
      <c r="Q274" s="5">
        <v>0.0</v>
      </c>
      <c r="R274" s="5">
        <v>0.0</v>
      </c>
      <c r="S274" s="5">
        <v>0.0</v>
      </c>
      <c r="T274" s="5">
        <v>91.0</v>
      </c>
      <c r="U274" s="1" t="s">
        <v>65</v>
      </c>
      <c r="V274" s="1"/>
      <c r="W274" s="1" t="s">
        <v>65</v>
      </c>
      <c r="X274" s="1"/>
      <c r="Y274" s="1"/>
      <c r="Z274" s="1"/>
      <c r="AA274" s="1"/>
      <c r="AB274" s="1"/>
      <c r="AC274" s="1" t="s">
        <v>65</v>
      </c>
      <c r="AD274" s="1" t="s">
        <v>65</v>
      </c>
      <c r="AE274" s="1"/>
      <c r="AF274" s="1" t="s">
        <v>65</v>
      </c>
      <c r="AG274" s="1"/>
      <c r="AH274" s="1"/>
      <c r="AI274" s="1"/>
      <c r="AJ274" s="1"/>
      <c r="AK274" s="1"/>
      <c r="AL274" s="1"/>
      <c r="AM274" s="1"/>
      <c r="AN274" s="1"/>
    </row>
    <row r="275">
      <c r="A275" s="1" t="s">
        <v>1652</v>
      </c>
      <c r="B275" s="1" t="s">
        <v>1652</v>
      </c>
      <c r="C275" s="4">
        <v>45816.78623842593</v>
      </c>
      <c r="D275" s="5">
        <v>1.749408731E9</v>
      </c>
      <c r="E275" s="7" t="s">
        <v>1653</v>
      </c>
      <c r="F275" s="1" t="s">
        <v>1654</v>
      </c>
      <c r="G275" s="1" t="s">
        <v>864</v>
      </c>
      <c r="H275" s="1" t="s">
        <v>865</v>
      </c>
      <c r="I275" s="5">
        <v>2.825615947E9</v>
      </c>
      <c r="J275" s="7" t="s">
        <v>866</v>
      </c>
      <c r="K275" s="7" t="s">
        <v>870</v>
      </c>
      <c r="L275" s="9" t="b">
        <v>1</v>
      </c>
      <c r="M275" s="1" t="s">
        <v>66</v>
      </c>
      <c r="N275" s="1" t="s">
        <v>64</v>
      </c>
      <c r="O275" s="1" t="s">
        <v>65</v>
      </c>
      <c r="P275" s="5">
        <v>1.0</v>
      </c>
      <c r="Q275" s="5">
        <v>0.0</v>
      </c>
      <c r="R275" s="5">
        <v>7.0</v>
      </c>
      <c r="S275" s="5">
        <v>0.0</v>
      </c>
      <c r="T275" s="5">
        <v>378.0</v>
      </c>
      <c r="U275" s="1" t="s">
        <v>65</v>
      </c>
      <c r="V275" s="1"/>
      <c r="W275" s="1" t="s">
        <v>65</v>
      </c>
      <c r="X275" s="1"/>
      <c r="Y275" s="1"/>
      <c r="Z275" s="1"/>
      <c r="AA275" s="1"/>
      <c r="AB275" s="1"/>
      <c r="AC275" s="1" t="s">
        <v>65</v>
      </c>
      <c r="AD275" s="1" t="s">
        <v>65</v>
      </c>
      <c r="AE275" s="1"/>
      <c r="AF275" s="1" t="s">
        <v>65</v>
      </c>
      <c r="AG275" s="1"/>
      <c r="AH275" s="7" t="s">
        <v>1658</v>
      </c>
      <c r="AI275" s="1"/>
      <c r="AJ275" s="1"/>
      <c r="AK275" s="1" t="s">
        <v>1054</v>
      </c>
      <c r="AL275" s="1"/>
      <c r="AM275" s="1"/>
      <c r="AN275" s="1"/>
    </row>
    <row r="276">
      <c r="A276" s="1" t="s">
        <v>3923</v>
      </c>
      <c r="B276" s="1" t="s">
        <v>3923</v>
      </c>
      <c r="C276" s="4">
        <v>45816.34799768519</v>
      </c>
      <c r="D276" s="5">
        <v>1.749370867E9</v>
      </c>
      <c r="E276" s="7" t="s">
        <v>3924</v>
      </c>
      <c r="F276" s="1" t="s">
        <v>3927</v>
      </c>
      <c r="G276" s="1" t="s">
        <v>3928</v>
      </c>
      <c r="H276" s="1" t="s">
        <v>3929</v>
      </c>
      <c r="I276" s="5">
        <v>6.01113942E8</v>
      </c>
      <c r="J276" s="7" t="s">
        <v>3930</v>
      </c>
      <c r="K276" s="7" t="s">
        <v>3933</v>
      </c>
      <c r="L276" s="9" t="b">
        <v>1</v>
      </c>
      <c r="M276" s="1" t="s">
        <v>967</v>
      </c>
      <c r="N276" s="1" t="s">
        <v>64</v>
      </c>
      <c r="O276" s="1" t="s">
        <v>65</v>
      </c>
      <c r="P276" s="5">
        <v>1.0</v>
      </c>
      <c r="Q276" s="5">
        <v>0.0</v>
      </c>
      <c r="R276" s="5">
        <v>1.0</v>
      </c>
      <c r="S276" s="5">
        <v>0.0</v>
      </c>
      <c r="T276" s="5">
        <v>320.0</v>
      </c>
      <c r="U276" s="1" t="s">
        <v>65</v>
      </c>
      <c r="V276" s="1"/>
      <c r="W276" s="1" t="s">
        <v>65</v>
      </c>
      <c r="X276" s="1"/>
      <c r="Y276" s="1"/>
      <c r="Z276" s="1"/>
      <c r="AA276" s="1"/>
      <c r="AB276" s="1"/>
      <c r="AC276" s="1" t="s">
        <v>65</v>
      </c>
      <c r="AD276" s="1" t="s">
        <v>65</v>
      </c>
      <c r="AE276" s="1"/>
      <c r="AF276" s="1" t="s">
        <v>65</v>
      </c>
      <c r="AG276" s="1"/>
      <c r="AH276" s="1"/>
      <c r="AI276" s="7" t="s">
        <v>3942</v>
      </c>
      <c r="AJ276" s="1"/>
      <c r="AK276" s="1"/>
      <c r="AL276" s="1"/>
      <c r="AM276" s="1"/>
      <c r="AN276" s="1"/>
    </row>
    <row r="277">
      <c r="A277" s="1" t="s">
        <v>176</v>
      </c>
      <c r="B277" s="1" t="s">
        <v>176</v>
      </c>
      <c r="C277" s="4">
        <v>45815.72741898148</v>
      </c>
      <c r="D277" s="5">
        <v>1.749317249E9</v>
      </c>
      <c r="E277" s="7" t="s">
        <v>177</v>
      </c>
      <c r="F277" s="1" t="s">
        <v>184</v>
      </c>
      <c r="G277" s="1" t="s">
        <v>158</v>
      </c>
      <c r="H277" s="1" t="s">
        <v>159</v>
      </c>
      <c r="I277" s="5">
        <v>2.36621586E8</v>
      </c>
      <c r="J277" s="7" t="s">
        <v>160</v>
      </c>
      <c r="K277" s="7" t="s">
        <v>162</v>
      </c>
      <c r="L277" s="9" t="b">
        <v>0</v>
      </c>
      <c r="M277" s="1" t="s">
        <v>66</v>
      </c>
      <c r="N277" s="1" t="s">
        <v>64</v>
      </c>
      <c r="O277" s="1" t="s">
        <v>65</v>
      </c>
      <c r="P277" s="5">
        <v>42.0</v>
      </c>
      <c r="Q277" s="5">
        <v>4.0</v>
      </c>
      <c r="R277" s="5">
        <v>185.0</v>
      </c>
      <c r="S277" s="5">
        <v>3.0</v>
      </c>
      <c r="T277" s="5">
        <v>5151.0</v>
      </c>
      <c r="U277" s="1" t="s">
        <v>65</v>
      </c>
      <c r="V277" s="1"/>
      <c r="W277" s="1" t="s">
        <v>65</v>
      </c>
      <c r="X277" s="1"/>
      <c r="Y277" s="1"/>
      <c r="Z277" s="1"/>
      <c r="AA277" s="1"/>
      <c r="AB277" s="1"/>
      <c r="AC277" s="1" t="s">
        <v>65</v>
      </c>
      <c r="AD277" s="1" t="s">
        <v>65</v>
      </c>
      <c r="AE277" s="1"/>
      <c r="AF277" s="1" t="s">
        <v>65</v>
      </c>
      <c r="AG277" s="1"/>
      <c r="AH277" s="1"/>
      <c r="AI277" s="7" t="s">
        <v>189</v>
      </c>
      <c r="AJ277" s="1"/>
      <c r="AK277" s="1"/>
      <c r="AL277" s="1"/>
      <c r="AM277" s="1"/>
      <c r="AN277" s="1"/>
    </row>
    <row r="278" hidden="1">
      <c r="A278" s="1" t="s">
        <v>5976</v>
      </c>
      <c r="B278" s="1" t="s">
        <v>5977</v>
      </c>
      <c r="C278" s="4">
        <v>45813.14527777778</v>
      </c>
      <c r="D278" s="5">
        <v>1.749094152E9</v>
      </c>
      <c r="E278" s="7" t="s">
        <v>5979</v>
      </c>
      <c r="F278" s="1" t="s">
        <v>5990</v>
      </c>
      <c r="G278" s="1" t="s">
        <v>5991</v>
      </c>
      <c r="H278" s="1" t="s">
        <v>5992</v>
      </c>
      <c r="I278" s="1" t="s">
        <v>5993</v>
      </c>
      <c r="J278" s="7" t="s">
        <v>5994</v>
      </c>
      <c r="K278" s="7" t="s">
        <v>5997</v>
      </c>
      <c r="L278" s="9" t="b">
        <v>0</v>
      </c>
      <c r="M278" s="1" t="s">
        <v>67</v>
      </c>
      <c r="N278" s="1" t="s">
        <v>68</v>
      </c>
      <c r="O278" s="1" t="s">
        <v>65</v>
      </c>
      <c r="P278" s="5">
        <v>0.0</v>
      </c>
      <c r="Q278" s="5">
        <v>0.0</v>
      </c>
      <c r="R278" s="5">
        <v>1.0</v>
      </c>
      <c r="S278" s="5">
        <v>0.0</v>
      </c>
      <c r="T278" s="5">
        <v>102.0</v>
      </c>
      <c r="U278" s="1" t="s">
        <v>65</v>
      </c>
      <c r="V278" s="1"/>
      <c r="W278" s="1" t="s">
        <v>65</v>
      </c>
      <c r="X278" s="1"/>
      <c r="Y278" s="1"/>
      <c r="Z278" s="1"/>
      <c r="AA278" s="1"/>
      <c r="AB278" s="1"/>
      <c r="AC278" s="1" t="s">
        <v>65</v>
      </c>
      <c r="AD278" s="1" t="s">
        <v>71</v>
      </c>
      <c r="AE278" s="1" t="s">
        <v>6002</v>
      </c>
      <c r="AF278" s="1" t="s">
        <v>65</v>
      </c>
      <c r="AG278" s="1"/>
      <c r="AH278" s="1"/>
      <c r="AI278" s="1"/>
      <c r="AJ278" s="1"/>
      <c r="AK278" s="1" t="s">
        <v>6003</v>
      </c>
      <c r="AL278" s="1"/>
      <c r="AM278" s="1"/>
      <c r="AN278" s="1"/>
    </row>
    <row r="279" hidden="1">
      <c r="A279" s="1" t="s">
        <v>3753</v>
      </c>
      <c r="B279" s="1" t="s">
        <v>3753</v>
      </c>
      <c r="C279" s="4">
        <v>45812.757418981484</v>
      </c>
      <c r="D279" s="5">
        <v>1.749060641E9</v>
      </c>
      <c r="E279" s="7" t="s">
        <v>3755</v>
      </c>
      <c r="F279" s="1" t="s">
        <v>3758</v>
      </c>
      <c r="G279" s="1" t="s">
        <v>3759</v>
      </c>
      <c r="H279" s="1" t="s">
        <v>3760</v>
      </c>
      <c r="I279" s="5">
        <v>2.20106733E8</v>
      </c>
      <c r="J279" s="7" t="s">
        <v>6007</v>
      </c>
      <c r="K279" s="7" t="s">
        <v>6010</v>
      </c>
      <c r="L279" s="9" t="b">
        <v>0</v>
      </c>
      <c r="M279" s="1" t="s">
        <v>67</v>
      </c>
      <c r="N279" s="1" t="s">
        <v>68</v>
      </c>
      <c r="O279" s="1" t="s">
        <v>65</v>
      </c>
      <c r="P279" s="5">
        <v>0.0</v>
      </c>
      <c r="Q279" s="5">
        <v>0.0</v>
      </c>
      <c r="R279" s="5">
        <v>0.0</v>
      </c>
      <c r="S279" s="5">
        <v>0.0</v>
      </c>
      <c r="T279" s="5">
        <v>39.0</v>
      </c>
      <c r="U279" s="1" t="s">
        <v>65</v>
      </c>
      <c r="V279" s="1"/>
      <c r="W279" s="1" t="s">
        <v>65</v>
      </c>
      <c r="X279" s="1"/>
      <c r="Y279" s="1"/>
      <c r="Z279" s="1"/>
      <c r="AA279" s="1"/>
      <c r="AB279" s="1"/>
      <c r="AC279" s="1" t="s">
        <v>65</v>
      </c>
      <c r="AD279" s="1" t="s">
        <v>65</v>
      </c>
      <c r="AE279" s="1"/>
      <c r="AF279" s="1" t="s">
        <v>65</v>
      </c>
      <c r="AG279" s="1" t="s">
        <v>3772</v>
      </c>
      <c r="AH279" s="1"/>
      <c r="AI279" s="7" t="s">
        <v>3774</v>
      </c>
      <c r="AJ279" s="7" t="s">
        <v>3779</v>
      </c>
      <c r="AK279" s="1"/>
      <c r="AL279" s="1"/>
      <c r="AM279" s="1"/>
      <c r="AN279" s="1"/>
    </row>
    <row r="280">
      <c r="A280" s="1" t="s">
        <v>6025</v>
      </c>
      <c r="B280" s="1" t="s">
        <v>6025</v>
      </c>
      <c r="C280" s="4">
        <v>45812.66811342593</v>
      </c>
      <c r="D280" s="5">
        <v>1.749052925E9</v>
      </c>
      <c r="E280" s="7" t="s">
        <v>6029</v>
      </c>
      <c r="F280" s="1" t="s">
        <v>6032</v>
      </c>
      <c r="G280" s="1" t="s">
        <v>219</v>
      </c>
      <c r="H280" s="1" t="s">
        <v>221</v>
      </c>
      <c r="I280" s="1" t="s">
        <v>222</v>
      </c>
      <c r="J280" s="7" t="s">
        <v>223</v>
      </c>
      <c r="K280" s="7" t="s">
        <v>226</v>
      </c>
      <c r="L280" s="9" t="b">
        <v>0</v>
      </c>
      <c r="M280" s="1" t="s">
        <v>66</v>
      </c>
      <c r="N280" s="1" t="s">
        <v>64</v>
      </c>
      <c r="O280" s="1" t="s">
        <v>65</v>
      </c>
      <c r="P280" s="5">
        <v>1.0</v>
      </c>
      <c r="Q280" s="5">
        <v>0.0</v>
      </c>
      <c r="R280" s="5">
        <v>1.0</v>
      </c>
      <c r="S280" s="5">
        <v>0.0</v>
      </c>
      <c r="T280" s="5">
        <v>35.0</v>
      </c>
      <c r="U280" s="1" t="s">
        <v>65</v>
      </c>
      <c r="V280" s="1"/>
      <c r="W280" s="1" t="s">
        <v>65</v>
      </c>
      <c r="X280" s="1"/>
      <c r="Y280" s="1"/>
      <c r="Z280" s="1"/>
      <c r="AA280" s="1"/>
      <c r="AB280" s="1"/>
      <c r="AC280" s="1" t="s">
        <v>65</v>
      </c>
      <c r="AD280" s="1" t="s">
        <v>65</v>
      </c>
      <c r="AE280" s="1"/>
      <c r="AF280" s="1" t="s">
        <v>65</v>
      </c>
      <c r="AG280" s="1" t="s">
        <v>6035</v>
      </c>
      <c r="AH280" s="1"/>
      <c r="AI280" s="7" t="s">
        <v>6037</v>
      </c>
      <c r="AJ280" s="7" t="s">
        <v>6045</v>
      </c>
      <c r="AK280" s="1"/>
      <c r="AL280" s="1"/>
      <c r="AM280" s="1"/>
      <c r="AN280" s="1"/>
    </row>
    <row r="281" hidden="1">
      <c r="A281" s="1" t="s">
        <v>4176</v>
      </c>
      <c r="B281" s="1" t="s">
        <v>4176</v>
      </c>
      <c r="C281" s="4">
        <v>45812.604317129626</v>
      </c>
      <c r="D281" s="5">
        <v>1.749047413E9</v>
      </c>
      <c r="E281" s="7" t="s">
        <v>4177</v>
      </c>
      <c r="F281" s="1" t="s">
        <v>4182</v>
      </c>
      <c r="G281" s="1" t="s">
        <v>4183</v>
      </c>
      <c r="H281" s="1" t="s">
        <v>6051</v>
      </c>
      <c r="I281" s="5">
        <v>1.64058065E8</v>
      </c>
      <c r="J281" s="7" t="s">
        <v>4185</v>
      </c>
      <c r="K281" s="7" t="s">
        <v>4194</v>
      </c>
      <c r="L281" s="9" t="b">
        <v>0</v>
      </c>
      <c r="M281" s="1" t="s">
        <v>85</v>
      </c>
      <c r="N281" s="1" t="s">
        <v>68</v>
      </c>
      <c r="O281" s="1" t="s">
        <v>65</v>
      </c>
      <c r="P281" s="5">
        <v>0.0</v>
      </c>
      <c r="Q281" s="5">
        <v>0.0</v>
      </c>
      <c r="R281" s="5">
        <v>0.0</v>
      </c>
      <c r="S281" s="5">
        <v>0.0</v>
      </c>
      <c r="T281" s="5">
        <v>235.0</v>
      </c>
      <c r="U281" s="1" t="s">
        <v>65</v>
      </c>
      <c r="V281" s="1"/>
      <c r="W281" s="1" t="s">
        <v>71</v>
      </c>
      <c r="X281" s="1" t="s">
        <v>4196</v>
      </c>
      <c r="Y281" s="1" t="s">
        <v>4197</v>
      </c>
      <c r="Z281" s="1" t="s">
        <v>4199</v>
      </c>
      <c r="AA281" s="1"/>
      <c r="AB281" s="1"/>
      <c r="AC281" s="1" t="s">
        <v>65</v>
      </c>
      <c r="AD281" s="1" t="s">
        <v>65</v>
      </c>
      <c r="AE281" s="1"/>
      <c r="AF281" s="1" t="s">
        <v>65</v>
      </c>
      <c r="AG281" s="1"/>
      <c r="AH281" s="1"/>
      <c r="AI281" s="1"/>
      <c r="AJ281" s="1"/>
      <c r="AK281" s="1"/>
      <c r="AL281" s="1"/>
      <c r="AM281" s="1"/>
      <c r="AN281" s="1"/>
    </row>
    <row r="282" hidden="1">
      <c r="A282" s="1" t="s">
        <v>6063</v>
      </c>
      <c r="B282" s="1" t="s">
        <v>6063</v>
      </c>
      <c r="C282" s="4">
        <v>45812.551400462966</v>
      </c>
      <c r="D282" s="5">
        <v>1.749042841E9</v>
      </c>
      <c r="E282" s="7" t="s">
        <v>6064</v>
      </c>
      <c r="F282" s="1" t="s">
        <v>6068</v>
      </c>
      <c r="G282" s="1" t="s">
        <v>6070</v>
      </c>
      <c r="H282" s="1" t="s">
        <v>6071</v>
      </c>
      <c r="I282" s="1" t="s">
        <v>6072</v>
      </c>
      <c r="J282" s="7" t="s">
        <v>6074</v>
      </c>
      <c r="K282" s="7" t="s">
        <v>6080</v>
      </c>
      <c r="L282" s="9" t="b">
        <v>0</v>
      </c>
      <c r="M282" s="1" t="s">
        <v>67</v>
      </c>
      <c r="N282" s="1" t="s">
        <v>68</v>
      </c>
      <c r="O282" s="1" t="s">
        <v>65</v>
      </c>
      <c r="P282" s="5">
        <v>1.0</v>
      </c>
      <c r="Q282" s="5">
        <v>0.0</v>
      </c>
      <c r="R282" s="5">
        <v>2.0</v>
      </c>
      <c r="S282" s="5">
        <v>1.0</v>
      </c>
      <c r="T282" s="5">
        <v>44.0</v>
      </c>
      <c r="U282" s="1" t="s">
        <v>65</v>
      </c>
      <c r="V282" s="1"/>
      <c r="W282" s="1" t="s">
        <v>65</v>
      </c>
      <c r="X282" s="1"/>
      <c r="Y282" s="1"/>
      <c r="Z282" s="1"/>
      <c r="AA282" s="1"/>
      <c r="AB282" s="1"/>
      <c r="AC282" s="1" t="s">
        <v>65</v>
      </c>
      <c r="AD282" s="1" t="s">
        <v>65</v>
      </c>
      <c r="AE282" s="1"/>
      <c r="AF282" s="1" t="s">
        <v>65</v>
      </c>
      <c r="AG282" s="1"/>
      <c r="AH282" s="1"/>
      <c r="AI282" s="7" t="s">
        <v>6091</v>
      </c>
      <c r="AJ282" s="1"/>
      <c r="AK282" s="1"/>
      <c r="AL282" s="1"/>
      <c r="AM282" s="1"/>
      <c r="AN282" s="1"/>
    </row>
    <row r="283">
      <c r="A283" s="1" t="s">
        <v>6096</v>
      </c>
      <c r="B283" s="1" t="s">
        <v>6097</v>
      </c>
      <c r="C283" s="4">
        <v>45812.52861111111</v>
      </c>
      <c r="D283" s="5">
        <v>1.749040872E9</v>
      </c>
      <c r="E283" s="7" t="s">
        <v>6099</v>
      </c>
      <c r="F283" s="1" t="s">
        <v>6101</v>
      </c>
      <c r="G283" s="1" t="s">
        <v>6102</v>
      </c>
      <c r="H283" s="1" t="s">
        <v>6103</v>
      </c>
      <c r="I283" s="5">
        <v>4.606934056E9</v>
      </c>
      <c r="J283" s="7" t="s">
        <v>6105</v>
      </c>
      <c r="K283" s="7" t="s">
        <v>6109</v>
      </c>
      <c r="L283" s="9" t="b">
        <v>0</v>
      </c>
      <c r="M283" s="1" t="s">
        <v>67</v>
      </c>
      <c r="N283" s="1" t="s">
        <v>64</v>
      </c>
      <c r="O283" s="1" t="s">
        <v>65</v>
      </c>
      <c r="P283" s="5">
        <v>0.0</v>
      </c>
      <c r="Q283" s="5">
        <v>0.0</v>
      </c>
      <c r="R283" s="5">
        <v>0.0</v>
      </c>
      <c r="S283" s="5">
        <v>0.0</v>
      </c>
      <c r="T283" s="5">
        <v>8.0</v>
      </c>
      <c r="U283" s="1" t="s">
        <v>65</v>
      </c>
      <c r="V283" s="1"/>
      <c r="W283" s="1" t="s">
        <v>65</v>
      </c>
      <c r="X283" s="1"/>
      <c r="Y283" s="1"/>
      <c r="Z283" s="1"/>
      <c r="AA283" s="1"/>
      <c r="AB283" s="1"/>
      <c r="AC283" s="1" t="s">
        <v>65</v>
      </c>
      <c r="AD283" s="1" t="s">
        <v>71</v>
      </c>
      <c r="AE283" s="1" t="s">
        <v>6117</v>
      </c>
      <c r="AF283" s="1" t="s">
        <v>65</v>
      </c>
      <c r="AG283" s="1"/>
      <c r="AH283" s="1"/>
      <c r="AI283" s="1"/>
      <c r="AJ283" s="1"/>
      <c r="AK283" s="1" t="s">
        <v>6118</v>
      </c>
      <c r="AL283" s="1" t="s">
        <v>6120</v>
      </c>
      <c r="AM283" s="1" t="s">
        <v>6121</v>
      </c>
      <c r="AN283" s="1"/>
    </row>
    <row r="284">
      <c r="A284" s="1" t="s">
        <v>1633</v>
      </c>
      <c r="B284" s="1" t="s">
        <v>1633</v>
      </c>
      <c r="C284" s="4">
        <v>45812.23013888889</v>
      </c>
      <c r="D284" s="5">
        <v>1.749015084E9</v>
      </c>
      <c r="E284" s="7" t="s">
        <v>1635</v>
      </c>
      <c r="F284" s="1" t="s">
        <v>1637</v>
      </c>
      <c r="G284" s="1" t="s">
        <v>864</v>
      </c>
      <c r="H284" s="1" t="s">
        <v>865</v>
      </c>
      <c r="I284" s="5">
        <v>2.825615947E9</v>
      </c>
      <c r="J284" s="7" t="s">
        <v>866</v>
      </c>
      <c r="K284" s="7" t="s">
        <v>870</v>
      </c>
      <c r="L284" s="9" t="b">
        <v>1</v>
      </c>
      <c r="M284" s="1" t="s">
        <v>66</v>
      </c>
      <c r="N284" s="1" t="s">
        <v>64</v>
      </c>
      <c r="O284" s="1" t="s">
        <v>65</v>
      </c>
      <c r="P284" s="5">
        <v>2.0</v>
      </c>
      <c r="Q284" s="5">
        <v>0.0</v>
      </c>
      <c r="R284" s="5">
        <v>5.0</v>
      </c>
      <c r="S284" s="5">
        <v>0.0</v>
      </c>
      <c r="T284" s="5">
        <v>228.0</v>
      </c>
      <c r="U284" s="1" t="s">
        <v>65</v>
      </c>
      <c r="V284" s="1"/>
      <c r="W284" s="1" t="s">
        <v>65</v>
      </c>
      <c r="X284" s="1"/>
      <c r="Y284" s="1"/>
      <c r="Z284" s="1"/>
      <c r="AA284" s="1"/>
      <c r="AB284" s="1"/>
      <c r="AC284" s="1" t="s">
        <v>65</v>
      </c>
      <c r="AD284" s="1" t="s">
        <v>65</v>
      </c>
      <c r="AE284" s="1"/>
      <c r="AF284" s="1" t="s">
        <v>65</v>
      </c>
      <c r="AG284" s="1" t="s">
        <v>880</v>
      </c>
      <c r="AH284" s="1"/>
      <c r="AI284" s="7" t="s">
        <v>1644</v>
      </c>
      <c r="AJ284" s="7" t="s">
        <v>1650</v>
      </c>
      <c r="AK284" s="1"/>
      <c r="AL284" s="1"/>
      <c r="AM284" s="1"/>
      <c r="AN284" s="1"/>
    </row>
    <row r="285">
      <c r="A285" s="1" t="s">
        <v>1690</v>
      </c>
      <c r="B285" s="1" t="s">
        <v>1690</v>
      </c>
      <c r="C285" s="4">
        <v>45812.19394675926</v>
      </c>
      <c r="D285" s="5">
        <v>1.749011957E9</v>
      </c>
      <c r="E285" s="7" t="s">
        <v>1693</v>
      </c>
      <c r="F285" s="1" t="s">
        <v>1694</v>
      </c>
      <c r="G285" s="1" t="s">
        <v>864</v>
      </c>
      <c r="H285" s="1" t="s">
        <v>865</v>
      </c>
      <c r="I285" s="5">
        <v>2.825615947E9</v>
      </c>
      <c r="J285" s="7" t="s">
        <v>866</v>
      </c>
      <c r="K285" s="7" t="s">
        <v>870</v>
      </c>
      <c r="L285" s="9" t="b">
        <v>1</v>
      </c>
      <c r="M285" s="1" t="s">
        <v>66</v>
      </c>
      <c r="N285" s="1" t="s">
        <v>64</v>
      </c>
      <c r="O285" s="1" t="s">
        <v>65</v>
      </c>
      <c r="P285" s="5">
        <v>0.0</v>
      </c>
      <c r="Q285" s="5">
        <v>0.0</v>
      </c>
      <c r="R285" s="5">
        <v>3.0</v>
      </c>
      <c r="S285" s="5">
        <v>0.0</v>
      </c>
      <c r="T285" s="5">
        <v>361.0</v>
      </c>
      <c r="U285" s="1" t="s">
        <v>65</v>
      </c>
      <c r="V285" s="1"/>
      <c r="W285" s="1" t="s">
        <v>65</v>
      </c>
      <c r="X285" s="1"/>
      <c r="Y285" s="1"/>
      <c r="Z285" s="1"/>
      <c r="AA285" s="1"/>
      <c r="AB285" s="1"/>
      <c r="AC285" s="1" t="s">
        <v>65</v>
      </c>
      <c r="AD285" s="1" t="s">
        <v>65</v>
      </c>
      <c r="AE285" s="1"/>
      <c r="AF285" s="1" t="s">
        <v>65</v>
      </c>
      <c r="AG285" s="1" t="s">
        <v>880</v>
      </c>
      <c r="AH285" s="1"/>
      <c r="AI285" s="7" t="s">
        <v>1696</v>
      </c>
      <c r="AJ285" s="7" t="s">
        <v>1699</v>
      </c>
      <c r="AK285" s="1"/>
      <c r="AL285" s="1"/>
      <c r="AM285" s="1"/>
      <c r="AN285" s="1"/>
    </row>
    <row r="286">
      <c r="A286" s="1" t="s">
        <v>6154</v>
      </c>
      <c r="B286" s="1" t="s">
        <v>6154</v>
      </c>
      <c r="C286" s="4">
        <v>45811.77658564815</v>
      </c>
      <c r="D286" s="5">
        <v>1.748975897E9</v>
      </c>
      <c r="E286" s="7" t="s">
        <v>6155</v>
      </c>
      <c r="F286" s="1" t="s">
        <v>6160</v>
      </c>
      <c r="G286" s="1" t="s">
        <v>219</v>
      </c>
      <c r="H286" s="1" t="s">
        <v>221</v>
      </c>
      <c r="I286" s="1" t="s">
        <v>222</v>
      </c>
      <c r="J286" s="7" t="s">
        <v>223</v>
      </c>
      <c r="K286" s="7" t="s">
        <v>226</v>
      </c>
      <c r="L286" s="9" t="b">
        <v>0</v>
      </c>
      <c r="M286" s="1" t="s">
        <v>66</v>
      </c>
      <c r="N286" s="1" t="s">
        <v>64</v>
      </c>
      <c r="O286" s="1" t="s">
        <v>65</v>
      </c>
      <c r="P286" s="5">
        <v>1.0</v>
      </c>
      <c r="Q286" s="5">
        <v>0.0</v>
      </c>
      <c r="R286" s="5">
        <v>1.0</v>
      </c>
      <c r="S286" s="5">
        <v>0.0</v>
      </c>
      <c r="T286" s="5">
        <v>43.0</v>
      </c>
      <c r="U286" s="1" t="s">
        <v>65</v>
      </c>
      <c r="V286" s="1"/>
      <c r="W286" s="1" t="s">
        <v>65</v>
      </c>
      <c r="X286" s="1"/>
      <c r="Y286" s="1"/>
      <c r="Z286" s="1"/>
      <c r="AA286" s="1"/>
      <c r="AB286" s="1"/>
      <c r="AC286" s="1" t="s">
        <v>65</v>
      </c>
      <c r="AD286" s="1" t="s">
        <v>65</v>
      </c>
      <c r="AE286" s="1"/>
      <c r="AF286" s="1" t="s">
        <v>65</v>
      </c>
      <c r="AG286" s="1" t="s">
        <v>6173</v>
      </c>
      <c r="AH286" s="1"/>
      <c r="AI286" s="7" t="s">
        <v>6174</v>
      </c>
      <c r="AJ286" s="1"/>
      <c r="AK286" s="1"/>
      <c r="AL286" s="1"/>
      <c r="AM286" s="1"/>
      <c r="AN286" s="1"/>
    </row>
    <row r="287">
      <c r="A287" s="1" t="s">
        <v>6177</v>
      </c>
      <c r="B287" s="1" t="s">
        <v>6177</v>
      </c>
      <c r="C287" s="4">
        <v>45811.71638888889</v>
      </c>
      <c r="D287" s="5">
        <v>1.748970696E9</v>
      </c>
      <c r="E287" s="7" t="s">
        <v>6178</v>
      </c>
      <c r="F287" s="1" t="s">
        <v>6181</v>
      </c>
      <c r="G287" s="1" t="s">
        <v>6182</v>
      </c>
      <c r="H287" s="1" t="s">
        <v>6183</v>
      </c>
      <c r="I287" s="1" t="s">
        <v>6184</v>
      </c>
      <c r="J287" s="7" t="s">
        <v>6185</v>
      </c>
      <c r="K287" s="7" t="s">
        <v>6187</v>
      </c>
      <c r="L287" s="9" t="b">
        <v>0</v>
      </c>
      <c r="M287" s="1" t="s">
        <v>67</v>
      </c>
      <c r="N287" s="1" t="s">
        <v>64</v>
      </c>
      <c r="O287" s="1" t="s">
        <v>65</v>
      </c>
      <c r="P287" s="5">
        <v>0.0</v>
      </c>
      <c r="Q287" s="5">
        <v>0.0</v>
      </c>
      <c r="R287" s="5">
        <v>0.0</v>
      </c>
      <c r="S287" s="5">
        <v>0.0</v>
      </c>
      <c r="T287" s="5">
        <v>71.0</v>
      </c>
      <c r="U287" s="1" t="s">
        <v>65</v>
      </c>
      <c r="V287" s="1"/>
      <c r="W287" s="1" t="s">
        <v>65</v>
      </c>
      <c r="X287" s="1"/>
      <c r="Y287" s="1"/>
      <c r="Z287" s="1"/>
      <c r="AA287" s="1"/>
      <c r="AB287" s="1"/>
      <c r="AC287" s="1" t="s">
        <v>65</v>
      </c>
      <c r="AD287" s="1" t="s">
        <v>65</v>
      </c>
      <c r="AE287" s="1"/>
      <c r="AF287" s="1" t="s">
        <v>65</v>
      </c>
      <c r="AG287" s="1"/>
      <c r="AH287" s="1"/>
      <c r="AI287" s="1"/>
      <c r="AJ287" s="1"/>
      <c r="AK287" s="1"/>
      <c r="AL287" s="1"/>
      <c r="AM287" s="1"/>
      <c r="AN287" s="1"/>
    </row>
    <row r="288">
      <c r="A288" s="1" t="s">
        <v>6192</v>
      </c>
      <c r="B288" s="1" t="s">
        <v>6192</v>
      </c>
      <c r="C288" s="4">
        <v>45811.465902777774</v>
      </c>
      <c r="D288" s="5">
        <v>1.748949054E9</v>
      </c>
      <c r="E288" s="7" t="s">
        <v>6193</v>
      </c>
      <c r="F288" s="1" t="s">
        <v>6195</v>
      </c>
      <c r="G288" s="1" t="s">
        <v>6196</v>
      </c>
      <c r="H288" s="1" t="s">
        <v>6197</v>
      </c>
      <c r="I288" s="5">
        <v>1.70163596E9</v>
      </c>
      <c r="J288" s="7" t="s">
        <v>6198</v>
      </c>
      <c r="K288" s="7" t="s">
        <v>6201</v>
      </c>
      <c r="L288" s="9" t="b">
        <v>0</v>
      </c>
      <c r="M288" s="1" t="s">
        <v>66</v>
      </c>
      <c r="N288" s="1" t="s">
        <v>64</v>
      </c>
      <c r="O288" s="1" t="s">
        <v>65</v>
      </c>
      <c r="P288" s="5">
        <v>0.0</v>
      </c>
      <c r="Q288" s="5">
        <v>0.0</v>
      </c>
      <c r="R288" s="5">
        <v>0.0</v>
      </c>
      <c r="S288" s="5">
        <v>0.0</v>
      </c>
      <c r="T288" s="5">
        <v>41.0</v>
      </c>
      <c r="U288" s="1" t="s">
        <v>65</v>
      </c>
      <c r="V288" s="1"/>
      <c r="W288" s="1" t="s">
        <v>65</v>
      </c>
      <c r="X288" s="1"/>
      <c r="Y288" s="1"/>
      <c r="Z288" s="1"/>
      <c r="AA288" s="1"/>
      <c r="AB288" s="1"/>
      <c r="AC288" s="1" t="s">
        <v>65</v>
      </c>
      <c r="AD288" s="1" t="s">
        <v>65</v>
      </c>
      <c r="AE288" s="1"/>
      <c r="AF288" s="1" t="s">
        <v>65</v>
      </c>
      <c r="AG288" s="1"/>
      <c r="AH288" s="7" t="s">
        <v>6204</v>
      </c>
      <c r="AI288" s="7" t="s">
        <v>6209</v>
      </c>
      <c r="AJ288" s="1"/>
      <c r="AK288" s="1"/>
      <c r="AL288" s="1"/>
      <c r="AM288" s="1"/>
      <c r="AN288" s="1"/>
    </row>
    <row r="289" hidden="1">
      <c r="A289" s="1" t="s">
        <v>6211</v>
      </c>
      <c r="B289" s="1" t="s">
        <v>6212</v>
      </c>
      <c r="C289" s="4">
        <v>45810.856770833336</v>
      </c>
      <c r="D289" s="5">
        <v>1.748896425E9</v>
      </c>
      <c r="E289" s="7" t="s">
        <v>6213</v>
      </c>
      <c r="F289" s="1" t="s">
        <v>6218</v>
      </c>
      <c r="G289" s="1" t="s">
        <v>6219</v>
      </c>
      <c r="H289" s="1" t="s">
        <v>6220</v>
      </c>
      <c r="I289" s="5">
        <v>2.7331413E7</v>
      </c>
      <c r="J289" s="7" t="s">
        <v>6221</v>
      </c>
      <c r="K289" s="7" t="s">
        <v>6228</v>
      </c>
      <c r="L289" s="9" t="b">
        <v>0</v>
      </c>
      <c r="M289" s="1" t="s">
        <v>66</v>
      </c>
      <c r="N289" s="1" t="s">
        <v>68</v>
      </c>
      <c r="O289" s="1" t="s">
        <v>65</v>
      </c>
      <c r="P289" s="5">
        <v>0.0</v>
      </c>
      <c r="Q289" s="5">
        <v>1.0</v>
      </c>
      <c r="R289" s="5">
        <v>1.0</v>
      </c>
      <c r="S289" s="5">
        <v>0.0</v>
      </c>
      <c r="T289" s="5">
        <v>37.0</v>
      </c>
      <c r="U289" s="1" t="s">
        <v>65</v>
      </c>
      <c r="V289" s="1"/>
      <c r="W289" s="1" t="s">
        <v>65</v>
      </c>
      <c r="X289" s="1"/>
      <c r="Y289" s="1"/>
      <c r="Z289" s="1"/>
      <c r="AA289" s="1"/>
      <c r="AB289" s="1"/>
      <c r="AC289" s="1" t="s">
        <v>65</v>
      </c>
      <c r="AD289" s="1" t="s">
        <v>71</v>
      </c>
      <c r="AE289" s="1" t="s">
        <v>6236</v>
      </c>
      <c r="AF289" s="1" t="s">
        <v>65</v>
      </c>
      <c r="AG289" s="1"/>
      <c r="AH289" s="1"/>
      <c r="AI289" s="1"/>
      <c r="AJ289" s="1"/>
      <c r="AK289" s="1" t="s">
        <v>6236</v>
      </c>
      <c r="AL289" s="1"/>
      <c r="AM289" s="1"/>
      <c r="AN289" s="1"/>
    </row>
    <row r="290">
      <c r="A290" s="1" t="s">
        <v>6237</v>
      </c>
      <c r="B290" s="1" t="s">
        <v>6237</v>
      </c>
      <c r="C290" s="4">
        <v>45810.690520833334</v>
      </c>
      <c r="D290" s="5">
        <v>1.748882061E9</v>
      </c>
      <c r="E290" s="7" t="s">
        <v>6239</v>
      </c>
      <c r="F290" s="1" t="s">
        <v>6243</v>
      </c>
      <c r="G290" s="1" t="s">
        <v>219</v>
      </c>
      <c r="H290" s="1" t="s">
        <v>221</v>
      </c>
      <c r="I290" s="1" t="s">
        <v>222</v>
      </c>
      <c r="J290" s="7" t="s">
        <v>223</v>
      </c>
      <c r="K290" s="7" t="s">
        <v>226</v>
      </c>
      <c r="L290" s="9" t="b">
        <v>0</v>
      </c>
      <c r="M290" s="1" t="s">
        <v>66</v>
      </c>
      <c r="N290" s="1" t="s">
        <v>64</v>
      </c>
      <c r="O290" s="1" t="s">
        <v>65</v>
      </c>
      <c r="P290" s="5">
        <v>1.0</v>
      </c>
      <c r="Q290" s="5">
        <v>0.0</v>
      </c>
      <c r="R290" s="5">
        <v>1.0</v>
      </c>
      <c r="S290" s="5">
        <v>0.0</v>
      </c>
      <c r="T290" s="5">
        <v>52.0</v>
      </c>
      <c r="U290" s="1" t="s">
        <v>65</v>
      </c>
      <c r="V290" s="1"/>
      <c r="W290" s="1" t="s">
        <v>65</v>
      </c>
      <c r="X290" s="1"/>
      <c r="Y290" s="1"/>
      <c r="Z290" s="1"/>
      <c r="AA290" s="1"/>
      <c r="AB290" s="1"/>
      <c r="AC290" s="1" t="s">
        <v>65</v>
      </c>
      <c r="AD290" s="1" t="s">
        <v>65</v>
      </c>
      <c r="AE290" s="1"/>
      <c r="AF290" s="1" t="s">
        <v>65</v>
      </c>
      <c r="AG290" s="1" t="s">
        <v>6250</v>
      </c>
      <c r="AH290" s="1"/>
      <c r="AI290" s="7" t="s">
        <v>6251</v>
      </c>
      <c r="AJ290" s="7" t="s">
        <v>6253</v>
      </c>
      <c r="AK290" s="1"/>
      <c r="AL290" s="1"/>
      <c r="AM290" s="1"/>
      <c r="AN290" s="1"/>
    </row>
    <row r="291" hidden="1">
      <c r="A291" s="1" t="s">
        <v>6258</v>
      </c>
      <c r="B291" s="1" t="s">
        <v>6258</v>
      </c>
      <c r="C291" s="4">
        <v>45810.68494212963</v>
      </c>
      <c r="D291" s="5">
        <v>1.748881579E9</v>
      </c>
      <c r="E291" s="7" t="s">
        <v>6259</v>
      </c>
      <c r="F291" s="1" t="s">
        <v>6261</v>
      </c>
      <c r="G291" s="1" t="s">
        <v>6263</v>
      </c>
      <c r="H291" s="1" t="s">
        <v>6264</v>
      </c>
      <c r="I291" s="1" t="s">
        <v>6265</v>
      </c>
      <c r="J291" s="7" t="s">
        <v>6266</v>
      </c>
      <c r="K291" s="7" t="s">
        <v>6268</v>
      </c>
      <c r="L291" s="9" t="b">
        <v>0</v>
      </c>
      <c r="M291" s="1" t="s">
        <v>67</v>
      </c>
      <c r="N291" s="1" t="s">
        <v>68</v>
      </c>
      <c r="O291" s="1" t="s">
        <v>65</v>
      </c>
      <c r="P291" s="5">
        <v>0.0</v>
      </c>
      <c r="Q291" s="5">
        <v>0.0</v>
      </c>
      <c r="R291" s="5">
        <v>0.0</v>
      </c>
      <c r="S291" s="5">
        <v>0.0</v>
      </c>
      <c r="T291" s="5">
        <v>53.0</v>
      </c>
      <c r="U291" s="1" t="s">
        <v>65</v>
      </c>
      <c r="V291" s="1"/>
      <c r="W291" s="1" t="s">
        <v>65</v>
      </c>
      <c r="X291" s="1"/>
      <c r="Y291" s="1"/>
      <c r="Z291" s="1"/>
      <c r="AA291" s="1"/>
      <c r="AB291" s="1"/>
      <c r="AC291" s="1" t="s">
        <v>65</v>
      </c>
      <c r="AD291" s="1" t="s">
        <v>65</v>
      </c>
      <c r="AE291" s="1"/>
      <c r="AF291" s="1" t="s">
        <v>65</v>
      </c>
      <c r="AG291" s="1"/>
      <c r="AH291" s="1"/>
      <c r="AI291" s="1"/>
      <c r="AJ291" s="1"/>
      <c r="AK291" s="1"/>
      <c r="AL291" s="1"/>
      <c r="AM291" s="1"/>
      <c r="AN291" s="1"/>
    </row>
    <row r="292" hidden="1">
      <c r="A292" s="1" t="s">
        <v>6271</v>
      </c>
      <c r="B292" s="1" t="s">
        <v>6272</v>
      </c>
      <c r="C292" s="4">
        <v>45810.65925925926</v>
      </c>
      <c r="D292" s="5">
        <v>1.74887936E9</v>
      </c>
      <c r="E292" s="7" t="s">
        <v>6274</v>
      </c>
      <c r="F292" s="1" t="s">
        <v>6276</v>
      </c>
      <c r="G292" s="1" t="s">
        <v>6277</v>
      </c>
      <c r="H292" s="1" t="s">
        <v>6278</v>
      </c>
      <c r="I292" s="1" t="s">
        <v>6279</v>
      </c>
      <c r="J292" s="7" t="s">
        <v>6280</v>
      </c>
      <c r="K292" s="7" t="s">
        <v>6283</v>
      </c>
      <c r="L292" s="9" t="b">
        <v>0</v>
      </c>
      <c r="M292" s="1" t="s">
        <v>85</v>
      </c>
      <c r="N292" s="1" t="s">
        <v>68</v>
      </c>
      <c r="O292" s="1" t="s">
        <v>65</v>
      </c>
      <c r="P292" s="5">
        <v>0.0</v>
      </c>
      <c r="Q292" s="5">
        <v>0.0</v>
      </c>
      <c r="R292" s="5">
        <v>1.0</v>
      </c>
      <c r="S292" s="5">
        <v>0.0</v>
      </c>
      <c r="T292" s="5">
        <v>41.0</v>
      </c>
      <c r="U292" s="1" t="s">
        <v>65</v>
      </c>
      <c r="V292" s="1"/>
      <c r="W292" s="1" t="s">
        <v>65</v>
      </c>
      <c r="X292" s="1"/>
      <c r="Y292" s="1"/>
      <c r="Z292" s="1"/>
      <c r="AA292" s="1"/>
      <c r="AB292" s="1"/>
      <c r="AC292" s="1" t="s">
        <v>65</v>
      </c>
      <c r="AD292" s="1" t="s">
        <v>71</v>
      </c>
      <c r="AE292" s="1" t="s">
        <v>6277</v>
      </c>
      <c r="AF292" s="1" t="s">
        <v>65</v>
      </c>
      <c r="AG292" s="1"/>
      <c r="AH292" s="1"/>
      <c r="AI292" s="1"/>
      <c r="AJ292" s="1"/>
      <c r="AK292" s="1"/>
      <c r="AL292" s="1"/>
      <c r="AM292" s="1"/>
      <c r="AN292" s="1"/>
    </row>
    <row r="293" hidden="1">
      <c r="A293" s="1" t="s">
        <v>6286</v>
      </c>
      <c r="B293" s="1" t="s">
        <v>6286</v>
      </c>
      <c r="C293" s="4">
        <v>45810.63484953704</v>
      </c>
      <c r="D293" s="5">
        <v>1.748877251E9</v>
      </c>
      <c r="E293" s="7" t="s">
        <v>6287</v>
      </c>
      <c r="F293" s="1" t="s">
        <v>6293</v>
      </c>
      <c r="G293" s="1" t="s">
        <v>6294</v>
      </c>
      <c r="H293" s="1" t="s">
        <v>6295</v>
      </c>
      <c r="I293" s="1" t="s">
        <v>6296</v>
      </c>
      <c r="J293" s="7" t="s">
        <v>6297</v>
      </c>
      <c r="K293" s="7" t="s">
        <v>6300</v>
      </c>
      <c r="L293" s="9" t="b">
        <v>0</v>
      </c>
      <c r="M293" s="1" t="s">
        <v>66</v>
      </c>
      <c r="N293" s="1" t="s">
        <v>68</v>
      </c>
      <c r="O293" s="1" t="s">
        <v>65</v>
      </c>
      <c r="P293" s="5">
        <v>0.0</v>
      </c>
      <c r="Q293" s="5">
        <v>0.0</v>
      </c>
      <c r="R293" s="5">
        <v>0.0</v>
      </c>
      <c r="S293" s="5">
        <v>0.0</v>
      </c>
      <c r="T293" s="5">
        <v>31.0</v>
      </c>
      <c r="U293" s="1" t="s">
        <v>65</v>
      </c>
      <c r="V293" s="1"/>
      <c r="W293" s="1" t="s">
        <v>65</v>
      </c>
      <c r="X293" s="1"/>
      <c r="Y293" s="1"/>
      <c r="Z293" s="1"/>
      <c r="AA293" s="1"/>
      <c r="AB293" s="1"/>
      <c r="AC293" s="1" t="s">
        <v>65</v>
      </c>
      <c r="AD293" s="1" t="s">
        <v>65</v>
      </c>
      <c r="AE293" s="1"/>
      <c r="AF293" s="1" t="s">
        <v>65</v>
      </c>
      <c r="AG293" s="1"/>
      <c r="AH293" s="1"/>
      <c r="AI293" s="1"/>
      <c r="AJ293" s="1"/>
      <c r="AK293" s="1"/>
      <c r="AL293" s="1"/>
      <c r="AM293" s="1"/>
      <c r="AN293" s="1"/>
    </row>
    <row r="294" hidden="1">
      <c r="A294" s="1" t="s">
        <v>6304</v>
      </c>
      <c r="B294" s="1" t="s">
        <v>6305</v>
      </c>
      <c r="C294" s="4">
        <v>45810.07984953704</v>
      </c>
      <c r="D294" s="5">
        <v>1.748829299E9</v>
      </c>
      <c r="E294" s="7" t="s">
        <v>6306</v>
      </c>
      <c r="F294" s="1" t="s">
        <v>6310</v>
      </c>
      <c r="G294" s="1" t="s">
        <v>6311</v>
      </c>
      <c r="H294" s="1" t="s">
        <v>6312</v>
      </c>
      <c r="I294" s="1" t="s">
        <v>6314</v>
      </c>
      <c r="J294" s="7" t="s">
        <v>6315</v>
      </c>
      <c r="K294" s="7" t="s">
        <v>6317</v>
      </c>
      <c r="L294" s="9" t="b">
        <v>0</v>
      </c>
      <c r="M294" s="1" t="s">
        <v>66</v>
      </c>
      <c r="N294" s="1" t="s">
        <v>68</v>
      </c>
      <c r="O294" s="1" t="s">
        <v>65</v>
      </c>
      <c r="P294" s="5">
        <v>0.0</v>
      </c>
      <c r="Q294" s="5">
        <v>0.0</v>
      </c>
      <c r="R294" s="5">
        <v>0.0</v>
      </c>
      <c r="S294" s="5">
        <v>0.0</v>
      </c>
      <c r="T294" s="5">
        <v>33.0</v>
      </c>
      <c r="U294" s="1" t="s">
        <v>65</v>
      </c>
      <c r="V294" s="1"/>
      <c r="W294" s="1" t="s">
        <v>65</v>
      </c>
      <c r="X294" s="1"/>
      <c r="Y294" s="1"/>
      <c r="Z294" s="1"/>
      <c r="AA294" s="1"/>
      <c r="AB294" s="1"/>
      <c r="AC294" s="1" t="s">
        <v>65</v>
      </c>
      <c r="AD294" s="1" t="s">
        <v>71</v>
      </c>
      <c r="AE294" s="1" t="s">
        <v>6324</v>
      </c>
      <c r="AF294" s="1" t="s">
        <v>65</v>
      </c>
      <c r="AG294" s="1"/>
      <c r="AH294" s="1"/>
      <c r="AI294" s="1"/>
      <c r="AJ294" s="1"/>
      <c r="AK294" s="1" t="s">
        <v>6325</v>
      </c>
      <c r="AL294" s="1"/>
      <c r="AM294" s="1"/>
      <c r="AN294" s="1"/>
    </row>
    <row r="295">
      <c r="A295" s="1" t="s">
        <v>6326</v>
      </c>
      <c r="B295" s="1" t="s">
        <v>6327</v>
      </c>
      <c r="C295" s="4">
        <v>45809.317708333336</v>
      </c>
      <c r="D295" s="5">
        <v>1.74876345E9</v>
      </c>
      <c r="E295" s="7" t="s">
        <v>6328</v>
      </c>
      <c r="F295" s="1" t="s">
        <v>6329</v>
      </c>
      <c r="G295" s="1" t="s">
        <v>6330</v>
      </c>
      <c r="H295" s="1" t="s">
        <v>6331</v>
      </c>
      <c r="I295" s="5">
        <v>1.428407634E9</v>
      </c>
      <c r="J295" s="7" t="s">
        <v>6332</v>
      </c>
      <c r="K295" s="7" t="s">
        <v>6338</v>
      </c>
      <c r="L295" s="9" t="b">
        <v>0</v>
      </c>
      <c r="M295" s="1" t="s">
        <v>66</v>
      </c>
      <c r="N295" s="1" t="s">
        <v>64</v>
      </c>
      <c r="O295" s="1" t="s">
        <v>65</v>
      </c>
      <c r="P295" s="5">
        <v>0.0</v>
      </c>
      <c r="Q295" s="5">
        <v>0.0</v>
      </c>
      <c r="R295" s="5">
        <v>0.0</v>
      </c>
      <c r="S295" s="5">
        <v>0.0</v>
      </c>
      <c r="T295" s="5">
        <v>129.0</v>
      </c>
      <c r="U295" s="1" t="s">
        <v>65</v>
      </c>
      <c r="V295" s="1"/>
      <c r="W295" s="1" t="s">
        <v>65</v>
      </c>
      <c r="X295" s="1"/>
      <c r="Y295" s="1"/>
      <c r="Z295" s="1"/>
      <c r="AA295" s="1"/>
      <c r="AB295" s="1"/>
      <c r="AC295" s="1" t="s">
        <v>65</v>
      </c>
      <c r="AD295" s="1" t="s">
        <v>71</v>
      </c>
      <c r="AE295" s="1" t="s">
        <v>6347</v>
      </c>
      <c r="AF295" s="1" t="s">
        <v>65</v>
      </c>
      <c r="AG295" s="1"/>
      <c r="AH295" s="1"/>
      <c r="AI295" s="1"/>
      <c r="AJ295" s="1"/>
      <c r="AK295" s="1" t="s">
        <v>6348</v>
      </c>
      <c r="AL295" s="1"/>
      <c r="AM295" s="1"/>
      <c r="AN295" s="1"/>
    </row>
    <row r="296">
      <c r="A296" s="1" t="s">
        <v>6349</v>
      </c>
      <c r="B296" s="1" t="s">
        <v>6349</v>
      </c>
      <c r="C296" s="4">
        <v>45808.8465625</v>
      </c>
      <c r="D296" s="5">
        <v>1.748722743E9</v>
      </c>
      <c r="E296" s="7" t="s">
        <v>6350</v>
      </c>
      <c r="F296" s="1" t="s">
        <v>6352</v>
      </c>
      <c r="G296" s="1" t="s">
        <v>219</v>
      </c>
      <c r="H296" s="1" t="s">
        <v>221</v>
      </c>
      <c r="I296" s="1" t="s">
        <v>222</v>
      </c>
      <c r="J296" s="7" t="s">
        <v>223</v>
      </c>
      <c r="K296" s="7" t="s">
        <v>226</v>
      </c>
      <c r="L296" s="9" t="b">
        <v>0</v>
      </c>
      <c r="M296" s="1" t="s">
        <v>66</v>
      </c>
      <c r="N296" s="1" t="s">
        <v>64</v>
      </c>
      <c r="O296" s="1" t="s">
        <v>65</v>
      </c>
      <c r="P296" s="5">
        <v>1.0</v>
      </c>
      <c r="Q296" s="5">
        <v>0.0</v>
      </c>
      <c r="R296" s="5">
        <v>1.0</v>
      </c>
      <c r="S296" s="5">
        <v>0.0</v>
      </c>
      <c r="T296" s="5">
        <v>215.0</v>
      </c>
      <c r="U296" s="1" t="s">
        <v>65</v>
      </c>
      <c r="V296" s="1"/>
      <c r="W296" s="1" t="s">
        <v>65</v>
      </c>
      <c r="X296" s="1"/>
      <c r="Y296" s="1"/>
      <c r="Z296" s="1"/>
      <c r="AA296" s="1"/>
      <c r="AB296" s="1"/>
      <c r="AC296" s="1" t="s">
        <v>65</v>
      </c>
      <c r="AD296" s="1" t="s">
        <v>65</v>
      </c>
      <c r="AE296" s="1"/>
      <c r="AF296" s="1" t="s">
        <v>65</v>
      </c>
      <c r="AG296" s="1" t="s">
        <v>6356</v>
      </c>
      <c r="AH296" s="1"/>
      <c r="AI296" s="7" t="s">
        <v>6357</v>
      </c>
      <c r="AJ296" s="1"/>
      <c r="AK296" s="1"/>
      <c r="AL296" s="1"/>
      <c r="AM296" s="1"/>
      <c r="AN296" s="1"/>
    </row>
    <row r="297">
      <c r="A297" s="1" t="s">
        <v>6359</v>
      </c>
      <c r="B297" s="1" t="s">
        <v>6359</v>
      </c>
      <c r="C297" s="4">
        <v>45808.23204861111</v>
      </c>
      <c r="D297" s="5">
        <v>1.748669649E9</v>
      </c>
      <c r="E297" s="7" t="s">
        <v>6363</v>
      </c>
      <c r="F297" s="1" t="s">
        <v>6365</v>
      </c>
      <c r="G297" s="1" t="s">
        <v>6366</v>
      </c>
      <c r="H297" s="1" t="s">
        <v>6367</v>
      </c>
      <c r="I297" s="5">
        <v>4.8170245E7</v>
      </c>
      <c r="J297" s="7" t="s">
        <v>6368</v>
      </c>
      <c r="K297" s="7" t="s">
        <v>6376</v>
      </c>
      <c r="L297" s="9" t="b">
        <v>0</v>
      </c>
      <c r="M297" s="1" t="s">
        <v>66</v>
      </c>
      <c r="N297" s="1" t="s">
        <v>64</v>
      </c>
      <c r="O297" s="1" t="s">
        <v>65</v>
      </c>
      <c r="P297" s="5">
        <v>0.0</v>
      </c>
      <c r="Q297" s="5">
        <v>0.0</v>
      </c>
      <c r="R297" s="5">
        <v>0.0</v>
      </c>
      <c r="S297" s="5">
        <v>0.0</v>
      </c>
      <c r="T297" s="5">
        <v>33.0</v>
      </c>
      <c r="U297" s="1" t="s">
        <v>65</v>
      </c>
      <c r="V297" s="1"/>
      <c r="W297" s="1" t="s">
        <v>65</v>
      </c>
      <c r="X297" s="1"/>
      <c r="Y297" s="1"/>
      <c r="Z297" s="1"/>
      <c r="AA297" s="1"/>
      <c r="AB297" s="1"/>
      <c r="AC297" s="1" t="s">
        <v>65</v>
      </c>
      <c r="AD297" s="1" t="s">
        <v>65</v>
      </c>
      <c r="AE297" s="1"/>
      <c r="AF297" s="1" t="s">
        <v>65</v>
      </c>
      <c r="AG297" s="1"/>
      <c r="AH297" s="1"/>
      <c r="AI297" s="1"/>
      <c r="AJ297" s="1"/>
      <c r="AK297" s="1"/>
      <c r="AL297" s="1"/>
      <c r="AM297" s="1"/>
      <c r="AN297" s="1"/>
    </row>
    <row r="298" hidden="1">
      <c r="A298" s="1" t="s">
        <v>6379</v>
      </c>
      <c r="B298" s="1" t="s">
        <v>6379</v>
      </c>
      <c r="C298" s="4">
        <v>45808.113032407404</v>
      </c>
      <c r="D298" s="5">
        <v>1.748659366E9</v>
      </c>
      <c r="E298" s="7" t="s">
        <v>6380</v>
      </c>
      <c r="F298" s="1" t="s">
        <v>6385</v>
      </c>
      <c r="G298" s="1" t="s">
        <v>6386</v>
      </c>
      <c r="H298" s="1" t="s">
        <v>6387</v>
      </c>
      <c r="I298" s="1" t="s">
        <v>6388</v>
      </c>
      <c r="J298" s="7" t="s">
        <v>6389</v>
      </c>
      <c r="K298" s="7" t="s">
        <v>6392</v>
      </c>
      <c r="L298" s="9" t="b">
        <v>0</v>
      </c>
      <c r="M298" s="1" t="s">
        <v>67</v>
      </c>
      <c r="N298" s="1" t="s">
        <v>68</v>
      </c>
      <c r="O298" s="1" t="s">
        <v>65</v>
      </c>
      <c r="P298" s="5">
        <v>0.0</v>
      </c>
      <c r="Q298" s="5">
        <v>1.0</v>
      </c>
      <c r="R298" s="5">
        <v>1.0</v>
      </c>
      <c r="S298" s="5">
        <v>0.0</v>
      </c>
      <c r="T298" s="5">
        <v>32.0</v>
      </c>
      <c r="U298" s="1" t="s">
        <v>65</v>
      </c>
      <c r="V298" s="1"/>
      <c r="W298" s="1" t="s">
        <v>65</v>
      </c>
      <c r="X298" s="1"/>
      <c r="Y298" s="1"/>
      <c r="Z298" s="1"/>
      <c r="AA298" s="1"/>
      <c r="AB298" s="1"/>
      <c r="AC298" s="1" t="s">
        <v>65</v>
      </c>
      <c r="AD298" s="1" t="s">
        <v>65</v>
      </c>
      <c r="AE298" s="1"/>
      <c r="AF298" s="1" t="s">
        <v>65</v>
      </c>
      <c r="AG298" s="1"/>
      <c r="AH298" s="1"/>
      <c r="AI298" s="1"/>
      <c r="AJ298" s="1"/>
      <c r="AK298" s="1"/>
      <c r="AL298" s="1"/>
      <c r="AM298" s="1"/>
      <c r="AN298" s="1"/>
    </row>
    <row r="299" hidden="1">
      <c r="A299" s="1" t="s">
        <v>6397</v>
      </c>
      <c r="B299" s="1" t="s">
        <v>6397</v>
      </c>
      <c r="C299" s="4">
        <v>45807.889872685184</v>
      </c>
      <c r="D299" s="5">
        <v>1.748640085E9</v>
      </c>
      <c r="E299" s="7" t="s">
        <v>6398</v>
      </c>
      <c r="F299" s="1" t="s">
        <v>6401</v>
      </c>
      <c r="G299" s="1" t="s">
        <v>6402</v>
      </c>
      <c r="H299" s="1" t="s">
        <v>6403</v>
      </c>
      <c r="I299" s="5">
        <v>2.35545679E8</v>
      </c>
      <c r="J299" s="7" t="s">
        <v>6404</v>
      </c>
      <c r="K299" s="7" t="s">
        <v>6409</v>
      </c>
      <c r="L299" s="9" t="b">
        <v>0</v>
      </c>
      <c r="M299" s="1" t="s">
        <v>85</v>
      </c>
      <c r="N299" s="1" t="s">
        <v>68</v>
      </c>
      <c r="O299" s="1" t="s">
        <v>65</v>
      </c>
      <c r="P299" s="5">
        <v>0.0</v>
      </c>
      <c r="Q299" s="5">
        <v>0.0</v>
      </c>
      <c r="R299" s="5">
        <v>0.0</v>
      </c>
      <c r="S299" s="5">
        <v>0.0</v>
      </c>
      <c r="T299" s="5">
        <v>81.0</v>
      </c>
      <c r="U299" s="1" t="s">
        <v>65</v>
      </c>
      <c r="V299" s="1"/>
      <c r="W299" s="1" t="s">
        <v>65</v>
      </c>
      <c r="X299" s="1"/>
      <c r="Y299" s="1"/>
      <c r="Z299" s="1"/>
      <c r="AA299" s="1"/>
      <c r="AB299" s="1"/>
      <c r="AC299" s="1" t="s">
        <v>65</v>
      </c>
      <c r="AD299" s="1" t="s">
        <v>65</v>
      </c>
      <c r="AE299" s="1"/>
      <c r="AF299" s="1" t="s">
        <v>65</v>
      </c>
      <c r="AG299" s="1"/>
      <c r="AH299" s="1"/>
      <c r="AI299" s="1"/>
      <c r="AJ299" s="1"/>
      <c r="AK299" s="1"/>
      <c r="AL299" s="1"/>
      <c r="AM299" s="1"/>
      <c r="AN299" s="1"/>
    </row>
    <row r="300" hidden="1">
      <c r="A300" s="1" t="s">
        <v>5674</v>
      </c>
      <c r="B300" s="1" t="s">
        <v>5674</v>
      </c>
      <c r="C300" s="4">
        <v>45807.701469907406</v>
      </c>
      <c r="D300" s="5">
        <v>1.748623807E9</v>
      </c>
      <c r="E300" s="7" t="s">
        <v>5676</v>
      </c>
      <c r="F300" s="1" t="s">
        <v>5677</v>
      </c>
      <c r="G300" s="1" t="s">
        <v>5678</v>
      </c>
      <c r="H300" s="1" t="s">
        <v>5679</v>
      </c>
      <c r="I300" s="5">
        <v>1.525686386E9</v>
      </c>
      <c r="J300" s="7" t="s">
        <v>5680</v>
      </c>
      <c r="K300" s="7" t="s">
        <v>5686</v>
      </c>
      <c r="L300" s="9" t="b">
        <v>0</v>
      </c>
      <c r="M300" s="1" t="s">
        <v>67</v>
      </c>
      <c r="N300" s="1" t="s">
        <v>68</v>
      </c>
      <c r="O300" s="1" t="s">
        <v>65</v>
      </c>
      <c r="P300" s="5">
        <v>0.0</v>
      </c>
      <c r="Q300" s="5">
        <v>0.0</v>
      </c>
      <c r="R300" s="5">
        <v>6.0</v>
      </c>
      <c r="S300" s="5">
        <v>0.0</v>
      </c>
      <c r="T300" s="5">
        <v>327.0</v>
      </c>
      <c r="U300" s="1" t="s">
        <v>65</v>
      </c>
      <c r="V300" s="1"/>
      <c r="W300" s="1" t="s">
        <v>71</v>
      </c>
      <c r="X300" s="1" t="s">
        <v>5691</v>
      </c>
      <c r="Y300" s="1" t="s">
        <v>5692</v>
      </c>
      <c r="Z300" s="1" t="s">
        <v>5693</v>
      </c>
      <c r="AA300" s="7" t="s">
        <v>5695</v>
      </c>
      <c r="AB300" s="1"/>
      <c r="AC300" s="1" t="s">
        <v>65</v>
      </c>
      <c r="AD300" s="1" t="s">
        <v>65</v>
      </c>
      <c r="AE300" s="1"/>
      <c r="AF300" s="1" t="s">
        <v>65</v>
      </c>
      <c r="AG300" s="1"/>
      <c r="AH300" s="1"/>
      <c r="AI300" s="1"/>
      <c r="AJ300" s="1"/>
      <c r="AK300" s="1"/>
      <c r="AL300" s="1"/>
      <c r="AM300" s="1"/>
      <c r="AN300" s="1"/>
    </row>
    <row r="301">
      <c r="A301" s="1" t="s">
        <v>6430</v>
      </c>
      <c r="B301" s="1" t="s">
        <v>6430</v>
      </c>
      <c r="C301" s="4">
        <v>45807.49799768518</v>
      </c>
      <c r="D301" s="5">
        <v>1.748606227E9</v>
      </c>
      <c r="E301" s="7" t="s">
        <v>6432</v>
      </c>
      <c r="F301" s="1" t="s">
        <v>6435</v>
      </c>
      <c r="G301" s="1" t="s">
        <v>6437</v>
      </c>
      <c r="H301" s="1" t="s">
        <v>6439</v>
      </c>
      <c r="I301" s="5">
        <v>4.8856431E8</v>
      </c>
      <c r="J301" s="7" t="s">
        <v>6440</v>
      </c>
      <c r="K301" s="7" t="s">
        <v>6445</v>
      </c>
      <c r="L301" s="9" t="b">
        <v>0</v>
      </c>
      <c r="M301" s="1" t="s">
        <v>66</v>
      </c>
      <c r="N301" s="1" t="s">
        <v>64</v>
      </c>
      <c r="O301" s="1" t="s">
        <v>65</v>
      </c>
      <c r="P301" s="5">
        <v>0.0</v>
      </c>
      <c r="Q301" s="5">
        <v>0.0</v>
      </c>
      <c r="R301" s="5">
        <v>1.0</v>
      </c>
      <c r="S301" s="5">
        <v>0.0</v>
      </c>
      <c r="T301" s="5">
        <v>7.0</v>
      </c>
      <c r="U301" s="1" t="s">
        <v>65</v>
      </c>
      <c r="V301" s="1"/>
      <c r="W301" s="1" t="s">
        <v>65</v>
      </c>
      <c r="X301" s="1"/>
      <c r="Y301" s="1"/>
      <c r="Z301" s="1"/>
      <c r="AA301" s="1"/>
      <c r="AB301" s="1"/>
      <c r="AC301" s="1" t="s">
        <v>65</v>
      </c>
      <c r="AD301" s="1" t="s">
        <v>65</v>
      </c>
      <c r="AE301" s="1"/>
      <c r="AF301" s="1" t="s">
        <v>65</v>
      </c>
      <c r="AG301" s="1"/>
      <c r="AH301" s="7" t="s">
        <v>6452</v>
      </c>
      <c r="AI301" s="1"/>
      <c r="AJ301" s="1"/>
      <c r="AK301" s="1"/>
      <c r="AL301" s="1"/>
      <c r="AM301" s="1"/>
      <c r="AN301" s="1"/>
    </row>
    <row r="302">
      <c r="A302" s="1" t="s">
        <v>6457</v>
      </c>
      <c r="B302" s="1" t="s">
        <v>6458</v>
      </c>
      <c r="C302" s="4">
        <v>45806.02280092592</v>
      </c>
      <c r="D302" s="5">
        <v>1.74847877E9</v>
      </c>
      <c r="E302" s="7" t="s">
        <v>6459</v>
      </c>
      <c r="F302" s="1" t="s">
        <v>6462</v>
      </c>
      <c r="G302" s="1" t="s">
        <v>6463</v>
      </c>
      <c r="H302" s="1" t="s">
        <v>6464</v>
      </c>
      <c r="I302" s="5">
        <v>3.364658277E9</v>
      </c>
      <c r="J302" s="7" t="s">
        <v>6465</v>
      </c>
      <c r="K302" s="7" t="s">
        <v>6471</v>
      </c>
      <c r="L302" s="9" t="b">
        <v>0</v>
      </c>
      <c r="M302" s="1" t="s">
        <v>66</v>
      </c>
      <c r="N302" s="1" t="s">
        <v>64</v>
      </c>
      <c r="O302" s="1" t="s">
        <v>65</v>
      </c>
      <c r="P302" s="5">
        <v>0.0</v>
      </c>
      <c r="Q302" s="5">
        <v>0.0</v>
      </c>
      <c r="R302" s="5">
        <v>19.0</v>
      </c>
      <c r="S302" s="5">
        <v>0.0</v>
      </c>
      <c r="T302" s="5">
        <v>3601.0</v>
      </c>
      <c r="U302" s="1" t="s">
        <v>65</v>
      </c>
      <c r="V302" s="1"/>
      <c r="W302" s="1" t="s">
        <v>65</v>
      </c>
      <c r="X302" s="1"/>
      <c r="Y302" s="1"/>
      <c r="Z302" s="1"/>
      <c r="AA302" s="1"/>
      <c r="AB302" s="1"/>
      <c r="AC302" s="1" t="s">
        <v>65</v>
      </c>
      <c r="AD302" s="1" t="s">
        <v>71</v>
      </c>
      <c r="AE302" s="1" t="s">
        <v>6482</v>
      </c>
      <c r="AF302" s="1" t="s">
        <v>65</v>
      </c>
      <c r="AG302" s="1"/>
      <c r="AH302" s="1"/>
      <c r="AI302" s="1"/>
      <c r="AJ302" s="1"/>
      <c r="AK302" s="1" t="s">
        <v>6482</v>
      </c>
      <c r="AL302" s="1"/>
      <c r="AM302" s="1"/>
      <c r="AN302" s="1"/>
    </row>
    <row r="303" hidden="1">
      <c r="A303" s="1" t="s">
        <v>6483</v>
      </c>
      <c r="B303" s="1" t="s">
        <v>6483</v>
      </c>
      <c r="C303" s="4">
        <v>45804.88627314815</v>
      </c>
      <c r="D303" s="5">
        <v>1.748380574E9</v>
      </c>
      <c r="E303" s="7" t="s">
        <v>6484</v>
      </c>
      <c r="F303" s="1" t="s">
        <v>6487</v>
      </c>
      <c r="G303" s="1" t="s">
        <v>6488</v>
      </c>
      <c r="H303" s="1" t="s">
        <v>6489</v>
      </c>
      <c r="I303" s="5">
        <v>2.00916372E8</v>
      </c>
      <c r="J303" s="7" t="s">
        <v>6490</v>
      </c>
      <c r="K303" s="7" t="s">
        <v>6499</v>
      </c>
      <c r="L303" s="9" t="b">
        <v>0</v>
      </c>
      <c r="M303" s="1" t="s">
        <v>67</v>
      </c>
      <c r="N303" s="1" t="s">
        <v>68</v>
      </c>
      <c r="O303" s="1" t="s">
        <v>65</v>
      </c>
      <c r="P303" s="5">
        <v>0.0</v>
      </c>
      <c r="Q303" s="5">
        <v>0.0</v>
      </c>
      <c r="R303" s="5">
        <v>4.0</v>
      </c>
      <c r="S303" s="5">
        <v>0.0</v>
      </c>
      <c r="T303" s="5">
        <v>81.0</v>
      </c>
      <c r="U303" s="1" t="s">
        <v>65</v>
      </c>
      <c r="V303" s="1"/>
      <c r="W303" s="1" t="s">
        <v>65</v>
      </c>
      <c r="X303" s="1"/>
      <c r="Y303" s="1"/>
      <c r="Z303" s="1"/>
      <c r="AA303" s="1"/>
      <c r="AB303" s="1"/>
      <c r="AC303" s="1" t="s">
        <v>65</v>
      </c>
      <c r="AD303" s="1" t="s">
        <v>65</v>
      </c>
      <c r="AE303" s="1"/>
      <c r="AF303" s="1" t="s">
        <v>65</v>
      </c>
      <c r="AG303" s="1"/>
      <c r="AH303" s="1"/>
      <c r="AI303" s="1"/>
      <c r="AJ303" s="1"/>
      <c r="AK303" s="1"/>
      <c r="AL303" s="1"/>
      <c r="AM303" s="1"/>
      <c r="AN303" s="1"/>
    </row>
    <row r="304">
      <c r="A304" s="1" t="s">
        <v>6508</v>
      </c>
      <c r="B304" s="1" t="s">
        <v>6508</v>
      </c>
      <c r="C304" s="4">
        <v>45804.8247337963</v>
      </c>
      <c r="D304" s="5">
        <v>1.748375257E9</v>
      </c>
      <c r="E304" s="7" t="s">
        <v>6509</v>
      </c>
      <c r="F304" s="1" t="s">
        <v>6513</v>
      </c>
      <c r="G304" s="1" t="s">
        <v>6514</v>
      </c>
      <c r="H304" s="1" t="s">
        <v>6515</v>
      </c>
      <c r="I304" s="1" t="s">
        <v>6516</v>
      </c>
      <c r="J304" s="7" t="s">
        <v>6517</v>
      </c>
      <c r="K304" s="7" t="s">
        <v>6522</v>
      </c>
      <c r="L304" s="9" t="b">
        <v>0</v>
      </c>
      <c r="M304" s="1" t="s">
        <v>67</v>
      </c>
      <c r="N304" s="1" t="s">
        <v>64</v>
      </c>
      <c r="O304" s="1" t="s">
        <v>65</v>
      </c>
      <c r="P304" s="5">
        <v>0.0</v>
      </c>
      <c r="Q304" s="5">
        <v>0.0</v>
      </c>
      <c r="R304" s="5">
        <v>0.0</v>
      </c>
      <c r="S304" s="5">
        <v>0.0</v>
      </c>
      <c r="T304" s="5">
        <v>8.0</v>
      </c>
      <c r="U304" s="1" t="s">
        <v>65</v>
      </c>
      <c r="V304" s="1"/>
      <c r="W304" s="1" t="s">
        <v>65</v>
      </c>
      <c r="X304" s="1"/>
      <c r="Y304" s="1"/>
      <c r="Z304" s="1"/>
      <c r="AA304" s="1"/>
      <c r="AB304" s="1"/>
      <c r="AC304" s="1" t="s">
        <v>65</v>
      </c>
      <c r="AD304" s="1" t="s">
        <v>65</v>
      </c>
      <c r="AE304" s="1"/>
      <c r="AF304" s="1" t="s">
        <v>65</v>
      </c>
      <c r="AG304" s="1"/>
      <c r="AH304" s="7" t="s">
        <v>6533</v>
      </c>
      <c r="AI304" s="1"/>
      <c r="AJ304" s="1"/>
      <c r="AK304" s="1"/>
      <c r="AL304" s="1"/>
      <c r="AM304" s="1"/>
      <c r="AN304" s="1"/>
    </row>
    <row r="305" hidden="1">
      <c r="A305" s="1" t="s">
        <v>6537</v>
      </c>
      <c r="B305" s="1" t="s">
        <v>6537</v>
      </c>
      <c r="C305" s="4">
        <v>45804.59622685185</v>
      </c>
      <c r="D305" s="5">
        <v>1.748355514E9</v>
      </c>
      <c r="E305" s="7" t="s">
        <v>6539</v>
      </c>
      <c r="F305" s="1" t="s">
        <v>6544</v>
      </c>
      <c r="G305" s="1" t="s">
        <v>6545</v>
      </c>
      <c r="H305" s="1" t="s">
        <v>6547</v>
      </c>
      <c r="I305" s="5">
        <v>2.301649502E9</v>
      </c>
      <c r="J305" s="7" t="s">
        <v>6548</v>
      </c>
      <c r="K305" s="7" t="s">
        <v>6557</v>
      </c>
      <c r="L305" s="9" t="b">
        <v>0</v>
      </c>
      <c r="M305" s="1" t="s">
        <v>85</v>
      </c>
      <c r="N305" s="1" t="s">
        <v>68</v>
      </c>
      <c r="O305" s="1" t="s">
        <v>65</v>
      </c>
      <c r="P305" s="5">
        <v>0.0</v>
      </c>
      <c r="Q305" s="5">
        <v>0.0</v>
      </c>
      <c r="R305" s="5">
        <v>2.0</v>
      </c>
      <c r="S305" s="5">
        <v>0.0</v>
      </c>
      <c r="T305" s="5">
        <v>595.0</v>
      </c>
      <c r="U305" s="1" t="s">
        <v>65</v>
      </c>
      <c r="V305" s="1"/>
      <c r="W305" s="1" t="s">
        <v>65</v>
      </c>
      <c r="X305" s="1"/>
      <c r="Y305" s="1"/>
      <c r="Z305" s="1"/>
      <c r="AA305" s="1"/>
      <c r="AB305" s="1"/>
      <c r="AC305" s="1" t="s">
        <v>65</v>
      </c>
      <c r="AD305" s="1" t="s">
        <v>65</v>
      </c>
      <c r="AE305" s="1"/>
      <c r="AF305" s="1" t="s">
        <v>65</v>
      </c>
      <c r="AG305" s="1"/>
      <c r="AH305" s="1"/>
      <c r="AI305" s="1"/>
      <c r="AJ305" s="1"/>
      <c r="AK305" s="1"/>
      <c r="AL305" s="1"/>
      <c r="AM305" s="1"/>
      <c r="AN305" s="1"/>
    </row>
    <row r="306" hidden="1">
      <c r="A306" s="1" t="s">
        <v>6560</v>
      </c>
      <c r="B306" s="1" t="s">
        <v>6561</v>
      </c>
      <c r="C306" s="4">
        <v>45804.46383101852</v>
      </c>
      <c r="D306" s="5">
        <v>1.748344075E9</v>
      </c>
      <c r="E306" s="7" t="s">
        <v>6562</v>
      </c>
      <c r="F306" s="1" t="s">
        <v>6569</v>
      </c>
      <c r="G306" s="1" t="s">
        <v>6570</v>
      </c>
      <c r="H306" s="1" t="s">
        <v>6571</v>
      </c>
      <c r="I306" s="1" t="s">
        <v>6572</v>
      </c>
      <c r="J306" s="7" t="s">
        <v>6573</v>
      </c>
      <c r="K306" s="1"/>
      <c r="L306" s="9" t="b">
        <v>0</v>
      </c>
      <c r="M306" s="1" t="s">
        <v>67</v>
      </c>
      <c r="N306" s="1" t="s">
        <v>68</v>
      </c>
      <c r="O306" s="1" t="s">
        <v>65</v>
      </c>
      <c r="P306" s="5">
        <v>0.0</v>
      </c>
      <c r="Q306" s="5">
        <v>0.0</v>
      </c>
      <c r="R306" s="5">
        <v>0.0</v>
      </c>
      <c r="S306" s="5">
        <v>0.0</v>
      </c>
      <c r="T306" s="5">
        <v>16.0</v>
      </c>
      <c r="U306" s="1" t="s">
        <v>65</v>
      </c>
      <c r="V306" s="1"/>
      <c r="W306" s="1" t="s">
        <v>65</v>
      </c>
      <c r="X306" s="1"/>
      <c r="Y306" s="1"/>
      <c r="Z306" s="1"/>
      <c r="AA306" s="1"/>
      <c r="AB306" s="1"/>
      <c r="AC306" s="1" t="s">
        <v>65</v>
      </c>
      <c r="AD306" s="1" t="s">
        <v>71</v>
      </c>
      <c r="AE306" s="1" t="s">
        <v>6581</v>
      </c>
      <c r="AF306" s="1" t="s">
        <v>65</v>
      </c>
      <c r="AG306" s="1"/>
      <c r="AH306" s="1"/>
      <c r="AI306" s="1"/>
      <c r="AJ306" s="1"/>
      <c r="AK306" s="1" t="s">
        <v>6583</v>
      </c>
      <c r="AL306" s="1"/>
      <c r="AM306" s="1"/>
      <c r="AN306" s="1"/>
    </row>
    <row r="307">
      <c r="A307" s="1" t="s">
        <v>6584</v>
      </c>
      <c r="B307" s="1" t="s">
        <v>6584</v>
      </c>
      <c r="C307" s="4">
        <v>45803.71962962963</v>
      </c>
      <c r="D307" s="5">
        <v>1.748279776E9</v>
      </c>
      <c r="E307" s="7" t="s">
        <v>6585</v>
      </c>
      <c r="F307" s="1" t="s">
        <v>6589</v>
      </c>
      <c r="G307" s="1" t="s">
        <v>6590</v>
      </c>
      <c r="H307" s="1" t="s">
        <v>6591</v>
      </c>
      <c r="I307" s="5">
        <v>1.072248E8</v>
      </c>
      <c r="J307" s="7" t="s">
        <v>6592</v>
      </c>
      <c r="K307" s="7" t="s">
        <v>6599</v>
      </c>
      <c r="L307" s="9" t="b">
        <v>0</v>
      </c>
      <c r="M307" s="1" t="s">
        <v>66</v>
      </c>
      <c r="N307" s="1" t="s">
        <v>64</v>
      </c>
      <c r="O307" s="1" t="s">
        <v>65</v>
      </c>
      <c r="P307" s="5">
        <v>0.0</v>
      </c>
      <c r="Q307" s="5">
        <v>0.0</v>
      </c>
      <c r="R307" s="5">
        <v>0.0</v>
      </c>
      <c r="S307" s="5">
        <v>0.0</v>
      </c>
      <c r="T307" s="5">
        <v>68.0</v>
      </c>
      <c r="U307" s="1" t="s">
        <v>65</v>
      </c>
      <c r="V307" s="1"/>
      <c r="W307" s="1" t="s">
        <v>65</v>
      </c>
      <c r="X307" s="1"/>
      <c r="Y307" s="1"/>
      <c r="Z307" s="1"/>
      <c r="AA307" s="1"/>
      <c r="AB307" s="1"/>
      <c r="AC307" s="1" t="s">
        <v>65</v>
      </c>
      <c r="AD307" s="1" t="s">
        <v>65</v>
      </c>
      <c r="AE307" s="1"/>
      <c r="AF307" s="1" t="s">
        <v>65</v>
      </c>
      <c r="AG307" s="1" t="s">
        <v>6606</v>
      </c>
      <c r="AH307" s="7" t="s">
        <v>6608</v>
      </c>
      <c r="AI307" s="1"/>
      <c r="AJ307" s="1"/>
      <c r="AK307" s="1"/>
      <c r="AL307" s="1"/>
      <c r="AM307" s="1"/>
      <c r="AN307" s="1"/>
    </row>
    <row r="308" hidden="1">
      <c r="A308" s="1" t="s">
        <v>6610</v>
      </c>
      <c r="B308" s="1" t="s">
        <v>6611</v>
      </c>
      <c r="C308" s="4">
        <v>45803.66269675926</v>
      </c>
      <c r="D308" s="5">
        <v>1.748274857E9</v>
      </c>
      <c r="E308" s="7" t="s">
        <v>6612</v>
      </c>
      <c r="F308" s="1" t="s">
        <v>6615</v>
      </c>
      <c r="G308" s="1" t="s">
        <v>6616</v>
      </c>
      <c r="H308" s="1" t="s">
        <v>6617</v>
      </c>
      <c r="I308" s="5">
        <v>1.68548716E8</v>
      </c>
      <c r="J308" s="7" t="s">
        <v>6618</v>
      </c>
      <c r="K308" s="7" t="s">
        <v>6621</v>
      </c>
      <c r="L308" s="9" t="b">
        <v>1</v>
      </c>
      <c r="M308" s="1" t="s">
        <v>85</v>
      </c>
      <c r="N308" s="1" t="s">
        <v>68</v>
      </c>
      <c r="O308" s="1" t="s">
        <v>65</v>
      </c>
      <c r="P308" s="5">
        <v>0.0</v>
      </c>
      <c r="Q308" s="5">
        <v>0.0</v>
      </c>
      <c r="R308" s="5">
        <v>0.0</v>
      </c>
      <c r="S308" s="5">
        <v>0.0</v>
      </c>
      <c r="T308" s="5">
        <v>18.0</v>
      </c>
      <c r="U308" s="1" t="s">
        <v>65</v>
      </c>
      <c r="V308" s="1"/>
      <c r="W308" s="1" t="s">
        <v>65</v>
      </c>
      <c r="X308" s="1"/>
      <c r="Y308" s="1"/>
      <c r="Z308" s="1"/>
      <c r="AA308" s="1"/>
      <c r="AB308" s="1"/>
      <c r="AC308" s="1" t="s">
        <v>65</v>
      </c>
      <c r="AD308" s="1" t="s">
        <v>71</v>
      </c>
      <c r="AE308" s="1" t="s">
        <v>6626</v>
      </c>
      <c r="AF308" s="1" t="s">
        <v>65</v>
      </c>
      <c r="AG308" s="1"/>
      <c r="AH308" s="1"/>
      <c r="AI308" s="1"/>
      <c r="AJ308" s="1"/>
      <c r="AK308" s="1" t="s">
        <v>6627</v>
      </c>
      <c r="AL308" s="1"/>
      <c r="AM308" s="1"/>
      <c r="AN308" s="1"/>
    </row>
    <row r="309" hidden="1">
      <c r="A309" s="1" t="s">
        <v>6628</v>
      </c>
      <c r="B309" s="1" t="s">
        <v>6629</v>
      </c>
      <c r="C309" s="4">
        <v>45803.18736111111</v>
      </c>
      <c r="D309" s="5">
        <v>1.748233788E9</v>
      </c>
      <c r="E309" s="7" t="s">
        <v>6630</v>
      </c>
      <c r="F309" s="1" t="s">
        <v>6632</v>
      </c>
      <c r="G309" s="1" t="s">
        <v>6633</v>
      </c>
      <c r="H309" s="1" t="s">
        <v>6634</v>
      </c>
      <c r="I309" s="1" t="s">
        <v>6635</v>
      </c>
      <c r="J309" s="7" t="s">
        <v>6636</v>
      </c>
      <c r="K309" s="7" t="s">
        <v>6641</v>
      </c>
      <c r="L309" s="9" t="b">
        <v>1</v>
      </c>
      <c r="M309" s="1" t="s">
        <v>66</v>
      </c>
      <c r="N309" s="1" t="s">
        <v>68</v>
      </c>
      <c r="O309" s="1" t="s">
        <v>65</v>
      </c>
      <c r="P309" s="5">
        <v>0.0</v>
      </c>
      <c r="Q309" s="5">
        <v>0.0</v>
      </c>
      <c r="R309" s="5">
        <v>0.0</v>
      </c>
      <c r="S309" s="5">
        <v>0.0</v>
      </c>
      <c r="T309" s="5">
        <v>154.0</v>
      </c>
      <c r="U309" s="1" t="s">
        <v>65</v>
      </c>
      <c r="V309" s="1"/>
      <c r="W309" s="1" t="s">
        <v>65</v>
      </c>
      <c r="X309" s="1"/>
      <c r="Y309" s="1"/>
      <c r="Z309" s="1"/>
      <c r="AA309" s="1"/>
      <c r="AB309" s="1"/>
      <c r="AC309" s="1" t="s">
        <v>65</v>
      </c>
      <c r="AD309" s="1" t="s">
        <v>71</v>
      </c>
      <c r="AE309" s="1" t="s">
        <v>6649</v>
      </c>
      <c r="AF309" s="1" t="s">
        <v>65</v>
      </c>
      <c r="AG309" s="1"/>
      <c r="AH309" s="1"/>
      <c r="AI309" s="1"/>
      <c r="AJ309" s="1"/>
      <c r="AK309" s="1" t="s">
        <v>6651</v>
      </c>
      <c r="AL309" s="1"/>
      <c r="AM309" s="1"/>
      <c r="AN309" s="1"/>
    </row>
    <row r="310">
      <c r="A310" s="1" t="s">
        <v>6652</v>
      </c>
      <c r="B310" s="1" t="s">
        <v>6652</v>
      </c>
      <c r="C310" s="4">
        <v>45802.88621527778</v>
      </c>
      <c r="D310" s="5">
        <v>1.748207769E9</v>
      </c>
      <c r="E310" s="7" t="s">
        <v>6653</v>
      </c>
      <c r="F310" s="1" t="s">
        <v>6656</v>
      </c>
      <c r="G310" s="1" t="s">
        <v>6657</v>
      </c>
      <c r="H310" s="1" t="s">
        <v>6658</v>
      </c>
      <c r="I310" s="5">
        <v>4.2207442E8</v>
      </c>
      <c r="J310" s="7" t="s">
        <v>6659</v>
      </c>
      <c r="K310" s="7" t="s">
        <v>6663</v>
      </c>
      <c r="L310" s="9" t="b">
        <v>0</v>
      </c>
      <c r="M310" s="1" t="s">
        <v>6672</v>
      </c>
      <c r="N310" s="1" t="s">
        <v>64</v>
      </c>
      <c r="O310" s="1" t="s">
        <v>65</v>
      </c>
      <c r="P310" s="5">
        <v>0.0</v>
      </c>
      <c r="Q310" s="5">
        <v>0.0</v>
      </c>
      <c r="R310" s="5">
        <v>0.0</v>
      </c>
      <c r="S310" s="5">
        <v>0.0</v>
      </c>
      <c r="T310" s="5">
        <v>19.0</v>
      </c>
      <c r="U310" s="1" t="s">
        <v>65</v>
      </c>
      <c r="V310" s="1"/>
      <c r="W310" s="1" t="s">
        <v>65</v>
      </c>
      <c r="X310" s="1"/>
      <c r="Y310" s="1"/>
      <c r="Z310" s="1"/>
      <c r="AA310" s="1"/>
      <c r="AB310" s="1"/>
      <c r="AC310" s="1" t="s">
        <v>65</v>
      </c>
      <c r="AD310" s="1" t="s">
        <v>65</v>
      </c>
      <c r="AE310" s="1"/>
      <c r="AF310" s="1" t="s">
        <v>65</v>
      </c>
      <c r="AG310" s="1" t="s">
        <v>6673</v>
      </c>
      <c r="AH310" s="1"/>
      <c r="AI310" s="7" t="s">
        <v>6674</v>
      </c>
      <c r="AJ310" s="1"/>
      <c r="AK310" s="1"/>
      <c r="AL310" s="1"/>
      <c r="AM310" s="1"/>
      <c r="AN310" s="1"/>
    </row>
    <row r="311" hidden="1">
      <c r="A311" s="1" t="s">
        <v>6679</v>
      </c>
      <c r="B311" s="1" t="s">
        <v>6611</v>
      </c>
      <c r="C311" s="4">
        <v>45802.862488425926</v>
      </c>
      <c r="D311" s="5">
        <v>1.748205719E9</v>
      </c>
      <c r="E311" s="7" t="s">
        <v>6681</v>
      </c>
      <c r="F311" s="1" t="s">
        <v>6688</v>
      </c>
      <c r="G311" s="1" t="s">
        <v>6626</v>
      </c>
      <c r="H311" s="1" t="s">
        <v>6689</v>
      </c>
      <c r="I311" s="1" t="s">
        <v>6690</v>
      </c>
      <c r="J311" s="7" t="s">
        <v>6691</v>
      </c>
      <c r="K311" s="7" t="s">
        <v>6698</v>
      </c>
      <c r="L311" s="9" t="b">
        <v>0</v>
      </c>
      <c r="M311" s="1" t="s">
        <v>85</v>
      </c>
      <c r="N311" s="1" t="s">
        <v>68</v>
      </c>
      <c r="O311" s="1" t="s">
        <v>65</v>
      </c>
      <c r="P311" s="5">
        <v>0.0</v>
      </c>
      <c r="Q311" s="5">
        <v>1.0</v>
      </c>
      <c r="R311" s="5">
        <v>1.0</v>
      </c>
      <c r="S311" s="5">
        <v>0.0</v>
      </c>
      <c r="T311" s="5">
        <v>187.0</v>
      </c>
      <c r="U311" s="1" t="s">
        <v>65</v>
      </c>
      <c r="V311" s="1"/>
      <c r="W311" s="1" t="s">
        <v>65</v>
      </c>
      <c r="X311" s="1"/>
      <c r="Y311" s="1"/>
      <c r="Z311" s="1"/>
      <c r="AA311" s="1"/>
      <c r="AB311" s="1"/>
      <c r="AC311" s="1" t="s">
        <v>65</v>
      </c>
      <c r="AD311" s="1" t="s">
        <v>71</v>
      </c>
      <c r="AE311" s="1" t="s">
        <v>6702</v>
      </c>
      <c r="AF311" s="1" t="s">
        <v>65</v>
      </c>
      <c r="AG311" s="1"/>
      <c r="AH311" s="1"/>
      <c r="AI311" s="1"/>
      <c r="AJ311" s="1"/>
      <c r="AK311" s="1" t="s">
        <v>6702</v>
      </c>
      <c r="AL311" s="1"/>
      <c r="AM311" s="1"/>
      <c r="AN311" s="1"/>
    </row>
    <row r="312">
      <c r="A312" s="1" t="s">
        <v>6703</v>
      </c>
      <c r="B312" s="1" t="s">
        <v>6703</v>
      </c>
      <c r="C312" s="4">
        <v>45800.688564814816</v>
      </c>
      <c r="D312" s="5">
        <v>1.748017892E9</v>
      </c>
      <c r="E312" s="7" t="s">
        <v>6704</v>
      </c>
      <c r="F312" s="1" t="s">
        <v>6709</v>
      </c>
      <c r="G312" s="1" t="s">
        <v>219</v>
      </c>
      <c r="H312" s="1" t="s">
        <v>221</v>
      </c>
      <c r="I312" s="1" t="s">
        <v>222</v>
      </c>
      <c r="J312" s="7" t="s">
        <v>223</v>
      </c>
      <c r="K312" s="7" t="s">
        <v>226</v>
      </c>
      <c r="L312" s="9" t="b">
        <v>0</v>
      </c>
      <c r="M312" s="1" t="s">
        <v>66</v>
      </c>
      <c r="N312" s="1" t="s">
        <v>64</v>
      </c>
      <c r="O312" s="1" t="s">
        <v>65</v>
      </c>
      <c r="P312" s="5">
        <v>1.0</v>
      </c>
      <c r="Q312" s="5">
        <v>0.0</v>
      </c>
      <c r="R312" s="5">
        <v>1.0</v>
      </c>
      <c r="S312" s="5">
        <v>0.0</v>
      </c>
      <c r="T312" s="5">
        <v>71.0</v>
      </c>
      <c r="U312" s="1" t="s">
        <v>65</v>
      </c>
      <c r="V312" s="1"/>
      <c r="W312" s="1" t="s">
        <v>65</v>
      </c>
      <c r="X312" s="1"/>
      <c r="Y312" s="1"/>
      <c r="Z312" s="1"/>
      <c r="AA312" s="1"/>
      <c r="AB312" s="1"/>
      <c r="AC312" s="1" t="s">
        <v>65</v>
      </c>
      <c r="AD312" s="1" t="s">
        <v>65</v>
      </c>
      <c r="AE312" s="1"/>
      <c r="AF312" s="1" t="s">
        <v>65</v>
      </c>
      <c r="AG312" s="1" t="s">
        <v>6714</v>
      </c>
      <c r="AH312" s="1"/>
      <c r="AI312" s="7" t="s">
        <v>6715</v>
      </c>
      <c r="AJ312" s="1"/>
      <c r="AK312" s="1"/>
      <c r="AL312" s="1"/>
      <c r="AM312" s="1"/>
      <c r="AN312" s="1"/>
    </row>
    <row r="313">
      <c r="A313" s="1" t="s">
        <v>6717</v>
      </c>
      <c r="B313" s="1" t="s">
        <v>6718</v>
      </c>
      <c r="C313" s="4">
        <v>45800.336597222224</v>
      </c>
      <c r="D313" s="5">
        <v>1.747987482E9</v>
      </c>
      <c r="E313" s="7" t="s">
        <v>6719</v>
      </c>
      <c r="F313" s="1" t="s">
        <v>6722</v>
      </c>
      <c r="G313" s="1" t="s">
        <v>6723</v>
      </c>
      <c r="H313" s="1" t="s">
        <v>6724</v>
      </c>
      <c r="I313" s="1" t="s">
        <v>6725</v>
      </c>
      <c r="J313" s="7" t="s">
        <v>6726</v>
      </c>
      <c r="K313" s="7" t="s">
        <v>6730</v>
      </c>
      <c r="L313" s="9" t="b">
        <v>0</v>
      </c>
      <c r="M313" s="1" t="s">
        <v>67</v>
      </c>
      <c r="N313" s="1" t="s">
        <v>64</v>
      </c>
      <c r="O313" s="1" t="s">
        <v>65</v>
      </c>
      <c r="P313" s="5">
        <v>0.0</v>
      </c>
      <c r="Q313" s="5">
        <v>1.0</v>
      </c>
      <c r="R313" s="5">
        <v>1.0</v>
      </c>
      <c r="S313" s="5">
        <v>0.0</v>
      </c>
      <c r="T313" s="5">
        <v>17.0</v>
      </c>
      <c r="U313" s="1" t="s">
        <v>65</v>
      </c>
      <c r="V313" s="1"/>
      <c r="W313" s="1" t="s">
        <v>65</v>
      </c>
      <c r="X313" s="1"/>
      <c r="Y313" s="1"/>
      <c r="Z313" s="1"/>
      <c r="AA313" s="1"/>
      <c r="AB313" s="1"/>
      <c r="AC313" s="1" t="s">
        <v>65</v>
      </c>
      <c r="AD313" s="1" t="s">
        <v>71</v>
      </c>
      <c r="AE313" s="1" t="s">
        <v>6737</v>
      </c>
      <c r="AF313" s="1" t="s">
        <v>65</v>
      </c>
      <c r="AG313" s="1"/>
      <c r="AH313" s="1"/>
      <c r="AI313" s="1"/>
      <c r="AJ313" s="1"/>
      <c r="AK313" s="1" t="s">
        <v>6737</v>
      </c>
      <c r="AL313" s="1"/>
      <c r="AM313" s="1"/>
      <c r="AN313" s="1"/>
    </row>
    <row r="314" hidden="1">
      <c r="A314" s="1" t="s">
        <v>3416</v>
      </c>
      <c r="B314" s="1" t="s">
        <v>3416</v>
      </c>
      <c r="C314" s="4">
        <v>45799.93400462963</v>
      </c>
      <c r="D314" s="5">
        <v>1.747952698E9</v>
      </c>
      <c r="E314" s="7" t="s">
        <v>3417</v>
      </c>
      <c r="F314" s="1" t="s">
        <v>3419</v>
      </c>
      <c r="G314" s="1" t="s">
        <v>3420</v>
      </c>
      <c r="H314" s="1" t="s">
        <v>1177</v>
      </c>
      <c r="I314" s="5">
        <v>2.831662233E9</v>
      </c>
      <c r="J314" s="7" t="s">
        <v>3422</v>
      </c>
      <c r="K314" s="7" t="s">
        <v>3426</v>
      </c>
      <c r="L314" s="9" t="b">
        <v>0</v>
      </c>
      <c r="M314" s="1" t="s">
        <v>67</v>
      </c>
      <c r="N314" s="1" t="s">
        <v>68</v>
      </c>
      <c r="O314" s="1" t="s">
        <v>65</v>
      </c>
      <c r="P314" s="5">
        <v>0.0</v>
      </c>
      <c r="Q314" s="5">
        <v>1.0</v>
      </c>
      <c r="R314" s="5">
        <v>0.0</v>
      </c>
      <c r="S314" s="5">
        <v>0.0</v>
      </c>
      <c r="T314" s="5">
        <v>76.0</v>
      </c>
      <c r="U314" s="1" t="s">
        <v>65</v>
      </c>
      <c r="V314" s="1"/>
      <c r="W314" s="1" t="s">
        <v>65</v>
      </c>
      <c r="X314" s="1"/>
      <c r="Y314" s="1"/>
      <c r="Z314" s="1"/>
      <c r="AA314" s="1"/>
      <c r="AB314" s="1"/>
      <c r="AC314" s="1" t="s">
        <v>65</v>
      </c>
      <c r="AD314" s="1" t="s">
        <v>65</v>
      </c>
      <c r="AE314" s="1"/>
      <c r="AF314" s="1" t="s">
        <v>65</v>
      </c>
      <c r="AG314" s="1"/>
      <c r="AH314" s="1"/>
      <c r="AI314" s="1"/>
      <c r="AJ314" s="1"/>
      <c r="AK314" s="1"/>
      <c r="AL314" s="1"/>
      <c r="AM314" s="1"/>
      <c r="AN314" s="1"/>
    </row>
    <row r="315">
      <c r="A315" s="1" t="s">
        <v>6750</v>
      </c>
      <c r="B315" s="1" t="s">
        <v>6750</v>
      </c>
      <c r="C315" s="4">
        <v>45799.74872685185</v>
      </c>
      <c r="D315" s="5">
        <v>1.74793669E9</v>
      </c>
      <c r="E315" s="7" t="s">
        <v>6752</v>
      </c>
      <c r="F315" s="1" t="s">
        <v>6756</v>
      </c>
      <c r="G315" s="1" t="s">
        <v>219</v>
      </c>
      <c r="H315" s="1" t="s">
        <v>221</v>
      </c>
      <c r="I315" s="1" t="s">
        <v>222</v>
      </c>
      <c r="J315" s="7" t="s">
        <v>223</v>
      </c>
      <c r="K315" s="7" t="s">
        <v>226</v>
      </c>
      <c r="L315" s="9" t="b">
        <v>0</v>
      </c>
      <c r="M315" s="1" t="s">
        <v>66</v>
      </c>
      <c r="N315" s="1" t="s">
        <v>64</v>
      </c>
      <c r="O315" s="1" t="s">
        <v>65</v>
      </c>
      <c r="P315" s="5">
        <v>1.0</v>
      </c>
      <c r="Q315" s="5">
        <v>0.0</v>
      </c>
      <c r="R315" s="5">
        <v>1.0</v>
      </c>
      <c r="S315" s="5">
        <v>0.0</v>
      </c>
      <c r="T315" s="5">
        <v>46.0</v>
      </c>
      <c r="U315" s="1" t="s">
        <v>65</v>
      </c>
      <c r="V315" s="1"/>
      <c r="W315" s="1" t="s">
        <v>65</v>
      </c>
      <c r="X315" s="1"/>
      <c r="Y315" s="1"/>
      <c r="Z315" s="1"/>
      <c r="AA315" s="1"/>
      <c r="AB315" s="1"/>
      <c r="AC315" s="1" t="s">
        <v>65</v>
      </c>
      <c r="AD315" s="1" t="s">
        <v>65</v>
      </c>
      <c r="AE315" s="1"/>
      <c r="AF315" s="1" t="s">
        <v>65</v>
      </c>
      <c r="AG315" s="1" t="s">
        <v>6761</v>
      </c>
      <c r="AH315" s="1"/>
      <c r="AI315" s="7" t="s">
        <v>6762</v>
      </c>
      <c r="AJ315" s="1"/>
      <c r="AK315" s="1"/>
      <c r="AL315" s="1"/>
      <c r="AM315" s="1"/>
      <c r="AN315" s="1"/>
    </row>
    <row r="316">
      <c r="A316" s="1" t="s">
        <v>6764</v>
      </c>
      <c r="B316" s="1" t="s">
        <v>6764</v>
      </c>
      <c r="C316" s="4">
        <v>45798.72797453704</v>
      </c>
      <c r="D316" s="5">
        <v>1.747848497E9</v>
      </c>
      <c r="E316" s="7" t="s">
        <v>6765</v>
      </c>
      <c r="F316" s="1" t="s">
        <v>6769</v>
      </c>
      <c r="G316" s="1" t="s">
        <v>219</v>
      </c>
      <c r="H316" s="1" t="s">
        <v>221</v>
      </c>
      <c r="I316" s="1" t="s">
        <v>222</v>
      </c>
      <c r="J316" s="7" t="s">
        <v>223</v>
      </c>
      <c r="K316" s="7" t="s">
        <v>226</v>
      </c>
      <c r="L316" s="9" t="b">
        <v>0</v>
      </c>
      <c r="M316" s="1" t="s">
        <v>66</v>
      </c>
      <c r="N316" s="1" t="s">
        <v>64</v>
      </c>
      <c r="O316" s="1" t="s">
        <v>65</v>
      </c>
      <c r="P316" s="5">
        <v>1.0</v>
      </c>
      <c r="Q316" s="5">
        <v>0.0</v>
      </c>
      <c r="R316" s="5">
        <v>1.0</v>
      </c>
      <c r="S316" s="5">
        <v>0.0</v>
      </c>
      <c r="T316" s="5">
        <v>68.0</v>
      </c>
      <c r="U316" s="1" t="s">
        <v>65</v>
      </c>
      <c r="V316" s="1"/>
      <c r="W316" s="1" t="s">
        <v>65</v>
      </c>
      <c r="X316" s="1"/>
      <c r="Y316" s="1"/>
      <c r="Z316" s="1"/>
      <c r="AA316" s="1"/>
      <c r="AB316" s="1"/>
      <c r="AC316" s="1" t="s">
        <v>65</v>
      </c>
      <c r="AD316" s="1" t="s">
        <v>65</v>
      </c>
      <c r="AE316" s="1"/>
      <c r="AF316" s="1" t="s">
        <v>65</v>
      </c>
      <c r="AG316" s="1" t="s">
        <v>6771</v>
      </c>
      <c r="AH316" s="1"/>
      <c r="AI316" s="7" t="s">
        <v>6773</v>
      </c>
      <c r="AJ316" s="1"/>
      <c r="AK316" s="1"/>
      <c r="AL316" s="1"/>
      <c r="AM316" s="1"/>
      <c r="AN316" s="1"/>
    </row>
    <row r="317" hidden="1">
      <c r="A317" s="1" t="s">
        <v>3206</v>
      </c>
      <c r="B317" s="1" t="s">
        <v>3206</v>
      </c>
      <c r="C317" s="4">
        <v>45797.713541666664</v>
      </c>
      <c r="D317" s="5">
        <v>1.74776085E9</v>
      </c>
      <c r="E317" s="7" t="s">
        <v>3207</v>
      </c>
      <c r="F317" s="1" t="s">
        <v>3209</v>
      </c>
      <c r="G317" s="1" t="s">
        <v>3210</v>
      </c>
      <c r="H317" s="1" t="s">
        <v>3211</v>
      </c>
      <c r="I317" s="1" t="s">
        <v>3212</v>
      </c>
      <c r="J317" s="7" t="s">
        <v>3213</v>
      </c>
      <c r="K317" s="7" t="s">
        <v>3214</v>
      </c>
      <c r="L317" s="9" t="b">
        <v>0</v>
      </c>
      <c r="M317" s="1" t="s">
        <v>85</v>
      </c>
      <c r="N317" s="1" t="s">
        <v>68</v>
      </c>
      <c r="O317" s="1" t="s">
        <v>65</v>
      </c>
      <c r="P317" s="5">
        <v>0.0</v>
      </c>
      <c r="Q317" s="5">
        <v>1.0</v>
      </c>
      <c r="R317" s="5">
        <v>0.0</v>
      </c>
      <c r="S317" s="5">
        <v>0.0</v>
      </c>
      <c r="T317" s="5">
        <v>69.0</v>
      </c>
      <c r="U317" s="1" t="s">
        <v>65</v>
      </c>
      <c r="V317" s="1"/>
      <c r="W317" s="1" t="s">
        <v>65</v>
      </c>
      <c r="X317" s="1"/>
      <c r="Y317" s="1"/>
      <c r="Z317" s="1"/>
      <c r="AA317" s="1"/>
      <c r="AB317" s="1"/>
      <c r="AC317" s="1" t="s">
        <v>65</v>
      </c>
      <c r="AD317" s="1" t="s">
        <v>65</v>
      </c>
      <c r="AE317" s="1"/>
      <c r="AF317" s="1" t="s">
        <v>65</v>
      </c>
      <c r="AG317" s="1"/>
      <c r="AH317" s="1"/>
      <c r="AI317" s="1"/>
      <c r="AJ317" s="1"/>
      <c r="AK317" s="1"/>
      <c r="AL317" s="1"/>
      <c r="AM317" s="1"/>
      <c r="AN317" s="1"/>
    </row>
    <row r="318">
      <c r="A318" s="1" t="s">
        <v>6781</v>
      </c>
      <c r="B318" s="1" t="s">
        <v>6781</v>
      </c>
      <c r="C318" s="4">
        <v>45796.72351851852</v>
      </c>
      <c r="D318" s="5">
        <v>1.747675312E9</v>
      </c>
      <c r="E318" s="7" t="s">
        <v>6783</v>
      </c>
      <c r="F318" s="1" t="s">
        <v>6787</v>
      </c>
      <c r="G318" s="1" t="s">
        <v>219</v>
      </c>
      <c r="H318" s="1" t="s">
        <v>221</v>
      </c>
      <c r="I318" s="1" t="s">
        <v>222</v>
      </c>
      <c r="J318" s="7" t="s">
        <v>223</v>
      </c>
      <c r="K318" s="7" t="s">
        <v>226</v>
      </c>
      <c r="L318" s="9" t="b">
        <v>0</v>
      </c>
      <c r="M318" s="1" t="s">
        <v>66</v>
      </c>
      <c r="N318" s="1" t="s">
        <v>64</v>
      </c>
      <c r="O318" s="1" t="s">
        <v>65</v>
      </c>
      <c r="P318" s="5">
        <v>1.0</v>
      </c>
      <c r="Q318" s="5">
        <v>0.0</v>
      </c>
      <c r="R318" s="5">
        <v>1.0</v>
      </c>
      <c r="S318" s="5">
        <v>0.0</v>
      </c>
      <c r="T318" s="5">
        <v>59.0</v>
      </c>
      <c r="U318" s="1" t="s">
        <v>65</v>
      </c>
      <c r="V318" s="1"/>
      <c r="W318" s="1" t="s">
        <v>65</v>
      </c>
      <c r="X318" s="1"/>
      <c r="Y318" s="1"/>
      <c r="Z318" s="1"/>
      <c r="AA318" s="1"/>
      <c r="AB318" s="1"/>
      <c r="AC318" s="1" t="s">
        <v>65</v>
      </c>
      <c r="AD318" s="1" t="s">
        <v>65</v>
      </c>
      <c r="AE318" s="1"/>
      <c r="AF318" s="1" t="s">
        <v>65</v>
      </c>
      <c r="AG318" s="1" t="s">
        <v>6789</v>
      </c>
      <c r="AH318" s="1"/>
      <c r="AI318" s="7" t="s">
        <v>6790</v>
      </c>
      <c r="AJ318" s="1"/>
      <c r="AK318" s="1"/>
      <c r="AL318" s="1"/>
      <c r="AM318" s="1"/>
      <c r="AN318" s="1"/>
    </row>
    <row r="319">
      <c r="A319" s="1" t="s">
        <v>6791</v>
      </c>
      <c r="B319" s="1" t="s">
        <v>6791</v>
      </c>
      <c r="C319" s="4">
        <v>45796.70065972222</v>
      </c>
      <c r="D319" s="5">
        <v>1.747673337E9</v>
      </c>
      <c r="E319" s="7" t="s">
        <v>6792</v>
      </c>
      <c r="F319" s="1" t="s">
        <v>6795</v>
      </c>
      <c r="G319" s="1" t="s">
        <v>219</v>
      </c>
      <c r="H319" s="1" t="s">
        <v>221</v>
      </c>
      <c r="I319" s="1" t="s">
        <v>222</v>
      </c>
      <c r="J319" s="7" t="s">
        <v>223</v>
      </c>
      <c r="K319" s="7" t="s">
        <v>226</v>
      </c>
      <c r="L319" s="9" t="b">
        <v>0</v>
      </c>
      <c r="M319" s="1" t="s">
        <v>66</v>
      </c>
      <c r="N319" s="1" t="s">
        <v>64</v>
      </c>
      <c r="O319" s="1" t="s">
        <v>65</v>
      </c>
      <c r="P319" s="5">
        <v>1.0</v>
      </c>
      <c r="Q319" s="5">
        <v>0.0</v>
      </c>
      <c r="R319" s="5">
        <v>1.0</v>
      </c>
      <c r="S319" s="5">
        <v>0.0</v>
      </c>
      <c r="T319" s="5">
        <v>62.0</v>
      </c>
      <c r="U319" s="1" t="s">
        <v>65</v>
      </c>
      <c r="V319" s="1"/>
      <c r="W319" s="1" t="s">
        <v>65</v>
      </c>
      <c r="X319" s="1"/>
      <c r="Y319" s="1"/>
      <c r="Z319" s="1"/>
      <c r="AA319" s="1"/>
      <c r="AB319" s="1"/>
      <c r="AC319" s="1" t="s">
        <v>65</v>
      </c>
      <c r="AD319" s="1" t="s">
        <v>65</v>
      </c>
      <c r="AE319" s="1"/>
      <c r="AF319" s="1" t="s">
        <v>65</v>
      </c>
      <c r="AG319" s="1" t="s">
        <v>6797</v>
      </c>
      <c r="AH319" s="1"/>
      <c r="AI319" s="7" t="s">
        <v>6799</v>
      </c>
      <c r="AJ319" s="7" t="s">
        <v>6803</v>
      </c>
      <c r="AK319" s="1"/>
      <c r="AL319" s="1"/>
      <c r="AM319" s="1"/>
      <c r="AN319" s="1"/>
    </row>
    <row r="320" hidden="1">
      <c r="A320" s="1" t="s">
        <v>1790</v>
      </c>
      <c r="B320" s="1" t="s">
        <v>1790</v>
      </c>
      <c r="C320" s="4">
        <v>45795.94238425926</v>
      </c>
      <c r="D320" s="5">
        <v>1.747607822E9</v>
      </c>
      <c r="E320" s="7" t="s">
        <v>1792</v>
      </c>
      <c r="F320" s="1" t="s">
        <v>1794</v>
      </c>
      <c r="G320" s="1" t="s">
        <v>1795</v>
      </c>
      <c r="H320" s="1" t="s">
        <v>1796</v>
      </c>
      <c r="I320" s="5">
        <v>2.358855016E9</v>
      </c>
      <c r="J320" s="7" t="s">
        <v>1797</v>
      </c>
      <c r="K320" s="7" t="s">
        <v>1801</v>
      </c>
      <c r="L320" s="9" t="b">
        <v>0</v>
      </c>
      <c r="M320" s="1" t="s">
        <v>66</v>
      </c>
      <c r="N320" s="1" t="s">
        <v>68</v>
      </c>
      <c r="O320" s="1" t="s">
        <v>65</v>
      </c>
      <c r="P320" s="5">
        <v>0.0</v>
      </c>
      <c r="Q320" s="5">
        <v>0.0</v>
      </c>
      <c r="R320" s="5">
        <v>4.0</v>
      </c>
      <c r="S320" s="5">
        <v>0.0</v>
      </c>
      <c r="T320" s="5">
        <v>397.0</v>
      </c>
      <c r="U320" s="1" t="s">
        <v>65</v>
      </c>
      <c r="V320" s="1"/>
      <c r="W320" s="1" t="s">
        <v>65</v>
      </c>
      <c r="X320" s="1"/>
      <c r="Y320" s="1"/>
      <c r="Z320" s="1"/>
      <c r="AA320" s="1"/>
      <c r="AB320" s="1"/>
      <c r="AC320" s="1" t="s">
        <v>65</v>
      </c>
      <c r="AD320" s="1" t="s">
        <v>65</v>
      </c>
      <c r="AE320" s="1"/>
      <c r="AF320" s="1" t="s">
        <v>65</v>
      </c>
      <c r="AG320" s="1"/>
      <c r="AH320" s="1"/>
      <c r="AI320" s="1"/>
      <c r="AJ320" s="1"/>
      <c r="AK320" s="1"/>
      <c r="AL320" s="1"/>
      <c r="AM320" s="1"/>
      <c r="AN320" s="1"/>
    </row>
    <row r="321">
      <c r="A321" s="1" t="s">
        <v>951</v>
      </c>
      <c r="B321" s="1" t="s">
        <v>951</v>
      </c>
      <c r="C321" s="4">
        <v>45795.79188657407</v>
      </c>
      <c r="D321" s="5">
        <v>1.747594819E9</v>
      </c>
      <c r="E321" s="7" t="s">
        <v>954</v>
      </c>
      <c r="F321" s="1" t="s">
        <v>955</v>
      </c>
      <c r="G321" s="1" t="s">
        <v>956</v>
      </c>
      <c r="H321" s="1" t="s">
        <v>957</v>
      </c>
      <c r="I321" s="5">
        <v>6068.0</v>
      </c>
      <c r="J321" s="7" t="s">
        <v>958</v>
      </c>
      <c r="K321" s="7" t="s">
        <v>963</v>
      </c>
      <c r="L321" s="9" t="b">
        <v>1</v>
      </c>
      <c r="M321" s="1" t="s">
        <v>967</v>
      </c>
      <c r="N321" s="1" t="s">
        <v>64</v>
      </c>
      <c r="O321" s="1" t="s">
        <v>65</v>
      </c>
      <c r="P321" s="5">
        <v>0.0</v>
      </c>
      <c r="Q321" s="5">
        <v>0.0</v>
      </c>
      <c r="R321" s="5">
        <v>13.0</v>
      </c>
      <c r="S321" s="5">
        <v>0.0</v>
      </c>
      <c r="T321" s="5">
        <v>2816.0</v>
      </c>
      <c r="U321" s="1" t="s">
        <v>65</v>
      </c>
      <c r="V321" s="1"/>
      <c r="W321" s="1" t="s">
        <v>65</v>
      </c>
      <c r="X321" s="1"/>
      <c r="Y321" s="1"/>
      <c r="Z321" s="1"/>
      <c r="AA321" s="1"/>
      <c r="AB321" s="1"/>
      <c r="AC321" s="1" t="s">
        <v>65</v>
      </c>
      <c r="AD321" s="1" t="s">
        <v>65</v>
      </c>
      <c r="AE321" s="1"/>
      <c r="AF321" s="1" t="s">
        <v>65</v>
      </c>
      <c r="AG321" s="1"/>
      <c r="AH321" s="1"/>
      <c r="AI321" s="7" t="s">
        <v>970</v>
      </c>
      <c r="AJ321" s="7" t="s">
        <v>973</v>
      </c>
      <c r="AK321" s="1"/>
      <c r="AL321" s="1"/>
      <c r="AM321" s="1"/>
      <c r="AN321" s="1"/>
    </row>
    <row r="322" hidden="1">
      <c r="A322" s="1" t="s">
        <v>6824</v>
      </c>
      <c r="B322" s="1" t="s">
        <v>6824</v>
      </c>
      <c r="C322" s="4">
        <v>45795.63350694445</v>
      </c>
      <c r="D322" s="5">
        <v>1.747581135E9</v>
      </c>
      <c r="E322" s="7" t="s">
        <v>6827</v>
      </c>
      <c r="F322" s="1" t="s">
        <v>6828</v>
      </c>
      <c r="G322" s="1" t="s">
        <v>6829</v>
      </c>
      <c r="H322" s="1" t="s">
        <v>6830</v>
      </c>
      <c r="I322" s="1" t="s">
        <v>6831</v>
      </c>
      <c r="J322" s="7" t="s">
        <v>6832</v>
      </c>
      <c r="K322" s="7" t="s">
        <v>6835</v>
      </c>
      <c r="L322" s="9" t="b">
        <v>0</v>
      </c>
      <c r="M322" s="1" t="s">
        <v>85</v>
      </c>
      <c r="N322" s="1" t="s">
        <v>68</v>
      </c>
      <c r="O322" s="1" t="s">
        <v>65</v>
      </c>
      <c r="P322" s="5">
        <v>0.0</v>
      </c>
      <c r="Q322" s="5">
        <v>1.0</v>
      </c>
      <c r="R322" s="5">
        <v>4.0</v>
      </c>
      <c r="S322" s="5">
        <v>0.0</v>
      </c>
      <c r="T322" s="5">
        <v>223.0</v>
      </c>
      <c r="U322" s="1" t="s">
        <v>65</v>
      </c>
      <c r="V322" s="1"/>
      <c r="W322" s="1" t="s">
        <v>65</v>
      </c>
      <c r="X322" s="1"/>
      <c r="Y322" s="1"/>
      <c r="Z322" s="1"/>
      <c r="AA322" s="1"/>
      <c r="AB322" s="1"/>
      <c r="AC322" s="1" t="s">
        <v>65</v>
      </c>
      <c r="AD322" s="1" t="s">
        <v>65</v>
      </c>
      <c r="AE322" s="1"/>
      <c r="AF322" s="1" t="s">
        <v>65</v>
      </c>
      <c r="AG322" s="1"/>
      <c r="AH322" s="1"/>
      <c r="AI322" s="1"/>
      <c r="AJ322" s="1"/>
      <c r="AK322" s="1"/>
      <c r="AL322" s="1"/>
      <c r="AM322" s="1"/>
      <c r="AN322" s="1"/>
    </row>
    <row r="323">
      <c r="A323" s="1" t="s">
        <v>6837</v>
      </c>
      <c r="B323" s="1" t="s">
        <v>6838</v>
      </c>
      <c r="C323" s="4">
        <v>45795.49140046296</v>
      </c>
      <c r="D323" s="5">
        <v>1.747568857E9</v>
      </c>
      <c r="E323" s="7" t="s">
        <v>6839</v>
      </c>
      <c r="F323" s="1" t="s">
        <v>6842</v>
      </c>
      <c r="G323" s="1" t="s">
        <v>6843</v>
      </c>
      <c r="H323" s="1" t="s">
        <v>6844</v>
      </c>
      <c r="I323" s="5">
        <v>8.97165E7</v>
      </c>
      <c r="J323" s="7" t="s">
        <v>6845</v>
      </c>
      <c r="K323" s="7" t="s">
        <v>6846</v>
      </c>
      <c r="L323" s="9" t="b">
        <v>0</v>
      </c>
      <c r="M323" s="1" t="s">
        <v>66</v>
      </c>
      <c r="N323" s="1" t="s">
        <v>64</v>
      </c>
      <c r="O323" s="1" t="s">
        <v>65</v>
      </c>
      <c r="P323" s="5">
        <v>0.0</v>
      </c>
      <c r="Q323" s="5">
        <v>2.0</v>
      </c>
      <c r="R323" s="5">
        <v>0.0</v>
      </c>
      <c r="S323" s="5">
        <v>0.0</v>
      </c>
      <c r="T323" s="5">
        <v>13.0</v>
      </c>
      <c r="U323" s="1" t="s">
        <v>65</v>
      </c>
      <c r="V323" s="1"/>
      <c r="W323" s="1" t="s">
        <v>65</v>
      </c>
      <c r="X323" s="1"/>
      <c r="Y323" s="1"/>
      <c r="Z323" s="1"/>
      <c r="AA323" s="1"/>
      <c r="AB323" s="1"/>
      <c r="AC323" s="1" t="s">
        <v>65</v>
      </c>
      <c r="AD323" s="1" t="s">
        <v>71</v>
      </c>
      <c r="AE323" s="1" t="s">
        <v>6847</v>
      </c>
      <c r="AF323" s="1" t="s">
        <v>65</v>
      </c>
      <c r="AG323" s="1"/>
      <c r="AH323" s="1"/>
      <c r="AI323" s="1"/>
      <c r="AJ323" s="1"/>
      <c r="AK323" s="1" t="s">
        <v>6848</v>
      </c>
      <c r="AL323" s="1"/>
      <c r="AM323" s="1"/>
      <c r="AN323" s="1"/>
    </row>
    <row r="324" hidden="1">
      <c r="A324" s="1" t="s">
        <v>6849</v>
      </c>
      <c r="B324" s="1" t="s">
        <v>6849</v>
      </c>
      <c r="C324" s="4">
        <v>45793.70887731481</v>
      </c>
      <c r="D324" s="5">
        <v>1.747414847E9</v>
      </c>
      <c r="E324" s="7" t="s">
        <v>6850</v>
      </c>
      <c r="F324" s="1" t="s">
        <v>6851</v>
      </c>
      <c r="G324" s="1" t="s">
        <v>6852</v>
      </c>
      <c r="H324" s="1" t="s">
        <v>6853</v>
      </c>
      <c r="I324" s="5">
        <v>5.4222594E7</v>
      </c>
      <c r="J324" s="7" t="s">
        <v>6854</v>
      </c>
      <c r="K324" s="7" t="s">
        <v>6855</v>
      </c>
      <c r="L324" s="9" t="b">
        <v>0</v>
      </c>
      <c r="M324" s="1" t="s">
        <v>66</v>
      </c>
      <c r="N324" s="1" t="s">
        <v>68</v>
      </c>
      <c r="O324" s="1" t="s">
        <v>65</v>
      </c>
      <c r="P324" s="5">
        <v>0.0</v>
      </c>
      <c r="Q324" s="5">
        <v>0.0</v>
      </c>
      <c r="R324" s="5">
        <v>0.0</v>
      </c>
      <c r="S324" s="5">
        <v>0.0</v>
      </c>
      <c r="T324" s="5">
        <v>19.0</v>
      </c>
      <c r="U324" s="1" t="s">
        <v>65</v>
      </c>
      <c r="V324" s="1"/>
      <c r="W324" s="1" t="s">
        <v>65</v>
      </c>
      <c r="X324" s="1"/>
      <c r="Y324" s="1"/>
      <c r="Z324" s="1"/>
      <c r="AA324" s="1"/>
      <c r="AB324" s="1"/>
      <c r="AC324" s="1" t="s">
        <v>65</v>
      </c>
      <c r="AD324" s="1" t="s">
        <v>65</v>
      </c>
      <c r="AE324" s="1"/>
      <c r="AF324" s="1" t="s">
        <v>65</v>
      </c>
      <c r="AG324" s="1"/>
      <c r="AH324" s="1"/>
      <c r="AI324" s="1"/>
      <c r="AJ324" s="1"/>
      <c r="AK324" s="1"/>
      <c r="AL324" s="1"/>
      <c r="AM324" s="1"/>
      <c r="AN324" s="1"/>
    </row>
    <row r="325">
      <c r="A325" s="1" t="s">
        <v>2749</v>
      </c>
      <c r="B325" s="1" t="s">
        <v>2749</v>
      </c>
      <c r="C325" s="4">
        <v>45793.39050925926</v>
      </c>
      <c r="D325" s="5">
        <v>1.74738734E9</v>
      </c>
      <c r="E325" s="7" t="s">
        <v>2754</v>
      </c>
      <c r="F325" s="1" t="s">
        <v>2758</v>
      </c>
      <c r="G325" s="1" t="s">
        <v>2759</v>
      </c>
      <c r="H325" s="1" t="s">
        <v>2760</v>
      </c>
      <c r="I325" s="5">
        <v>2.467626889E9</v>
      </c>
      <c r="J325" s="7" t="s">
        <v>2761</v>
      </c>
      <c r="K325" s="7" t="s">
        <v>2765</v>
      </c>
      <c r="L325" s="9" t="b">
        <v>1</v>
      </c>
      <c r="M325" s="1" t="s">
        <v>66</v>
      </c>
      <c r="N325" s="1" t="s">
        <v>64</v>
      </c>
      <c r="O325" s="1" t="s">
        <v>65</v>
      </c>
      <c r="P325" s="5">
        <v>0.0</v>
      </c>
      <c r="Q325" s="5">
        <v>1.0</v>
      </c>
      <c r="R325" s="5">
        <v>0.0</v>
      </c>
      <c r="S325" s="5">
        <v>0.0</v>
      </c>
      <c r="T325" s="5">
        <v>68.0</v>
      </c>
      <c r="U325" s="1" t="s">
        <v>65</v>
      </c>
      <c r="V325" s="1"/>
      <c r="W325" s="1" t="s">
        <v>65</v>
      </c>
      <c r="X325" s="1"/>
      <c r="Y325" s="1"/>
      <c r="Z325" s="1"/>
      <c r="AA325" s="1"/>
      <c r="AB325" s="1"/>
      <c r="AC325" s="1" t="s">
        <v>65</v>
      </c>
      <c r="AD325" s="1" t="s">
        <v>65</v>
      </c>
      <c r="AE325" s="1"/>
      <c r="AF325" s="1" t="s">
        <v>65</v>
      </c>
      <c r="AG325" s="1"/>
      <c r="AH325" s="1"/>
      <c r="AI325" s="7" t="s">
        <v>2774</v>
      </c>
      <c r="AJ325" s="1"/>
      <c r="AK325" s="1"/>
      <c r="AL325" s="1"/>
      <c r="AM325" s="1"/>
      <c r="AN325" s="1"/>
    </row>
    <row r="326">
      <c r="A326" s="1" t="s">
        <v>6856</v>
      </c>
      <c r="B326" s="1" t="s">
        <v>6856</v>
      </c>
      <c r="C326" s="4">
        <v>45793.202881944446</v>
      </c>
      <c r="D326" s="5">
        <v>1.747371129E9</v>
      </c>
      <c r="E326" s="7" t="s">
        <v>6857</v>
      </c>
      <c r="F326" s="1" t="s">
        <v>6858</v>
      </c>
      <c r="G326" s="1" t="s">
        <v>6859</v>
      </c>
      <c r="H326" s="1" t="s">
        <v>6860</v>
      </c>
      <c r="I326" s="1" t="s">
        <v>6861</v>
      </c>
      <c r="J326" s="7" t="s">
        <v>6862</v>
      </c>
      <c r="K326" s="7" t="s">
        <v>6863</v>
      </c>
      <c r="L326" s="9" t="b">
        <v>0</v>
      </c>
      <c r="M326" s="1" t="s">
        <v>85</v>
      </c>
      <c r="N326" s="1" t="s">
        <v>64</v>
      </c>
      <c r="O326" s="1" t="s">
        <v>65</v>
      </c>
      <c r="P326" s="5">
        <v>0.0</v>
      </c>
      <c r="Q326" s="5">
        <v>0.0</v>
      </c>
      <c r="R326" s="5">
        <v>1.0</v>
      </c>
      <c r="S326" s="5">
        <v>0.0</v>
      </c>
      <c r="T326" s="5">
        <v>116.0</v>
      </c>
      <c r="U326" s="1" t="s">
        <v>65</v>
      </c>
      <c r="V326" s="1"/>
      <c r="W326" s="1" t="s">
        <v>65</v>
      </c>
      <c r="X326" s="1"/>
      <c r="Y326" s="1"/>
      <c r="Z326" s="1"/>
      <c r="AA326" s="1"/>
      <c r="AB326" s="1"/>
      <c r="AC326" s="1" t="s">
        <v>65</v>
      </c>
      <c r="AD326" s="1" t="s">
        <v>65</v>
      </c>
      <c r="AE326" s="1"/>
      <c r="AF326" s="1" t="s">
        <v>65</v>
      </c>
      <c r="AG326" s="1"/>
      <c r="AH326" s="1"/>
      <c r="AI326" s="1"/>
      <c r="AJ326" s="1"/>
      <c r="AK326" s="1"/>
      <c r="AL326" s="1"/>
      <c r="AM326" s="1"/>
      <c r="AN326" s="1"/>
    </row>
    <row r="327" hidden="1">
      <c r="A327" s="1" t="s">
        <v>6864</v>
      </c>
      <c r="B327" s="1" t="s">
        <v>6865</v>
      </c>
      <c r="C327" s="4">
        <v>45791.914976851855</v>
      </c>
      <c r="D327" s="5">
        <v>1.747259854E9</v>
      </c>
      <c r="E327" s="7" t="s">
        <v>6866</v>
      </c>
      <c r="F327" s="1" t="s">
        <v>6867</v>
      </c>
      <c r="G327" s="1" t="s">
        <v>6868</v>
      </c>
      <c r="H327" s="1" t="s">
        <v>6869</v>
      </c>
      <c r="I327" s="1" t="s">
        <v>6870</v>
      </c>
      <c r="J327" s="7" t="s">
        <v>6871</v>
      </c>
      <c r="K327" s="7" t="s">
        <v>6872</v>
      </c>
      <c r="L327" s="9" t="b">
        <v>0</v>
      </c>
      <c r="M327" s="1" t="s">
        <v>67</v>
      </c>
      <c r="N327" s="1" t="s">
        <v>68</v>
      </c>
      <c r="O327" s="1" t="s">
        <v>65</v>
      </c>
      <c r="P327" s="5">
        <v>0.0</v>
      </c>
      <c r="Q327" s="5">
        <v>2.0</v>
      </c>
      <c r="R327" s="5">
        <v>0.0</v>
      </c>
      <c r="S327" s="5">
        <v>0.0</v>
      </c>
      <c r="T327" s="5">
        <v>16.0</v>
      </c>
      <c r="U327" s="1" t="s">
        <v>65</v>
      </c>
      <c r="V327" s="1"/>
      <c r="W327" s="1" t="s">
        <v>65</v>
      </c>
      <c r="X327" s="1"/>
      <c r="Y327" s="1"/>
      <c r="Z327" s="1"/>
      <c r="AA327" s="1"/>
      <c r="AB327" s="1"/>
      <c r="AC327" s="1" t="s">
        <v>65</v>
      </c>
      <c r="AD327" s="1" t="s">
        <v>71</v>
      </c>
      <c r="AE327" s="1" t="s">
        <v>6873</v>
      </c>
      <c r="AF327" s="1" t="s">
        <v>65</v>
      </c>
      <c r="AG327" s="1"/>
      <c r="AH327" s="1"/>
      <c r="AI327" s="1"/>
      <c r="AJ327" s="1"/>
      <c r="AK327" s="1" t="s">
        <v>6874</v>
      </c>
      <c r="AL327" s="1"/>
      <c r="AM327" s="1"/>
      <c r="AN327" s="1"/>
    </row>
    <row r="328" hidden="1">
      <c r="A328" s="1" t="s">
        <v>6875</v>
      </c>
      <c r="B328" s="1" t="s">
        <v>6875</v>
      </c>
      <c r="C328" s="4">
        <v>45791.74309027778</v>
      </c>
      <c r="D328" s="5">
        <v>1.747245003E9</v>
      </c>
      <c r="E328" s="7" t="s">
        <v>6876</v>
      </c>
      <c r="F328" s="1" t="s">
        <v>6877</v>
      </c>
      <c r="G328" s="1" t="s">
        <v>6878</v>
      </c>
      <c r="H328" s="1" t="s">
        <v>6879</v>
      </c>
      <c r="I328" s="1" t="s">
        <v>6880</v>
      </c>
      <c r="J328" s="7" t="s">
        <v>6881</v>
      </c>
      <c r="K328" s="7" t="s">
        <v>6882</v>
      </c>
      <c r="L328" s="9" t="b">
        <v>0</v>
      </c>
      <c r="M328" s="1" t="s">
        <v>67</v>
      </c>
      <c r="N328" s="1" t="s">
        <v>68</v>
      </c>
      <c r="O328" s="1" t="s">
        <v>65</v>
      </c>
      <c r="P328" s="5">
        <v>0.0</v>
      </c>
      <c r="Q328" s="5">
        <v>4.0</v>
      </c>
      <c r="R328" s="5">
        <v>6.0</v>
      </c>
      <c r="S328" s="5">
        <v>0.0</v>
      </c>
      <c r="T328" s="5">
        <v>499.0</v>
      </c>
      <c r="U328" s="1" t="s">
        <v>65</v>
      </c>
      <c r="V328" s="1"/>
      <c r="W328" s="1" t="s">
        <v>65</v>
      </c>
      <c r="X328" s="1"/>
      <c r="Y328" s="1"/>
      <c r="Z328" s="1"/>
      <c r="AA328" s="1"/>
      <c r="AB328" s="1"/>
      <c r="AC328" s="1" t="s">
        <v>65</v>
      </c>
      <c r="AD328" s="1" t="s">
        <v>65</v>
      </c>
      <c r="AE328" s="1"/>
      <c r="AF328" s="1" t="s">
        <v>65</v>
      </c>
      <c r="AG328" s="1"/>
      <c r="AH328" s="1"/>
      <c r="AI328" s="1"/>
      <c r="AJ328" s="1"/>
      <c r="AK328" s="1"/>
      <c r="AL328" s="1"/>
      <c r="AM328" s="1"/>
      <c r="AN328" s="1"/>
    </row>
    <row r="329" hidden="1">
      <c r="A329" s="1" t="s">
        <v>6883</v>
      </c>
      <c r="B329" s="1" t="s">
        <v>6883</v>
      </c>
      <c r="C329" s="4">
        <v>45789.8918287037</v>
      </c>
      <c r="D329" s="5">
        <v>1.747085054E9</v>
      </c>
      <c r="E329" s="7" t="s">
        <v>6884</v>
      </c>
      <c r="F329" s="1" t="s">
        <v>6885</v>
      </c>
      <c r="G329" s="1" t="s">
        <v>6886</v>
      </c>
      <c r="H329" s="1" t="s">
        <v>6887</v>
      </c>
      <c r="I329" s="1" t="s">
        <v>6888</v>
      </c>
      <c r="J329" s="7" t="s">
        <v>6889</v>
      </c>
      <c r="K329" s="7" t="s">
        <v>6890</v>
      </c>
      <c r="L329" s="9" t="b">
        <v>0</v>
      </c>
      <c r="M329" s="1" t="s">
        <v>85</v>
      </c>
      <c r="N329" s="1" t="s">
        <v>68</v>
      </c>
      <c r="O329" s="1" t="s">
        <v>65</v>
      </c>
      <c r="P329" s="5">
        <v>0.0</v>
      </c>
      <c r="Q329" s="5">
        <v>0.0</v>
      </c>
      <c r="R329" s="5">
        <v>2.0</v>
      </c>
      <c r="S329" s="5">
        <v>0.0</v>
      </c>
      <c r="T329" s="5">
        <v>407.0</v>
      </c>
      <c r="U329" s="1" t="s">
        <v>65</v>
      </c>
      <c r="V329" s="1"/>
      <c r="W329" s="1" t="s">
        <v>65</v>
      </c>
      <c r="X329" s="1"/>
      <c r="Y329" s="1"/>
      <c r="Z329" s="1"/>
      <c r="AA329" s="1"/>
      <c r="AB329" s="1"/>
      <c r="AC329" s="1" t="s">
        <v>65</v>
      </c>
      <c r="AD329" s="1" t="s">
        <v>65</v>
      </c>
      <c r="AE329" s="1"/>
      <c r="AF329" s="1" t="s">
        <v>65</v>
      </c>
      <c r="AG329" s="1"/>
      <c r="AH329" s="1"/>
      <c r="AI329" s="1"/>
      <c r="AJ329" s="1"/>
      <c r="AK329" s="1"/>
      <c r="AL329" s="1"/>
      <c r="AM329" s="1"/>
      <c r="AN329" s="1"/>
    </row>
    <row r="330" hidden="1">
      <c r="A330" s="1" t="s">
        <v>6891</v>
      </c>
      <c r="B330" s="1" t="s">
        <v>6892</v>
      </c>
      <c r="C330" s="4">
        <v>45788.15421296296</v>
      </c>
      <c r="D330" s="5">
        <v>1.746934924E9</v>
      </c>
      <c r="E330" s="7" t="s">
        <v>6893</v>
      </c>
      <c r="F330" s="1" t="s">
        <v>6894</v>
      </c>
      <c r="G330" s="1" t="s">
        <v>6895</v>
      </c>
      <c r="H330" s="1" t="s">
        <v>6896</v>
      </c>
      <c r="I330" s="1" t="s">
        <v>6897</v>
      </c>
      <c r="J330" s="7" t="s">
        <v>6898</v>
      </c>
      <c r="K330" s="7" t="s">
        <v>6899</v>
      </c>
      <c r="L330" s="9" t="b">
        <v>0</v>
      </c>
      <c r="M330" s="1" t="s">
        <v>67</v>
      </c>
      <c r="N330" s="1" t="s">
        <v>68</v>
      </c>
      <c r="O330" s="1" t="s">
        <v>65</v>
      </c>
      <c r="P330" s="5">
        <v>0.0</v>
      </c>
      <c r="Q330" s="5">
        <v>1.0</v>
      </c>
      <c r="R330" s="5">
        <v>1.0</v>
      </c>
      <c r="S330" s="5">
        <v>0.0</v>
      </c>
      <c r="T330" s="5">
        <v>32.0</v>
      </c>
      <c r="U330" s="1" t="s">
        <v>65</v>
      </c>
      <c r="V330" s="1"/>
      <c r="W330" s="1" t="s">
        <v>65</v>
      </c>
      <c r="X330" s="1"/>
      <c r="Y330" s="1"/>
      <c r="Z330" s="1"/>
      <c r="AA330" s="1"/>
      <c r="AB330" s="1"/>
      <c r="AC330" s="1" t="s">
        <v>65</v>
      </c>
      <c r="AD330" s="1" t="s">
        <v>71</v>
      </c>
      <c r="AE330" s="1" t="s">
        <v>6900</v>
      </c>
      <c r="AF330" s="1" t="s">
        <v>65</v>
      </c>
      <c r="AG330" s="1"/>
      <c r="AH330" s="1"/>
      <c r="AI330" s="1"/>
      <c r="AJ330" s="1"/>
      <c r="AK330" s="1" t="s">
        <v>6900</v>
      </c>
      <c r="AL330" s="1"/>
      <c r="AM330" s="1"/>
      <c r="AN330" s="1"/>
    </row>
    <row r="331">
      <c r="A331" s="1" t="s">
        <v>6901</v>
      </c>
      <c r="B331" s="1" t="s">
        <v>6902</v>
      </c>
      <c r="C331" s="4">
        <v>45785.61765046296</v>
      </c>
      <c r="D331" s="5">
        <v>1.746715765E9</v>
      </c>
      <c r="E331" s="7" t="s">
        <v>6903</v>
      </c>
      <c r="F331" s="1" t="s">
        <v>6904</v>
      </c>
      <c r="G331" s="1" t="s">
        <v>6905</v>
      </c>
      <c r="H331" s="1" t="s">
        <v>6906</v>
      </c>
      <c r="I331" s="1" t="s">
        <v>6907</v>
      </c>
      <c r="J331" s="7" t="s">
        <v>6908</v>
      </c>
      <c r="K331" s="7" t="s">
        <v>6909</v>
      </c>
      <c r="L331" s="9" t="b">
        <v>0</v>
      </c>
      <c r="M331" s="1" t="s">
        <v>67</v>
      </c>
      <c r="N331" s="1" t="s">
        <v>64</v>
      </c>
      <c r="O331" s="1" t="s">
        <v>65</v>
      </c>
      <c r="P331" s="5">
        <v>0.0</v>
      </c>
      <c r="Q331" s="5">
        <v>0.0</v>
      </c>
      <c r="R331" s="5">
        <v>3.0</v>
      </c>
      <c r="S331" s="5">
        <v>0.0</v>
      </c>
      <c r="T331" s="5">
        <v>122.0</v>
      </c>
      <c r="U331" s="1" t="s">
        <v>65</v>
      </c>
      <c r="V331" s="1"/>
      <c r="W331" s="1" t="s">
        <v>65</v>
      </c>
      <c r="X331" s="1"/>
      <c r="Y331" s="1"/>
      <c r="Z331" s="1"/>
      <c r="AA331" s="1"/>
      <c r="AB331" s="1"/>
      <c r="AC331" s="1" t="s">
        <v>65</v>
      </c>
      <c r="AD331" s="1" t="s">
        <v>71</v>
      </c>
      <c r="AE331" s="1" t="s">
        <v>6910</v>
      </c>
      <c r="AF331" s="1" t="s">
        <v>65</v>
      </c>
      <c r="AG331" s="1"/>
      <c r="AH331" s="1"/>
      <c r="AI331" s="1"/>
      <c r="AJ331" s="1"/>
      <c r="AK331" s="1" t="s">
        <v>6911</v>
      </c>
      <c r="AL331" s="1"/>
      <c r="AM331" s="1"/>
      <c r="AN331" s="1"/>
    </row>
    <row r="332" hidden="1">
      <c r="A332" s="1" t="s">
        <v>6912</v>
      </c>
      <c r="B332" s="1" t="s">
        <v>6912</v>
      </c>
      <c r="C332" s="4">
        <v>45784.54785879629</v>
      </c>
      <c r="D332" s="5">
        <v>1.746623335E9</v>
      </c>
      <c r="E332" s="7" t="s">
        <v>6913</v>
      </c>
      <c r="F332" s="1" t="s">
        <v>6914</v>
      </c>
      <c r="G332" s="1" t="s">
        <v>6915</v>
      </c>
      <c r="H332" s="1" t="s">
        <v>6916</v>
      </c>
      <c r="I332" s="1" t="s">
        <v>6917</v>
      </c>
      <c r="J332" s="7" t="s">
        <v>6918</v>
      </c>
      <c r="K332" s="7" t="s">
        <v>6919</v>
      </c>
      <c r="L332" s="9" t="b">
        <v>0</v>
      </c>
      <c r="M332" s="1" t="s">
        <v>85</v>
      </c>
      <c r="N332" s="1" t="s">
        <v>68</v>
      </c>
      <c r="O332" s="1" t="s">
        <v>65</v>
      </c>
      <c r="P332" s="5">
        <v>0.0</v>
      </c>
      <c r="Q332" s="5">
        <v>1.0</v>
      </c>
      <c r="R332" s="5">
        <v>1.0</v>
      </c>
      <c r="S332" s="5">
        <v>0.0</v>
      </c>
      <c r="T332" s="5">
        <v>166.0</v>
      </c>
      <c r="U332" s="1" t="s">
        <v>65</v>
      </c>
      <c r="V332" s="1"/>
      <c r="W332" s="1" t="s">
        <v>65</v>
      </c>
      <c r="X332" s="1"/>
      <c r="Y332" s="1"/>
      <c r="Z332" s="1"/>
      <c r="AA332" s="1"/>
      <c r="AB332" s="1"/>
      <c r="AC332" s="1" t="s">
        <v>65</v>
      </c>
      <c r="AD332" s="1" t="s">
        <v>65</v>
      </c>
      <c r="AE332" s="1"/>
      <c r="AF332" s="1" t="s">
        <v>65</v>
      </c>
      <c r="AG332" s="1"/>
      <c r="AH332" s="1"/>
      <c r="AI332" s="1"/>
      <c r="AJ332" s="1"/>
      <c r="AK332" s="1"/>
      <c r="AL332" s="1"/>
      <c r="AM332" s="1"/>
      <c r="AN332" s="1"/>
    </row>
    <row r="333">
      <c r="A333" s="1" t="s">
        <v>6920</v>
      </c>
      <c r="B333" s="1" t="s">
        <v>6921</v>
      </c>
      <c r="C333" s="4">
        <v>45783.75898148148</v>
      </c>
      <c r="D333" s="5">
        <v>1.746555176E9</v>
      </c>
      <c r="E333" s="7" t="s">
        <v>6922</v>
      </c>
      <c r="F333" s="1" t="s">
        <v>6923</v>
      </c>
      <c r="G333" s="1" t="s">
        <v>6924</v>
      </c>
      <c r="H333" s="1" t="s">
        <v>6925</v>
      </c>
      <c r="I333" s="1" t="s">
        <v>6926</v>
      </c>
      <c r="J333" s="7" t="s">
        <v>6927</v>
      </c>
      <c r="K333" s="7" t="s">
        <v>6928</v>
      </c>
      <c r="L333" s="9" t="b">
        <v>0</v>
      </c>
      <c r="M333" s="1" t="s">
        <v>67</v>
      </c>
      <c r="N333" s="1" t="s">
        <v>64</v>
      </c>
      <c r="O333" s="1" t="s">
        <v>65</v>
      </c>
      <c r="P333" s="5">
        <v>0.0</v>
      </c>
      <c r="Q333" s="5">
        <v>1.0</v>
      </c>
      <c r="R333" s="5">
        <v>0.0</v>
      </c>
      <c r="S333" s="5">
        <v>0.0</v>
      </c>
      <c r="T333" s="5">
        <v>15.0</v>
      </c>
      <c r="U333" s="1" t="s">
        <v>65</v>
      </c>
      <c r="V333" s="1"/>
      <c r="W333" s="1" t="s">
        <v>65</v>
      </c>
      <c r="X333" s="1"/>
      <c r="Y333" s="1"/>
      <c r="Z333" s="1"/>
      <c r="AA333" s="1"/>
      <c r="AB333" s="1"/>
      <c r="AC333" s="1" t="s">
        <v>65</v>
      </c>
      <c r="AD333" s="1" t="s">
        <v>71</v>
      </c>
      <c r="AE333" s="1" t="s">
        <v>6929</v>
      </c>
      <c r="AF333" s="1" t="s">
        <v>65</v>
      </c>
      <c r="AG333" s="1"/>
      <c r="AH333" s="1"/>
      <c r="AI333" s="1"/>
      <c r="AJ333" s="1"/>
      <c r="AK333" s="1" t="s">
        <v>6930</v>
      </c>
      <c r="AL333" s="1"/>
      <c r="AM333" s="1"/>
      <c r="AN333" s="1"/>
    </row>
    <row r="334" hidden="1">
      <c r="A334" s="1" t="s">
        <v>6931</v>
      </c>
      <c r="B334" s="1" t="s">
        <v>6931</v>
      </c>
      <c r="C334" s="4">
        <v>45783.64895833333</v>
      </c>
      <c r="D334" s="5">
        <v>1.74654567E9</v>
      </c>
      <c r="E334" s="7" t="s">
        <v>6932</v>
      </c>
      <c r="F334" s="1" t="s">
        <v>6933</v>
      </c>
      <c r="G334" s="1" t="s">
        <v>6934</v>
      </c>
      <c r="H334" s="1" t="s">
        <v>6935</v>
      </c>
      <c r="I334" s="1" t="s">
        <v>6936</v>
      </c>
      <c r="J334" s="7" t="s">
        <v>6937</v>
      </c>
      <c r="K334" s="7" t="s">
        <v>6938</v>
      </c>
      <c r="L334" s="9" t="b">
        <v>0</v>
      </c>
      <c r="M334" s="1" t="s">
        <v>66</v>
      </c>
      <c r="N334" s="1" t="s">
        <v>2012</v>
      </c>
      <c r="O334" s="1" t="s">
        <v>65</v>
      </c>
      <c r="P334" s="5">
        <v>0.0</v>
      </c>
      <c r="Q334" s="5">
        <v>1.0</v>
      </c>
      <c r="R334" s="5">
        <v>0.0</v>
      </c>
      <c r="S334" s="5">
        <v>0.0</v>
      </c>
      <c r="T334" s="5">
        <v>21.0</v>
      </c>
      <c r="U334" s="1" t="s">
        <v>65</v>
      </c>
      <c r="V334" s="1"/>
      <c r="W334" s="1" t="s">
        <v>65</v>
      </c>
      <c r="X334" s="1"/>
      <c r="Y334" s="1"/>
      <c r="Z334" s="1"/>
      <c r="AA334" s="1"/>
      <c r="AB334" s="1"/>
      <c r="AC334" s="1" t="s">
        <v>65</v>
      </c>
      <c r="AD334" s="1" t="s">
        <v>65</v>
      </c>
      <c r="AE334" s="1"/>
      <c r="AF334" s="1" t="s">
        <v>65</v>
      </c>
      <c r="AG334" s="1"/>
      <c r="AH334" s="1"/>
      <c r="AI334" s="1"/>
      <c r="AJ334" s="1"/>
      <c r="AK334" s="1"/>
      <c r="AL334" s="1"/>
      <c r="AM334" s="1"/>
      <c r="AN334" s="1"/>
    </row>
    <row r="335" hidden="1">
      <c r="A335" s="1" t="s">
        <v>6939</v>
      </c>
      <c r="B335" s="1" t="s">
        <v>6940</v>
      </c>
      <c r="C335" s="4">
        <v>45782.94732638889</v>
      </c>
      <c r="D335" s="5">
        <v>1.746485049E9</v>
      </c>
      <c r="E335" s="7" t="s">
        <v>6941</v>
      </c>
      <c r="F335" s="1" t="s">
        <v>6942</v>
      </c>
      <c r="G335" s="1" t="s">
        <v>6943</v>
      </c>
      <c r="H335" s="1" t="s">
        <v>6944</v>
      </c>
      <c r="I335" s="1" t="s">
        <v>6945</v>
      </c>
      <c r="J335" s="7" t="s">
        <v>6946</v>
      </c>
      <c r="K335" s="7" t="s">
        <v>6947</v>
      </c>
      <c r="L335" s="9" t="b">
        <v>0</v>
      </c>
      <c r="M335" s="1" t="s">
        <v>67</v>
      </c>
      <c r="N335" s="1" t="s">
        <v>68</v>
      </c>
      <c r="O335" s="1" t="s">
        <v>65</v>
      </c>
      <c r="P335" s="5">
        <v>0.0</v>
      </c>
      <c r="Q335" s="5">
        <v>0.0</v>
      </c>
      <c r="R335" s="5">
        <v>1.0</v>
      </c>
      <c r="S335" s="5">
        <v>0.0</v>
      </c>
      <c r="T335" s="5">
        <v>64.0</v>
      </c>
      <c r="U335" s="1" t="s">
        <v>65</v>
      </c>
      <c r="V335" s="1"/>
      <c r="W335" s="1" t="s">
        <v>65</v>
      </c>
      <c r="X335" s="1"/>
      <c r="Y335" s="1"/>
      <c r="Z335" s="1"/>
      <c r="AA335" s="1"/>
      <c r="AB335" s="1"/>
      <c r="AC335" s="1" t="s">
        <v>65</v>
      </c>
      <c r="AD335" s="1" t="s">
        <v>71</v>
      </c>
      <c r="AE335" s="1" t="s">
        <v>6948</v>
      </c>
      <c r="AF335" s="1" t="s">
        <v>65</v>
      </c>
      <c r="AG335" s="1"/>
      <c r="AH335" s="1"/>
      <c r="AI335" s="1"/>
      <c r="AJ335" s="1"/>
      <c r="AK335" s="1" t="s">
        <v>6949</v>
      </c>
      <c r="AL335" s="1"/>
      <c r="AM335" s="1"/>
      <c r="AN335" s="1"/>
    </row>
    <row r="336" hidden="1">
      <c r="A336" s="1" t="s">
        <v>6950</v>
      </c>
      <c r="B336" s="1" t="s">
        <v>6951</v>
      </c>
      <c r="C336" s="4">
        <v>45781.51359953704</v>
      </c>
      <c r="D336" s="5">
        <v>1.746361175E9</v>
      </c>
      <c r="E336" s="7" t="s">
        <v>6952</v>
      </c>
      <c r="F336" s="1" t="s">
        <v>6953</v>
      </c>
      <c r="G336" s="1" t="s">
        <v>6954</v>
      </c>
      <c r="H336" s="1" t="s">
        <v>6955</v>
      </c>
      <c r="I336" s="1" t="s">
        <v>6956</v>
      </c>
      <c r="J336" s="7" t="s">
        <v>6957</v>
      </c>
      <c r="K336" s="1"/>
      <c r="L336" s="9" t="b">
        <v>0</v>
      </c>
      <c r="M336" s="1" t="s">
        <v>67</v>
      </c>
      <c r="N336" s="1" t="s">
        <v>68</v>
      </c>
      <c r="O336" s="1" t="s">
        <v>65</v>
      </c>
      <c r="P336" s="5">
        <v>0.0</v>
      </c>
      <c r="Q336" s="5">
        <v>0.0</v>
      </c>
      <c r="R336" s="5">
        <v>0.0</v>
      </c>
      <c r="S336" s="5">
        <v>0.0</v>
      </c>
      <c r="T336" s="5">
        <v>46.0</v>
      </c>
      <c r="U336" s="1" t="s">
        <v>65</v>
      </c>
      <c r="V336" s="1"/>
      <c r="W336" s="1" t="s">
        <v>65</v>
      </c>
      <c r="X336" s="1"/>
      <c r="Y336" s="1"/>
      <c r="Z336" s="1"/>
      <c r="AA336" s="1"/>
      <c r="AB336" s="1"/>
      <c r="AC336" s="1" t="s">
        <v>65</v>
      </c>
      <c r="AD336" s="1" t="s">
        <v>71</v>
      </c>
      <c r="AE336" s="1"/>
      <c r="AF336" s="1" t="s">
        <v>65</v>
      </c>
      <c r="AG336" s="1"/>
      <c r="AH336" s="1"/>
      <c r="AI336" s="1"/>
      <c r="AJ336" s="1"/>
      <c r="AK336" s="1" t="s">
        <v>6958</v>
      </c>
      <c r="AL336" s="1"/>
      <c r="AM336" s="1"/>
      <c r="AN336" s="1"/>
    </row>
    <row r="337">
      <c r="A337" s="1" t="s">
        <v>2017</v>
      </c>
      <c r="B337" s="1" t="s">
        <v>2017</v>
      </c>
      <c r="C337" s="4">
        <v>45779.812627314815</v>
      </c>
      <c r="D337" s="5">
        <v>1.746214211E9</v>
      </c>
      <c r="E337" s="7" t="s">
        <v>2019</v>
      </c>
      <c r="F337" s="1" t="s">
        <v>2022</v>
      </c>
      <c r="G337" s="1" t="s">
        <v>864</v>
      </c>
      <c r="H337" s="1" t="s">
        <v>865</v>
      </c>
      <c r="I337" s="5">
        <v>2.825615947E9</v>
      </c>
      <c r="J337" s="7" t="s">
        <v>866</v>
      </c>
      <c r="K337" s="7" t="s">
        <v>870</v>
      </c>
      <c r="L337" s="9" t="b">
        <v>1</v>
      </c>
      <c r="M337" s="1" t="s">
        <v>1116</v>
      </c>
      <c r="N337" s="1" t="s">
        <v>64</v>
      </c>
      <c r="O337" s="1" t="s">
        <v>65</v>
      </c>
      <c r="P337" s="5">
        <v>1.0</v>
      </c>
      <c r="Q337" s="5">
        <v>1.0</v>
      </c>
      <c r="R337" s="5">
        <v>4.0</v>
      </c>
      <c r="S337" s="5">
        <v>0.0</v>
      </c>
      <c r="T337" s="5">
        <v>175.0</v>
      </c>
      <c r="U337" s="1" t="s">
        <v>65</v>
      </c>
      <c r="V337" s="1"/>
      <c r="W337" s="1" t="s">
        <v>65</v>
      </c>
      <c r="X337" s="1"/>
      <c r="Y337" s="1"/>
      <c r="Z337" s="1"/>
      <c r="AA337" s="1"/>
      <c r="AB337" s="1"/>
      <c r="AC337" s="1" t="s">
        <v>65</v>
      </c>
      <c r="AD337" s="1" t="s">
        <v>65</v>
      </c>
      <c r="AE337" s="1"/>
      <c r="AF337" s="1" t="s">
        <v>65</v>
      </c>
      <c r="AG337" s="1"/>
      <c r="AH337" s="7" t="s">
        <v>2023</v>
      </c>
      <c r="AI337" s="1"/>
      <c r="AJ337" s="1"/>
      <c r="AK337" s="1"/>
      <c r="AL337" s="1"/>
      <c r="AM337" s="1"/>
      <c r="AN337" s="1"/>
    </row>
    <row r="338">
      <c r="A338" s="1" t="s">
        <v>6959</v>
      </c>
      <c r="B338" s="1" t="s">
        <v>6960</v>
      </c>
      <c r="C338" s="4">
        <v>45779.394953703704</v>
      </c>
      <c r="D338" s="5">
        <v>1.746178124E9</v>
      </c>
      <c r="E338" s="7" t="s">
        <v>6961</v>
      </c>
      <c r="F338" s="1" t="s">
        <v>6962</v>
      </c>
      <c r="G338" s="1" t="s">
        <v>6963</v>
      </c>
      <c r="H338" s="1" t="s">
        <v>6964</v>
      </c>
      <c r="I338" s="1" t="s">
        <v>6965</v>
      </c>
      <c r="J338" s="7" t="s">
        <v>6966</v>
      </c>
      <c r="K338" s="7" t="s">
        <v>6967</v>
      </c>
      <c r="L338" s="9" t="b">
        <v>0</v>
      </c>
      <c r="M338" s="1" t="s">
        <v>67</v>
      </c>
      <c r="N338" s="1" t="s">
        <v>64</v>
      </c>
      <c r="O338" s="1" t="s">
        <v>65</v>
      </c>
      <c r="P338" s="5">
        <v>0.0</v>
      </c>
      <c r="Q338" s="5">
        <v>2.0</v>
      </c>
      <c r="R338" s="5">
        <v>0.0</v>
      </c>
      <c r="S338" s="5">
        <v>0.0</v>
      </c>
      <c r="T338" s="5">
        <v>372.0</v>
      </c>
      <c r="U338" s="1" t="s">
        <v>65</v>
      </c>
      <c r="V338" s="1"/>
      <c r="W338" s="1" t="s">
        <v>65</v>
      </c>
      <c r="X338" s="1"/>
      <c r="Y338" s="1"/>
      <c r="Z338" s="1"/>
      <c r="AA338" s="1"/>
      <c r="AB338" s="1"/>
      <c r="AC338" s="1" t="s">
        <v>65</v>
      </c>
      <c r="AD338" s="1" t="s">
        <v>71</v>
      </c>
      <c r="AE338" s="1" t="s">
        <v>6968</v>
      </c>
      <c r="AF338" s="1" t="s">
        <v>65</v>
      </c>
      <c r="AG338" s="1"/>
      <c r="AH338" s="1"/>
      <c r="AI338" s="1"/>
      <c r="AJ338" s="1"/>
      <c r="AK338" s="1" t="s">
        <v>6969</v>
      </c>
      <c r="AL338" s="1"/>
      <c r="AM338" s="1"/>
      <c r="AN338" s="1"/>
    </row>
    <row r="339">
      <c r="A339" s="1" t="s">
        <v>386</v>
      </c>
      <c r="B339" s="1" t="s">
        <v>386</v>
      </c>
      <c r="C339" s="4">
        <v>45779.0887037037</v>
      </c>
      <c r="D339" s="5">
        <v>1.746151664E9</v>
      </c>
      <c r="E339" s="7" t="s">
        <v>387</v>
      </c>
      <c r="F339" s="1" t="s">
        <v>389</v>
      </c>
      <c r="G339" s="1" t="s">
        <v>391</v>
      </c>
      <c r="H339" s="1" t="s">
        <v>392</v>
      </c>
      <c r="I339" s="1" t="s">
        <v>394</v>
      </c>
      <c r="J339" s="7" t="s">
        <v>396</v>
      </c>
      <c r="K339" s="7" t="s">
        <v>1081</v>
      </c>
      <c r="L339" s="9" t="b">
        <v>0</v>
      </c>
      <c r="M339" s="1" t="s">
        <v>85</v>
      </c>
      <c r="N339" s="1" t="s">
        <v>64</v>
      </c>
      <c r="O339" s="1" t="s">
        <v>65</v>
      </c>
      <c r="P339" s="5">
        <v>0.0</v>
      </c>
      <c r="Q339" s="5">
        <v>0.0</v>
      </c>
      <c r="R339" s="5">
        <v>0.0</v>
      </c>
      <c r="S339" s="5">
        <v>0.0</v>
      </c>
      <c r="T339" s="5">
        <v>87.0</v>
      </c>
      <c r="U339" s="1" t="s">
        <v>65</v>
      </c>
      <c r="V339" s="1"/>
      <c r="W339" s="1" t="s">
        <v>65</v>
      </c>
      <c r="X339" s="1"/>
      <c r="Y339" s="1"/>
      <c r="Z339" s="1"/>
      <c r="AA339" s="1"/>
      <c r="AB339" s="1"/>
      <c r="AC339" s="1" t="s">
        <v>65</v>
      </c>
      <c r="AD339" s="1" t="s">
        <v>65</v>
      </c>
      <c r="AE339" s="1"/>
      <c r="AF339" s="1" t="s">
        <v>65</v>
      </c>
      <c r="AG339" s="1"/>
      <c r="AH339" s="7" t="s">
        <v>400</v>
      </c>
      <c r="AI339" s="7" t="s">
        <v>407</v>
      </c>
      <c r="AJ339" s="1"/>
      <c r="AK339" s="1"/>
      <c r="AL339" s="1"/>
      <c r="AM339" s="1"/>
      <c r="AN339" s="1"/>
    </row>
    <row r="340">
      <c r="A340" s="1" t="s">
        <v>6970</v>
      </c>
      <c r="B340" s="1" t="s">
        <v>6971</v>
      </c>
      <c r="C340" s="4">
        <v>45778.77744212963</v>
      </c>
      <c r="D340" s="5">
        <v>1.746124771E9</v>
      </c>
      <c r="E340" s="7" t="s">
        <v>6972</v>
      </c>
      <c r="F340" s="1" t="s">
        <v>6973</v>
      </c>
      <c r="G340" s="1" t="s">
        <v>158</v>
      </c>
      <c r="H340" s="1" t="s">
        <v>159</v>
      </c>
      <c r="I340" s="5">
        <v>2.36621586E8</v>
      </c>
      <c r="J340" s="7" t="s">
        <v>160</v>
      </c>
      <c r="K340" s="7" t="s">
        <v>162</v>
      </c>
      <c r="L340" s="9" t="b">
        <v>0</v>
      </c>
      <c r="M340" s="1" t="s">
        <v>66</v>
      </c>
      <c r="N340" s="1" t="s">
        <v>64</v>
      </c>
      <c r="O340" s="1" t="s">
        <v>65</v>
      </c>
      <c r="P340" s="5">
        <v>3.0</v>
      </c>
      <c r="Q340" s="5">
        <v>1.0</v>
      </c>
      <c r="R340" s="5">
        <v>11.0</v>
      </c>
      <c r="S340" s="5">
        <v>0.0</v>
      </c>
      <c r="T340" s="5">
        <v>699.0</v>
      </c>
      <c r="U340" s="1" t="s">
        <v>65</v>
      </c>
      <c r="V340" s="1"/>
      <c r="W340" s="1" t="s">
        <v>65</v>
      </c>
      <c r="X340" s="1"/>
      <c r="Y340" s="1"/>
      <c r="Z340" s="1"/>
      <c r="AA340" s="1"/>
      <c r="AB340" s="1"/>
      <c r="AC340" s="1" t="s">
        <v>65</v>
      </c>
      <c r="AD340" s="1" t="s">
        <v>71</v>
      </c>
      <c r="AE340" s="1" t="s">
        <v>158</v>
      </c>
      <c r="AF340" s="1" t="s">
        <v>65</v>
      </c>
      <c r="AG340" s="1"/>
      <c r="AH340" s="1"/>
      <c r="AI340" s="1"/>
      <c r="AJ340" s="1"/>
      <c r="AK340" s="1"/>
      <c r="AL340" s="1"/>
      <c r="AM340" s="1"/>
      <c r="AN340" s="1"/>
    </row>
    <row r="341">
      <c r="A341" s="1" t="s">
        <v>6974</v>
      </c>
      <c r="B341" s="1" t="s">
        <v>6921</v>
      </c>
      <c r="C341" s="4">
        <v>45778.499293981484</v>
      </c>
      <c r="D341" s="5">
        <v>1.746100739E9</v>
      </c>
      <c r="E341" s="7" t="s">
        <v>6975</v>
      </c>
      <c r="F341" s="1" t="s">
        <v>6976</v>
      </c>
      <c r="G341" s="1" t="s">
        <v>6924</v>
      </c>
      <c r="H341" s="1" t="s">
        <v>6925</v>
      </c>
      <c r="I341" s="1" t="s">
        <v>6926</v>
      </c>
      <c r="J341" s="7" t="s">
        <v>6927</v>
      </c>
      <c r="K341" s="7" t="s">
        <v>6928</v>
      </c>
      <c r="L341" s="9" t="b">
        <v>0</v>
      </c>
      <c r="M341" s="1" t="s">
        <v>67</v>
      </c>
      <c r="N341" s="1" t="s">
        <v>64</v>
      </c>
      <c r="O341" s="1" t="s">
        <v>65</v>
      </c>
      <c r="P341" s="5">
        <v>0.0</v>
      </c>
      <c r="Q341" s="5">
        <v>1.0</v>
      </c>
      <c r="R341" s="5">
        <v>11.0</v>
      </c>
      <c r="S341" s="5">
        <v>0.0</v>
      </c>
      <c r="T341" s="5">
        <v>414.0</v>
      </c>
      <c r="U341" s="1" t="s">
        <v>65</v>
      </c>
      <c r="V341" s="1"/>
      <c r="W341" s="1" t="s">
        <v>65</v>
      </c>
      <c r="X341" s="1"/>
      <c r="Y341" s="1"/>
      <c r="Z341" s="1"/>
      <c r="AA341" s="1"/>
      <c r="AB341" s="1"/>
      <c r="AC341" s="1" t="s">
        <v>65</v>
      </c>
      <c r="AD341" s="1" t="s">
        <v>71</v>
      </c>
      <c r="AE341" s="1" t="s">
        <v>6929</v>
      </c>
      <c r="AF341" s="1" t="s">
        <v>65</v>
      </c>
      <c r="AG341" s="1"/>
      <c r="AH341" s="1"/>
      <c r="AI341" s="1"/>
      <c r="AJ341" s="1"/>
      <c r="AK341" s="1" t="s">
        <v>6929</v>
      </c>
      <c r="AL341" s="1"/>
      <c r="AM341" s="1"/>
      <c r="AN341" s="1"/>
    </row>
    <row r="342" hidden="1">
      <c r="A342" s="1" t="s">
        <v>2520</v>
      </c>
      <c r="B342" s="1" t="s">
        <v>2520</v>
      </c>
      <c r="C342" s="4">
        <v>45777.78282407407</v>
      </c>
      <c r="D342" s="5">
        <v>1.746038836E9</v>
      </c>
      <c r="E342" s="7" t="s">
        <v>2522</v>
      </c>
      <c r="F342" s="1" t="s">
        <v>2527</v>
      </c>
      <c r="G342" s="1" t="s">
        <v>2528</v>
      </c>
      <c r="H342" s="1" t="s">
        <v>2529</v>
      </c>
      <c r="I342" s="1" t="s">
        <v>2530</v>
      </c>
      <c r="J342" s="7" t="s">
        <v>2531</v>
      </c>
      <c r="K342" s="7" t="s">
        <v>2536</v>
      </c>
      <c r="L342" s="9" t="b">
        <v>0</v>
      </c>
      <c r="M342" s="1" t="s">
        <v>67</v>
      </c>
      <c r="N342" s="1" t="s">
        <v>68</v>
      </c>
      <c r="O342" s="1" t="s">
        <v>65</v>
      </c>
      <c r="P342" s="5">
        <v>0.0</v>
      </c>
      <c r="Q342" s="5">
        <v>0.0</v>
      </c>
      <c r="R342" s="5">
        <v>0.0</v>
      </c>
      <c r="S342" s="5">
        <v>0.0</v>
      </c>
      <c r="T342" s="5">
        <v>34.0</v>
      </c>
      <c r="U342" s="1" t="s">
        <v>65</v>
      </c>
      <c r="V342" s="1"/>
      <c r="W342" s="1" t="s">
        <v>65</v>
      </c>
      <c r="X342" s="1"/>
      <c r="Y342" s="1"/>
      <c r="Z342" s="1"/>
      <c r="AA342" s="1"/>
      <c r="AB342" s="1"/>
      <c r="AC342" s="1" t="s">
        <v>65</v>
      </c>
      <c r="AD342" s="1" t="s">
        <v>65</v>
      </c>
      <c r="AE342" s="1"/>
      <c r="AF342" s="1" t="s">
        <v>65</v>
      </c>
      <c r="AG342" s="1"/>
      <c r="AH342" s="1"/>
      <c r="AI342" s="1"/>
      <c r="AJ342" s="1"/>
      <c r="AK342" s="1"/>
      <c r="AL342" s="1"/>
      <c r="AM342" s="1"/>
      <c r="AN342" s="1"/>
    </row>
    <row r="343" hidden="1">
      <c r="A343" s="1" t="s">
        <v>4405</v>
      </c>
      <c r="B343" s="1" t="s">
        <v>4405</v>
      </c>
      <c r="C343" s="4">
        <v>45777.72752314815</v>
      </c>
      <c r="D343" s="5">
        <v>1.746034058E9</v>
      </c>
      <c r="E343" s="7" t="s">
        <v>4408</v>
      </c>
      <c r="F343" s="1" t="s">
        <v>4409</v>
      </c>
      <c r="G343" s="1" t="s">
        <v>4411</v>
      </c>
      <c r="H343" s="1" t="s">
        <v>4412</v>
      </c>
      <c r="I343" s="5">
        <v>5.444037E7</v>
      </c>
      <c r="J343" s="7" t="s">
        <v>4413</v>
      </c>
      <c r="K343" s="7" t="s">
        <v>4416</v>
      </c>
      <c r="L343" s="9" t="b">
        <v>0</v>
      </c>
      <c r="M343" s="1" t="s">
        <v>66</v>
      </c>
      <c r="N343" s="1" t="s">
        <v>68</v>
      </c>
      <c r="O343" s="1" t="s">
        <v>65</v>
      </c>
      <c r="P343" s="5">
        <v>0.0</v>
      </c>
      <c r="Q343" s="5">
        <v>0.0</v>
      </c>
      <c r="R343" s="5">
        <v>1.0</v>
      </c>
      <c r="S343" s="5">
        <v>0.0</v>
      </c>
      <c r="T343" s="5">
        <v>318.0</v>
      </c>
      <c r="U343" s="1" t="s">
        <v>65</v>
      </c>
      <c r="V343" s="1"/>
      <c r="W343" s="1" t="s">
        <v>65</v>
      </c>
      <c r="X343" s="1"/>
      <c r="Y343" s="1"/>
      <c r="Z343" s="1"/>
      <c r="AA343" s="1"/>
      <c r="AB343" s="1"/>
      <c r="AC343" s="1" t="s">
        <v>65</v>
      </c>
      <c r="AD343" s="1" t="s">
        <v>65</v>
      </c>
      <c r="AE343" s="1"/>
      <c r="AF343" s="1" t="s">
        <v>65</v>
      </c>
      <c r="AG343" s="1"/>
      <c r="AH343" s="1"/>
      <c r="AI343" s="1"/>
      <c r="AJ343" s="1"/>
      <c r="AK343" s="1"/>
      <c r="AL343" s="1"/>
      <c r="AM343" s="1"/>
      <c r="AN343" s="1"/>
    </row>
    <row r="344">
      <c r="A344" s="1" t="s">
        <v>1411</v>
      </c>
      <c r="B344" s="1" t="s">
        <v>1411</v>
      </c>
      <c r="C344" s="4">
        <v>45777.01662037037</v>
      </c>
      <c r="D344" s="5">
        <v>1.745972636E9</v>
      </c>
      <c r="E344" s="7" t="s">
        <v>1412</v>
      </c>
      <c r="F344" s="1" t="s">
        <v>1414</v>
      </c>
      <c r="G344" s="1" t="s">
        <v>1415</v>
      </c>
      <c r="H344" s="1" t="s">
        <v>1417</v>
      </c>
      <c r="I344" s="1" t="s">
        <v>1418</v>
      </c>
      <c r="J344" s="7" t="s">
        <v>1419</v>
      </c>
      <c r="K344" s="7" t="s">
        <v>1421</v>
      </c>
      <c r="L344" s="9" t="b">
        <v>0</v>
      </c>
      <c r="M344" s="1" t="s">
        <v>85</v>
      </c>
      <c r="N344" s="1" t="s">
        <v>64</v>
      </c>
      <c r="O344" s="1" t="s">
        <v>65</v>
      </c>
      <c r="P344" s="5">
        <v>0.0</v>
      </c>
      <c r="Q344" s="5">
        <v>0.0</v>
      </c>
      <c r="R344" s="5">
        <v>1.0</v>
      </c>
      <c r="S344" s="5">
        <v>0.0</v>
      </c>
      <c r="T344" s="5">
        <v>194.0</v>
      </c>
      <c r="U344" s="1" t="s">
        <v>65</v>
      </c>
      <c r="V344" s="1"/>
      <c r="W344" s="1" t="s">
        <v>65</v>
      </c>
      <c r="X344" s="1"/>
      <c r="Y344" s="1"/>
      <c r="Z344" s="1"/>
      <c r="AA344" s="1"/>
      <c r="AB344" s="1"/>
      <c r="AC344" s="1" t="s">
        <v>65</v>
      </c>
      <c r="AD344" s="1" t="s">
        <v>65</v>
      </c>
      <c r="AE344" s="1"/>
      <c r="AF344" s="1" t="s">
        <v>65</v>
      </c>
      <c r="AG344" s="1"/>
      <c r="AH344" s="1"/>
      <c r="AI344" s="1"/>
      <c r="AJ344" s="1"/>
      <c r="AK344" s="1"/>
      <c r="AL344" s="1"/>
      <c r="AM344" s="1"/>
      <c r="AN344" s="1"/>
    </row>
    <row r="345" hidden="1">
      <c r="A345" s="1" t="s">
        <v>6977</v>
      </c>
      <c r="B345" s="1" t="s">
        <v>6978</v>
      </c>
      <c r="C345" s="4">
        <v>45776.638020833336</v>
      </c>
      <c r="D345" s="5">
        <v>1.745939925E9</v>
      </c>
      <c r="E345" s="7" t="s">
        <v>6979</v>
      </c>
      <c r="F345" s="1" t="s">
        <v>6980</v>
      </c>
      <c r="G345" s="1" t="s">
        <v>6981</v>
      </c>
      <c r="H345" s="1" t="s">
        <v>6982</v>
      </c>
      <c r="I345" s="1" t="s">
        <v>6983</v>
      </c>
      <c r="J345" s="7" t="s">
        <v>6984</v>
      </c>
      <c r="K345" s="7" t="s">
        <v>6985</v>
      </c>
      <c r="L345" s="9" t="b">
        <v>0</v>
      </c>
      <c r="M345" s="1" t="s">
        <v>67</v>
      </c>
      <c r="N345" s="1" t="s">
        <v>68</v>
      </c>
      <c r="O345" s="1" t="s">
        <v>65</v>
      </c>
      <c r="P345" s="5">
        <v>0.0</v>
      </c>
      <c r="Q345" s="5">
        <v>0.0</v>
      </c>
      <c r="R345" s="5">
        <v>0.0</v>
      </c>
      <c r="S345" s="5">
        <v>0.0</v>
      </c>
      <c r="T345" s="5">
        <v>7.0</v>
      </c>
      <c r="U345" s="1" t="s">
        <v>65</v>
      </c>
      <c r="V345" s="1"/>
      <c r="W345" s="1" t="s">
        <v>65</v>
      </c>
      <c r="X345" s="1"/>
      <c r="Y345" s="1"/>
      <c r="Z345" s="1"/>
      <c r="AA345" s="1"/>
      <c r="AB345" s="1"/>
      <c r="AC345" s="1" t="s">
        <v>65</v>
      </c>
      <c r="AD345" s="1" t="s">
        <v>71</v>
      </c>
      <c r="AE345" s="1" t="s">
        <v>6981</v>
      </c>
      <c r="AF345" s="1" t="s">
        <v>65</v>
      </c>
      <c r="AG345" s="1"/>
      <c r="AH345" s="1"/>
      <c r="AI345" s="1"/>
      <c r="AJ345" s="1"/>
      <c r="AK345" s="1"/>
      <c r="AL345" s="1"/>
      <c r="AM345" s="1"/>
      <c r="AN345" s="1"/>
    </row>
    <row r="346" hidden="1">
      <c r="A346" s="1" t="s">
        <v>1528</v>
      </c>
      <c r="B346" s="1" t="s">
        <v>1528</v>
      </c>
      <c r="C346" s="4">
        <v>45776.22703703704</v>
      </c>
      <c r="D346" s="5">
        <v>1.745904416E9</v>
      </c>
      <c r="E346" s="7" t="s">
        <v>1529</v>
      </c>
      <c r="F346" s="1" t="s">
        <v>1532</v>
      </c>
      <c r="G346" s="1" t="s">
        <v>1533</v>
      </c>
      <c r="H346" s="1" t="s">
        <v>1534</v>
      </c>
      <c r="I346" s="1" t="s">
        <v>1535</v>
      </c>
      <c r="J346" s="7" t="s">
        <v>1536</v>
      </c>
      <c r="K346" s="7" t="s">
        <v>1538</v>
      </c>
      <c r="L346" s="9" t="b">
        <v>0</v>
      </c>
      <c r="M346" s="1" t="s">
        <v>66</v>
      </c>
      <c r="N346" s="1" t="s">
        <v>68</v>
      </c>
      <c r="O346" s="1" t="s">
        <v>65</v>
      </c>
      <c r="P346" s="5">
        <v>30.0</v>
      </c>
      <c r="Q346" s="5">
        <v>118.0</v>
      </c>
      <c r="R346" s="5">
        <v>385.0</v>
      </c>
      <c r="S346" s="5">
        <v>41.0</v>
      </c>
      <c r="T346" s="5">
        <v>23539.0</v>
      </c>
      <c r="U346" s="1" t="s">
        <v>65</v>
      </c>
      <c r="V346" s="1"/>
      <c r="W346" s="1" t="s">
        <v>71</v>
      </c>
      <c r="X346" s="1" t="s">
        <v>1544</v>
      </c>
      <c r="Y346" s="1" t="s">
        <v>1545</v>
      </c>
      <c r="Z346" s="1" t="s">
        <v>1546</v>
      </c>
      <c r="AA346" s="7" t="s">
        <v>1547</v>
      </c>
      <c r="AB346" s="1"/>
      <c r="AC346" s="1" t="s">
        <v>65</v>
      </c>
      <c r="AD346" s="1" t="s">
        <v>65</v>
      </c>
      <c r="AE346" s="1"/>
      <c r="AF346" s="1" t="s">
        <v>65</v>
      </c>
      <c r="AG346" s="1"/>
      <c r="AH346" s="1"/>
      <c r="AI346" s="1"/>
      <c r="AJ346" s="1"/>
      <c r="AK346" s="1"/>
      <c r="AL346" s="1"/>
      <c r="AM346" s="1"/>
      <c r="AN346" s="1"/>
    </row>
    <row r="347" hidden="1">
      <c r="A347" s="1" t="s">
        <v>6986</v>
      </c>
      <c r="B347" s="1" t="s">
        <v>6987</v>
      </c>
      <c r="C347" s="4">
        <v>45776.08799768519</v>
      </c>
      <c r="D347" s="5">
        <v>1.745892403E9</v>
      </c>
      <c r="E347" s="7" t="s">
        <v>6988</v>
      </c>
      <c r="F347" s="1" t="s">
        <v>6989</v>
      </c>
      <c r="G347" s="1" t="s">
        <v>6990</v>
      </c>
      <c r="H347" s="1" t="s">
        <v>6991</v>
      </c>
      <c r="I347" s="1" t="s">
        <v>6992</v>
      </c>
      <c r="J347" s="7" t="s">
        <v>6993</v>
      </c>
      <c r="K347" s="7" t="s">
        <v>6994</v>
      </c>
      <c r="L347" s="9" t="b">
        <v>0</v>
      </c>
      <c r="M347" s="1" t="s">
        <v>85</v>
      </c>
      <c r="N347" s="1" t="s">
        <v>68</v>
      </c>
      <c r="O347" s="1" t="s">
        <v>65</v>
      </c>
      <c r="P347" s="5">
        <v>0.0</v>
      </c>
      <c r="Q347" s="5">
        <v>0.0</v>
      </c>
      <c r="R347" s="5">
        <v>1.0</v>
      </c>
      <c r="S347" s="5">
        <v>0.0</v>
      </c>
      <c r="T347" s="5">
        <v>23.0</v>
      </c>
      <c r="U347" s="1" t="s">
        <v>65</v>
      </c>
      <c r="V347" s="1"/>
      <c r="W347" s="1" t="s">
        <v>65</v>
      </c>
      <c r="X347" s="1"/>
      <c r="Y347" s="1"/>
      <c r="Z347" s="1"/>
      <c r="AA347" s="1"/>
      <c r="AB347" s="1"/>
      <c r="AC347" s="1" t="s">
        <v>65</v>
      </c>
      <c r="AD347" s="1" t="s">
        <v>71</v>
      </c>
      <c r="AE347" s="1" t="s">
        <v>6995</v>
      </c>
      <c r="AF347" s="1" t="s">
        <v>65</v>
      </c>
      <c r="AG347" s="1"/>
      <c r="AH347" s="1"/>
      <c r="AI347" s="1"/>
      <c r="AJ347" s="1"/>
      <c r="AK347" s="1" t="s">
        <v>6995</v>
      </c>
      <c r="AL347" s="1"/>
      <c r="AM347" s="1"/>
      <c r="AN347" s="1"/>
    </row>
    <row r="348" hidden="1">
      <c r="A348" s="1" t="s">
        <v>6996</v>
      </c>
      <c r="B348" s="1" t="s">
        <v>3101</v>
      </c>
      <c r="C348" s="4">
        <v>45775.786157407405</v>
      </c>
      <c r="D348" s="5">
        <v>1.745866324E9</v>
      </c>
      <c r="E348" s="7" t="s">
        <v>6997</v>
      </c>
      <c r="F348" s="1" t="s">
        <v>6998</v>
      </c>
      <c r="G348" s="1" t="s">
        <v>701</v>
      </c>
      <c r="H348" s="1" t="s">
        <v>703</v>
      </c>
      <c r="I348" s="1" t="s">
        <v>705</v>
      </c>
      <c r="J348" s="7" t="s">
        <v>706</v>
      </c>
      <c r="K348" s="7" t="s">
        <v>718</v>
      </c>
      <c r="L348" s="9" t="b">
        <v>0</v>
      </c>
      <c r="M348" s="1" t="s">
        <v>67</v>
      </c>
      <c r="N348" s="1" t="s">
        <v>68</v>
      </c>
      <c r="O348" s="1" t="s">
        <v>65</v>
      </c>
      <c r="P348" s="5">
        <v>0.0</v>
      </c>
      <c r="Q348" s="5">
        <v>0.0</v>
      </c>
      <c r="R348" s="5">
        <v>0.0</v>
      </c>
      <c r="S348" s="5">
        <v>0.0</v>
      </c>
      <c r="T348" s="5">
        <v>4.0</v>
      </c>
      <c r="U348" s="1" t="s">
        <v>65</v>
      </c>
      <c r="V348" s="1"/>
      <c r="W348" s="1" t="s">
        <v>65</v>
      </c>
      <c r="X348" s="1"/>
      <c r="Y348" s="1"/>
      <c r="Z348" s="1"/>
      <c r="AA348" s="1"/>
      <c r="AB348" s="1"/>
      <c r="AC348" s="1" t="s">
        <v>65</v>
      </c>
      <c r="AD348" s="1" t="s">
        <v>71</v>
      </c>
      <c r="AE348" s="1" t="s">
        <v>701</v>
      </c>
      <c r="AF348" s="1" t="s">
        <v>65</v>
      </c>
      <c r="AG348" s="1" t="s">
        <v>6999</v>
      </c>
      <c r="AH348" s="7" t="s">
        <v>7000</v>
      </c>
      <c r="AI348" s="1"/>
      <c r="AJ348" s="1"/>
      <c r="AK348" s="1"/>
      <c r="AL348" s="1"/>
      <c r="AM348" s="1"/>
      <c r="AN348" s="1"/>
    </row>
    <row r="349" hidden="1">
      <c r="A349" s="1" t="s">
        <v>3101</v>
      </c>
      <c r="B349" s="1" t="s">
        <v>3101</v>
      </c>
      <c r="C349" s="4">
        <v>45775.786145833335</v>
      </c>
      <c r="D349" s="5">
        <v>1.745866323E9</v>
      </c>
      <c r="E349" s="7" t="s">
        <v>3102</v>
      </c>
      <c r="F349" s="1" t="s">
        <v>3107</v>
      </c>
      <c r="G349" s="1" t="s">
        <v>701</v>
      </c>
      <c r="H349" s="1" t="s">
        <v>703</v>
      </c>
      <c r="I349" s="1" t="s">
        <v>705</v>
      </c>
      <c r="J349" s="7" t="s">
        <v>706</v>
      </c>
      <c r="K349" s="7" t="s">
        <v>718</v>
      </c>
      <c r="L349" s="9" t="b">
        <v>0</v>
      </c>
      <c r="M349" s="1" t="s">
        <v>67</v>
      </c>
      <c r="N349" s="1" t="s">
        <v>68</v>
      </c>
      <c r="O349" s="1" t="s">
        <v>65</v>
      </c>
      <c r="P349" s="5">
        <v>0.0</v>
      </c>
      <c r="Q349" s="5">
        <v>2.0</v>
      </c>
      <c r="R349" s="5">
        <v>0.0</v>
      </c>
      <c r="S349" s="5">
        <v>0.0</v>
      </c>
      <c r="T349" s="5">
        <v>37.0</v>
      </c>
      <c r="U349" s="1" t="s">
        <v>65</v>
      </c>
      <c r="V349" s="1"/>
      <c r="W349" s="1" t="s">
        <v>65</v>
      </c>
      <c r="X349" s="1"/>
      <c r="Y349" s="1"/>
      <c r="Z349" s="1"/>
      <c r="AA349" s="1"/>
      <c r="AB349" s="1"/>
      <c r="AC349" s="1" t="s">
        <v>65</v>
      </c>
      <c r="AD349" s="1" t="s">
        <v>65</v>
      </c>
      <c r="AE349" s="1"/>
      <c r="AF349" s="1" t="s">
        <v>65</v>
      </c>
      <c r="AG349" s="1"/>
      <c r="AH349" s="1"/>
      <c r="AI349" s="1"/>
      <c r="AJ349" s="1"/>
      <c r="AK349" s="1"/>
      <c r="AL349" s="1"/>
      <c r="AM349" s="1"/>
      <c r="AN349" s="1"/>
    </row>
    <row r="350" hidden="1">
      <c r="A350" s="1" t="s">
        <v>7001</v>
      </c>
      <c r="B350" s="1" t="s">
        <v>7002</v>
      </c>
      <c r="C350" s="4">
        <v>45774.95166666667</v>
      </c>
      <c r="D350" s="5">
        <v>1.745794224E9</v>
      </c>
      <c r="E350" s="7" t="s">
        <v>7003</v>
      </c>
      <c r="F350" s="1" t="s">
        <v>7004</v>
      </c>
      <c r="G350" s="1" t="s">
        <v>7005</v>
      </c>
      <c r="H350" s="1" t="s">
        <v>7006</v>
      </c>
      <c r="I350" s="5">
        <v>1.06929764E8</v>
      </c>
      <c r="J350" s="7" t="s">
        <v>7007</v>
      </c>
      <c r="K350" s="7" t="s">
        <v>7008</v>
      </c>
      <c r="L350" s="9" t="b">
        <v>0</v>
      </c>
      <c r="M350" s="1" t="s">
        <v>85</v>
      </c>
      <c r="N350" s="1" t="s">
        <v>68</v>
      </c>
      <c r="O350" s="1" t="s">
        <v>65</v>
      </c>
      <c r="P350" s="5">
        <v>0.0</v>
      </c>
      <c r="Q350" s="5">
        <v>0.0</v>
      </c>
      <c r="R350" s="5">
        <v>1.0</v>
      </c>
      <c r="S350" s="5">
        <v>0.0</v>
      </c>
      <c r="T350" s="5">
        <v>128.0</v>
      </c>
      <c r="U350" s="1" t="s">
        <v>65</v>
      </c>
      <c r="V350" s="1"/>
      <c r="W350" s="1" t="s">
        <v>65</v>
      </c>
      <c r="X350" s="1"/>
      <c r="Y350" s="1"/>
      <c r="Z350" s="1"/>
      <c r="AA350" s="1"/>
      <c r="AB350" s="1"/>
      <c r="AC350" s="1" t="s">
        <v>65</v>
      </c>
      <c r="AD350" s="1" t="s">
        <v>71</v>
      </c>
      <c r="AE350" s="1" t="s">
        <v>7009</v>
      </c>
      <c r="AF350" s="1" t="s">
        <v>65</v>
      </c>
      <c r="AG350" s="1"/>
      <c r="AH350" s="1"/>
      <c r="AI350" s="1"/>
      <c r="AJ350" s="1"/>
      <c r="AK350" s="1" t="s">
        <v>7009</v>
      </c>
      <c r="AL350" s="1"/>
      <c r="AM350" s="1"/>
      <c r="AN350" s="1"/>
    </row>
    <row r="351" hidden="1">
      <c r="A351" s="1" t="s">
        <v>7010</v>
      </c>
      <c r="B351" s="1" t="s">
        <v>7011</v>
      </c>
      <c r="C351" s="4">
        <v>45773.892592592594</v>
      </c>
      <c r="D351" s="5">
        <v>1.74570272E9</v>
      </c>
      <c r="E351" s="7" t="s">
        <v>7012</v>
      </c>
      <c r="F351" s="1" t="s">
        <v>7013</v>
      </c>
      <c r="G351" s="1" t="s">
        <v>7014</v>
      </c>
      <c r="H351" s="1" t="s">
        <v>7015</v>
      </c>
      <c r="I351" s="1" t="s">
        <v>7016</v>
      </c>
      <c r="J351" s="7" t="s">
        <v>7017</v>
      </c>
      <c r="K351" s="7" t="s">
        <v>7018</v>
      </c>
      <c r="L351" s="9" t="b">
        <v>0</v>
      </c>
      <c r="M351" s="1" t="s">
        <v>67</v>
      </c>
      <c r="N351" s="1" t="s">
        <v>68</v>
      </c>
      <c r="O351" s="1" t="s">
        <v>65</v>
      </c>
      <c r="P351" s="5">
        <v>1.0</v>
      </c>
      <c r="Q351" s="5">
        <v>0.0</v>
      </c>
      <c r="R351" s="5">
        <v>5.0</v>
      </c>
      <c r="S351" s="5">
        <v>0.0</v>
      </c>
      <c r="T351" s="5">
        <v>65.0</v>
      </c>
      <c r="U351" s="1" t="s">
        <v>65</v>
      </c>
      <c r="V351" s="1"/>
      <c r="W351" s="1" t="s">
        <v>65</v>
      </c>
      <c r="X351" s="1"/>
      <c r="Y351" s="1"/>
      <c r="Z351" s="1"/>
      <c r="AA351" s="1"/>
      <c r="AB351" s="1"/>
      <c r="AC351" s="1" t="s">
        <v>65</v>
      </c>
      <c r="AD351" s="1" t="s">
        <v>71</v>
      </c>
      <c r="AE351" s="1" t="s">
        <v>7019</v>
      </c>
      <c r="AF351" s="1" t="s">
        <v>65</v>
      </c>
      <c r="AG351" s="1"/>
      <c r="AH351" s="1"/>
      <c r="AI351" s="1"/>
      <c r="AJ351" s="1"/>
      <c r="AK351" s="1" t="s">
        <v>7020</v>
      </c>
      <c r="AL351" s="1"/>
      <c r="AM351" s="1"/>
      <c r="AN351" s="1"/>
    </row>
    <row r="352" hidden="1">
      <c r="A352" s="1" t="s">
        <v>7021</v>
      </c>
      <c r="B352" s="1" t="s">
        <v>7022</v>
      </c>
      <c r="C352" s="4">
        <v>45773.03092592592</v>
      </c>
      <c r="D352" s="5">
        <v>1.745628272E9</v>
      </c>
      <c r="E352" s="7" t="s">
        <v>7023</v>
      </c>
      <c r="F352" s="1" t="s">
        <v>7024</v>
      </c>
      <c r="G352" s="1" t="s">
        <v>7025</v>
      </c>
      <c r="H352" s="1" t="s">
        <v>7026</v>
      </c>
      <c r="I352" s="1" t="s">
        <v>7027</v>
      </c>
      <c r="J352" s="7" t="s">
        <v>7028</v>
      </c>
      <c r="K352" s="7" t="s">
        <v>7029</v>
      </c>
      <c r="L352" s="9" t="b">
        <v>0</v>
      </c>
      <c r="M352" s="1" t="s">
        <v>67</v>
      </c>
      <c r="N352" s="1" t="s">
        <v>2012</v>
      </c>
      <c r="O352" s="1" t="s">
        <v>65</v>
      </c>
      <c r="P352" s="5">
        <v>0.0</v>
      </c>
      <c r="Q352" s="5">
        <v>0.0</v>
      </c>
      <c r="R352" s="5">
        <v>0.0</v>
      </c>
      <c r="S352" s="5">
        <v>0.0</v>
      </c>
      <c r="T352" s="5">
        <v>24.0</v>
      </c>
      <c r="U352" s="1" t="s">
        <v>65</v>
      </c>
      <c r="V352" s="1"/>
      <c r="W352" s="1" t="s">
        <v>65</v>
      </c>
      <c r="X352" s="1"/>
      <c r="Y352" s="1"/>
      <c r="Z352" s="1"/>
      <c r="AA352" s="1"/>
      <c r="AB352" s="1"/>
      <c r="AC352" s="1" t="s">
        <v>65</v>
      </c>
      <c r="AD352" s="1" t="s">
        <v>71</v>
      </c>
      <c r="AE352" s="1" t="s">
        <v>7030</v>
      </c>
      <c r="AF352" s="1" t="s">
        <v>65</v>
      </c>
      <c r="AG352" s="1"/>
      <c r="AH352" s="1"/>
      <c r="AI352" s="1"/>
      <c r="AJ352" s="1"/>
      <c r="AK352" s="1" t="s">
        <v>7030</v>
      </c>
      <c r="AL352" s="1"/>
      <c r="AM352" s="1"/>
      <c r="AN352" s="1"/>
    </row>
    <row r="353" hidden="1">
      <c r="A353" s="1" t="s">
        <v>7031</v>
      </c>
      <c r="B353" s="1" t="s">
        <v>7032</v>
      </c>
      <c r="C353" s="4">
        <v>45772.97508101852</v>
      </c>
      <c r="D353" s="5">
        <v>1.745623447E9</v>
      </c>
      <c r="E353" s="7" t="s">
        <v>7033</v>
      </c>
      <c r="F353" s="1" t="s">
        <v>7034</v>
      </c>
      <c r="G353" s="1" t="s">
        <v>7035</v>
      </c>
      <c r="H353" s="1" t="s">
        <v>7036</v>
      </c>
      <c r="I353" s="1" t="s">
        <v>7037</v>
      </c>
      <c r="J353" s="7" t="s">
        <v>7038</v>
      </c>
      <c r="K353" s="7" t="s">
        <v>7039</v>
      </c>
      <c r="L353" s="9" t="b">
        <v>0</v>
      </c>
      <c r="M353" s="1" t="s">
        <v>67</v>
      </c>
      <c r="N353" s="1" t="s">
        <v>68</v>
      </c>
      <c r="O353" s="1" t="s">
        <v>65</v>
      </c>
      <c r="P353" s="5">
        <v>0.0</v>
      </c>
      <c r="Q353" s="5">
        <v>1.0</v>
      </c>
      <c r="R353" s="5">
        <v>0.0</v>
      </c>
      <c r="S353" s="5">
        <v>0.0</v>
      </c>
      <c r="T353" s="5">
        <v>17.0</v>
      </c>
      <c r="U353" s="1" t="s">
        <v>65</v>
      </c>
      <c r="V353" s="1"/>
      <c r="W353" s="1" t="s">
        <v>65</v>
      </c>
      <c r="X353" s="1"/>
      <c r="Y353" s="1"/>
      <c r="Z353" s="1"/>
      <c r="AA353" s="1"/>
      <c r="AB353" s="1"/>
      <c r="AC353" s="1" t="s">
        <v>65</v>
      </c>
      <c r="AD353" s="1" t="s">
        <v>71</v>
      </c>
      <c r="AE353" s="1" t="s">
        <v>7040</v>
      </c>
      <c r="AF353" s="1" t="s">
        <v>65</v>
      </c>
      <c r="AG353" s="1"/>
      <c r="AH353" s="1"/>
      <c r="AI353" s="1"/>
      <c r="AJ353" s="1"/>
      <c r="AK353" s="1" t="s">
        <v>7040</v>
      </c>
      <c r="AL353" s="1"/>
      <c r="AM353" s="1"/>
      <c r="AN353" s="1"/>
    </row>
    <row r="354">
      <c r="A354" s="1" t="s">
        <v>7041</v>
      </c>
      <c r="B354" s="1" t="s">
        <v>7042</v>
      </c>
      <c r="C354" s="4">
        <v>45772.87163194444</v>
      </c>
      <c r="D354" s="5">
        <v>1.745614509E9</v>
      </c>
      <c r="E354" s="7" t="s">
        <v>7043</v>
      </c>
      <c r="F354" s="1" t="s">
        <v>7044</v>
      </c>
      <c r="G354" s="1" t="s">
        <v>7045</v>
      </c>
      <c r="H354" s="1" t="s">
        <v>7046</v>
      </c>
      <c r="I354" s="1" t="s">
        <v>7047</v>
      </c>
      <c r="J354" s="7" t="s">
        <v>7048</v>
      </c>
      <c r="K354" s="7" t="s">
        <v>7049</v>
      </c>
      <c r="L354" s="9" t="b">
        <v>0</v>
      </c>
      <c r="M354" s="1" t="s">
        <v>67</v>
      </c>
      <c r="N354" s="1" t="s">
        <v>64</v>
      </c>
      <c r="O354" s="1" t="s">
        <v>65</v>
      </c>
      <c r="P354" s="5">
        <v>0.0</v>
      </c>
      <c r="Q354" s="5">
        <v>0.0</v>
      </c>
      <c r="R354" s="5">
        <v>4.0</v>
      </c>
      <c r="S354" s="5">
        <v>0.0</v>
      </c>
      <c r="T354" s="5">
        <v>140.0</v>
      </c>
      <c r="U354" s="1" t="s">
        <v>65</v>
      </c>
      <c r="V354" s="1"/>
      <c r="W354" s="1" t="s">
        <v>65</v>
      </c>
      <c r="X354" s="1"/>
      <c r="Y354" s="1"/>
      <c r="Z354" s="1"/>
      <c r="AA354" s="1"/>
      <c r="AB354" s="1"/>
      <c r="AC354" s="1" t="s">
        <v>65</v>
      </c>
      <c r="AD354" s="1" t="s">
        <v>71</v>
      </c>
      <c r="AE354" s="1" t="s">
        <v>7050</v>
      </c>
      <c r="AF354" s="1" t="s">
        <v>65</v>
      </c>
      <c r="AG354" s="1"/>
      <c r="AH354" s="1"/>
      <c r="AI354" s="1"/>
      <c r="AJ354" s="1"/>
      <c r="AK354" s="1" t="s">
        <v>7050</v>
      </c>
      <c r="AL354" s="1"/>
      <c r="AM354" s="1"/>
      <c r="AN354" s="1"/>
    </row>
  </sheetData>
  <autoFilter ref="$A$1:$AN$354">
    <filterColumn colId="13">
      <filters>
        <filter val="es"/>
      </filters>
    </filterColumn>
  </autoFilter>
  <hyperlinks>
    <hyperlink r:id="rId1" ref="E2"/>
    <hyperlink r:id="rId2" ref="J2"/>
    <hyperlink r:id="rId3" ref="K2"/>
    <hyperlink r:id="rId4" ref="E3"/>
    <hyperlink r:id="rId5" ref="J3"/>
    <hyperlink r:id="rId6" ref="K3"/>
    <hyperlink r:id="rId7" ref="E4"/>
    <hyperlink r:id="rId8" ref="J4"/>
    <hyperlink r:id="rId9" ref="K4"/>
    <hyperlink r:id="rId10" ref="E5"/>
    <hyperlink r:id="rId11" ref="J5"/>
    <hyperlink r:id="rId12" ref="K5"/>
    <hyperlink r:id="rId13" ref="AB5"/>
    <hyperlink r:id="rId14" ref="E6"/>
    <hyperlink r:id="rId15" ref="J6"/>
    <hyperlink r:id="rId16" ref="K6"/>
    <hyperlink r:id="rId17" ref="E7"/>
    <hyperlink r:id="rId18" ref="J7"/>
    <hyperlink r:id="rId19" ref="K7"/>
    <hyperlink r:id="rId20" ref="E8"/>
    <hyperlink r:id="rId21" ref="J8"/>
    <hyperlink r:id="rId22" ref="K8"/>
    <hyperlink r:id="rId23" ref="E9"/>
    <hyperlink r:id="rId24" ref="J9"/>
    <hyperlink r:id="rId25" ref="K9"/>
    <hyperlink r:id="rId26" ref="E10"/>
    <hyperlink r:id="rId27" ref="J10"/>
    <hyperlink r:id="rId28" ref="K10"/>
    <hyperlink r:id="rId29" ref="E11"/>
    <hyperlink r:id="rId30" ref="J11"/>
    <hyperlink r:id="rId31" ref="K11"/>
    <hyperlink r:id="rId32" ref="AH11"/>
    <hyperlink r:id="rId33" ref="E12"/>
    <hyperlink r:id="rId34" ref="J12"/>
    <hyperlink r:id="rId35" ref="K12"/>
    <hyperlink r:id="rId36" ref="E13"/>
    <hyperlink r:id="rId37" ref="J13"/>
    <hyperlink r:id="rId38" ref="K13"/>
    <hyperlink r:id="rId39" ref="E14"/>
    <hyperlink r:id="rId40" ref="J14"/>
    <hyperlink r:id="rId41" ref="K14"/>
    <hyperlink r:id="rId42" ref="E15"/>
    <hyperlink r:id="rId43" ref="J15"/>
    <hyperlink r:id="rId44" ref="K15"/>
    <hyperlink r:id="rId45" ref="E16"/>
    <hyperlink r:id="rId46" ref="J16"/>
    <hyperlink r:id="rId47" ref="K16"/>
    <hyperlink r:id="rId48" ref="E17"/>
    <hyperlink r:id="rId49" ref="J17"/>
    <hyperlink r:id="rId50" ref="K17"/>
    <hyperlink r:id="rId51" ref="E18"/>
    <hyperlink r:id="rId52" ref="J18"/>
    <hyperlink r:id="rId53" ref="K18"/>
    <hyperlink r:id="rId54" ref="E19"/>
    <hyperlink r:id="rId55" ref="J19"/>
    <hyperlink r:id="rId56" ref="AH19"/>
    <hyperlink r:id="rId57" ref="AI19"/>
    <hyperlink r:id="rId58" ref="E20"/>
    <hyperlink r:id="rId59" ref="J20"/>
    <hyperlink r:id="rId60" ref="K20"/>
    <hyperlink r:id="rId61" ref="E21"/>
    <hyperlink r:id="rId62" ref="J21"/>
    <hyperlink r:id="rId63" ref="K21"/>
    <hyperlink r:id="rId64" ref="E22"/>
    <hyperlink r:id="rId65" ref="J22"/>
    <hyperlink r:id="rId66" ref="K22"/>
    <hyperlink r:id="rId67" ref="M22"/>
    <hyperlink r:id="rId68" ref="AH22"/>
    <hyperlink r:id="rId69" ref="E23"/>
    <hyperlink r:id="rId70" ref="J23"/>
    <hyperlink r:id="rId71" ref="K23"/>
    <hyperlink r:id="rId72" ref="E24"/>
    <hyperlink r:id="rId73" ref="J24"/>
    <hyperlink r:id="rId74" ref="K24"/>
    <hyperlink r:id="rId75" ref="E25"/>
    <hyperlink r:id="rId76" ref="J25"/>
    <hyperlink r:id="rId77" ref="K25"/>
    <hyperlink r:id="rId78" ref="E26"/>
    <hyperlink r:id="rId79" ref="J26"/>
    <hyperlink r:id="rId80" ref="K26"/>
    <hyperlink r:id="rId81" ref="E27"/>
    <hyperlink r:id="rId82" ref="J27"/>
    <hyperlink r:id="rId83" ref="K27"/>
    <hyperlink r:id="rId84" ref="E28"/>
    <hyperlink r:id="rId85" ref="J28"/>
    <hyperlink r:id="rId86" ref="K28"/>
    <hyperlink r:id="rId87" ref="E29"/>
    <hyperlink r:id="rId88" ref="J29"/>
    <hyperlink r:id="rId89" ref="K29"/>
    <hyperlink r:id="rId90" ref="E30"/>
    <hyperlink r:id="rId91" ref="J30"/>
    <hyperlink r:id="rId92" ref="K30"/>
    <hyperlink r:id="rId93" ref="E31"/>
    <hyperlink r:id="rId94" ref="J31"/>
    <hyperlink r:id="rId95" ref="K31"/>
    <hyperlink r:id="rId96" ref="AI31"/>
    <hyperlink r:id="rId97" ref="E32"/>
    <hyperlink r:id="rId98" ref="J32"/>
    <hyperlink r:id="rId99" ref="K32"/>
    <hyperlink r:id="rId100" ref="AH32"/>
    <hyperlink r:id="rId101" ref="E33"/>
    <hyperlink r:id="rId102" ref="J33"/>
    <hyperlink r:id="rId103" ref="K33"/>
    <hyperlink r:id="rId104" ref="E34"/>
    <hyperlink r:id="rId105" ref="J34"/>
    <hyperlink r:id="rId106" ref="K34"/>
    <hyperlink r:id="rId107" ref="E35"/>
    <hyperlink r:id="rId108" ref="J35"/>
    <hyperlink r:id="rId109" ref="E36"/>
    <hyperlink r:id="rId110" ref="J36"/>
    <hyperlink r:id="rId111" ref="K36"/>
    <hyperlink r:id="rId112" ref="E37"/>
    <hyperlink r:id="rId113" ref="J37"/>
    <hyperlink r:id="rId114" ref="K37"/>
    <hyperlink r:id="rId115" ref="AI37"/>
    <hyperlink r:id="rId116" ref="E38"/>
    <hyperlink r:id="rId117" ref="J38"/>
    <hyperlink r:id="rId118" ref="K38"/>
    <hyperlink r:id="rId119" ref="E39"/>
    <hyperlink r:id="rId120" ref="J39"/>
    <hyperlink r:id="rId121" ref="K39"/>
    <hyperlink r:id="rId122" ref="E40"/>
    <hyperlink r:id="rId123" ref="J40"/>
    <hyperlink r:id="rId124" ref="K40"/>
    <hyperlink r:id="rId125" ref="E41"/>
    <hyperlink r:id="rId126" ref="J41"/>
    <hyperlink r:id="rId127" ref="K41"/>
    <hyperlink r:id="rId128" ref="AI41"/>
    <hyperlink r:id="rId129" ref="E42"/>
    <hyperlink r:id="rId130" ref="J42"/>
    <hyperlink r:id="rId131" ref="K42"/>
    <hyperlink r:id="rId132" ref="E43"/>
    <hyperlink r:id="rId133" ref="J43"/>
    <hyperlink r:id="rId134" ref="K43"/>
    <hyperlink r:id="rId135" ref="E44"/>
    <hyperlink r:id="rId136" ref="J44"/>
    <hyperlink r:id="rId137" ref="E45"/>
    <hyperlink r:id="rId138" ref="J45"/>
    <hyperlink r:id="rId139" ref="K45"/>
    <hyperlink r:id="rId140" ref="E46"/>
    <hyperlink r:id="rId141" ref="J46"/>
    <hyperlink r:id="rId142" ref="K46"/>
    <hyperlink r:id="rId143" location="Echobox=1761993031" ref="AH46"/>
    <hyperlink r:id="rId144" ref="E47"/>
    <hyperlink r:id="rId145" ref="J47"/>
    <hyperlink r:id="rId146" ref="K47"/>
    <hyperlink r:id="rId147" ref="E48"/>
    <hyperlink r:id="rId148" ref="J48"/>
    <hyperlink r:id="rId149" ref="K48"/>
    <hyperlink r:id="rId150" ref="E49"/>
    <hyperlink r:id="rId151" ref="J49"/>
    <hyperlink r:id="rId152" ref="K49"/>
    <hyperlink r:id="rId153" ref="E50"/>
    <hyperlink r:id="rId154" ref="J50"/>
    <hyperlink r:id="rId155" ref="K50"/>
    <hyperlink r:id="rId156" ref="E51"/>
    <hyperlink r:id="rId157" ref="J51"/>
    <hyperlink r:id="rId158" ref="K51"/>
    <hyperlink r:id="rId159" ref="AA51"/>
    <hyperlink r:id="rId160" ref="E52"/>
    <hyperlink r:id="rId161" ref="J52"/>
    <hyperlink r:id="rId162" ref="K52"/>
    <hyperlink r:id="rId163" ref="AH52"/>
    <hyperlink r:id="rId164" ref="AI52"/>
    <hyperlink r:id="rId165" ref="E53"/>
    <hyperlink r:id="rId166" ref="J53"/>
    <hyperlink r:id="rId167" ref="K53"/>
    <hyperlink r:id="rId168" ref="AH53"/>
    <hyperlink r:id="rId169" ref="E54"/>
    <hyperlink r:id="rId170" ref="J54"/>
    <hyperlink r:id="rId171" ref="K54"/>
    <hyperlink r:id="rId172" ref="E55"/>
    <hyperlink r:id="rId173" ref="J55"/>
    <hyperlink r:id="rId174" ref="K55"/>
    <hyperlink r:id="rId175" ref="E56"/>
    <hyperlink r:id="rId176" ref="J56"/>
    <hyperlink r:id="rId177" ref="E57"/>
    <hyperlink r:id="rId178" ref="J57"/>
    <hyperlink r:id="rId179" ref="K57"/>
    <hyperlink r:id="rId180" ref="E58"/>
    <hyperlink r:id="rId181" ref="J58"/>
    <hyperlink r:id="rId182" ref="K58"/>
    <hyperlink r:id="rId183" ref="E59"/>
    <hyperlink r:id="rId184" ref="J59"/>
    <hyperlink r:id="rId185" ref="K59"/>
    <hyperlink r:id="rId186" ref="AH59"/>
    <hyperlink r:id="rId187" ref="E60"/>
    <hyperlink r:id="rId188" ref="J60"/>
    <hyperlink r:id="rId189" ref="K60"/>
    <hyperlink r:id="rId190" ref="E61"/>
    <hyperlink r:id="rId191" ref="J61"/>
    <hyperlink r:id="rId192" ref="K61"/>
    <hyperlink r:id="rId193" ref="AH61"/>
    <hyperlink r:id="rId194" ref="AI61"/>
    <hyperlink r:id="rId195" ref="E62"/>
    <hyperlink r:id="rId196" ref="J62"/>
    <hyperlink r:id="rId197" ref="K62"/>
    <hyperlink r:id="rId198" ref="E63"/>
    <hyperlink r:id="rId199" ref="J63"/>
    <hyperlink r:id="rId200" ref="K63"/>
    <hyperlink r:id="rId201" ref="E64"/>
    <hyperlink r:id="rId202" ref="J64"/>
    <hyperlink r:id="rId203" ref="K64"/>
    <hyperlink r:id="rId204" ref="E65"/>
    <hyperlink r:id="rId205" ref="J65"/>
    <hyperlink r:id="rId206" ref="K65"/>
    <hyperlink r:id="rId207" ref="AA65"/>
    <hyperlink r:id="rId208" ref="E66"/>
    <hyperlink r:id="rId209" ref="J66"/>
    <hyperlink r:id="rId210" ref="K66"/>
    <hyperlink r:id="rId211" ref="AI66"/>
    <hyperlink r:id="rId212" ref="AJ66"/>
    <hyperlink r:id="rId213" ref="E67"/>
    <hyperlink r:id="rId214" ref="J67"/>
    <hyperlink r:id="rId215" ref="K67"/>
    <hyperlink r:id="rId216" ref="E68"/>
    <hyperlink r:id="rId217" ref="J68"/>
    <hyperlink r:id="rId218" ref="K68"/>
    <hyperlink r:id="rId219" ref="E69"/>
    <hyperlink r:id="rId220" ref="J69"/>
    <hyperlink r:id="rId221" ref="K69"/>
    <hyperlink r:id="rId222" ref="AI69"/>
    <hyperlink r:id="rId223" ref="AJ69"/>
    <hyperlink r:id="rId224" ref="E70"/>
    <hyperlink r:id="rId225" ref="J70"/>
    <hyperlink r:id="rId226" ref="AH70"/>
    <hyperlink r:id="rId227" ref="AI70"/>
    <hyperlink r:id="rId228" ref="E71"/>
    <hyperlink r:id="rId229" ref="J71"/>
    <hyperlink r:id="rId230" ref="K71"/>
    <hyperlink r:id="rId231" ref="E72"/>
    <hyperlink r:id="rId232" ref="J72"/>
    <hyperlink r:id="rId233" ref="K72"/>
    <hyperlink r:id="rId234" ref="AH72"/>
    <hyperlink r:id="rId235" ref="E73"/>
    <hyperlink r:id="rId236" ref="J73"/>
    <hyperlink r:id="rId237" ref="AI73"/>
    <hyperlink r:id="rId238" ref="E74"/>
    <hyperlink r:id="rId239" ref="J74"/>
    <hyperlink r:id="rId240" ref="E75"/>
    <hyperlink r:id="rId241" ref="J75"/>
    <hyperlink r:id="rId242" ref="K75"/>
    <hyperlink r:id="rId243" ref="E76"/>
    <hyperlink r:id="rId244" ref="J76"/>
    <hyperlink r:id="rId245" ref="K76"/>
    <hyperlink r:id="rId246" ref="E77"/>
    <hyperlink r:id="rId247" ref="J77"/>
    <hyperlink r:id="rId248" ref="K77"/>
    <hyperlink r:id="rId249" ref="E78"/>
    <hyperlink r:id="rId250" ref="J78"/>
    <hyperlink r:id="rId251" ref="K78"/>
    <hyperlink r:id="rId252" ref="AH78"/>
    <hyperlink r:id="rId253" ref="E79"/>
    <hyperlink r:id="rId254" ref="J79"/>
    <hyperlink r:id="rId255" ref="K79"/>
    <hyperlink r:id="rId256" ref="E80"/>
    <hyperlink r:id="rId257" ref="J80"/>
    <hyperlink r:id="rId258" ref="K80"/>
    <hyperlink r:id="rId259" ref="AH80"/>
    <hyperlink r:id="rId260" ref="AI80"/>
    <hyperlink r:id="rId261" ref="E81"/>
    <hyperlink r:id="rId262" ref="J81"/>
    <hyperlink r:id="rId263" ref="K81"/>
    <hyperlink r:id="rId264" ref="E82"/>
    <hyperlink r:id="rId265" ref="J82"/>
    <hyperlink r:id="rId266" ref="K82"/>
    <hyperlink r:id="rId267" ref="E83"/>
    <hyperlink r:id="rId268" ref="J83"/>
    <hyperlink r:id="rId269" ref="K83"/>
    <hyperlink r:id="rId270" ref="E84"/>
    <hyperlink r:id="rId271" ref="J84"/>
    <hyperlink r:id="rId272" ref="K84"/>
    <hyperlink r:id="rId273" ref="E85"/>
    <hyperlink r:id="rId274" ref="J85"/>
    <hyperlink r:id="rId275" ref="K85"/>
    <hyperlink r:id="rId276" ref="E86"/>
    <hyperlink r:id="rId277" ref="J86"/>
    <hyperlink r:id="rId278" ref="K86"/>
    <hyperlink r:id="rId279" ref="E87"/>
    <hyperlink r:id="rId280" ref="J87"/>
    <hyperlink r:id="rId281" ref="K87"/>
    <hyperlink r:id="rId282" ref="E88"/>
    <hyperlink r:id="rId283" ref="J88"/>
    <hyperlink r:id="rId284" ref="K88"/>
    <hyperlink r:id="rId285" ref="M88"/>
    <hyperlink r:id="rId286" ref="AI88"/>
    <hyperlink r:id="rId287" ref="AJ88"/>
    <hyperlink r:id="rId288" ref="E89"/>
    <hyperlink r:id="rId289" ref="J89"/>
    <hyperlink r:id="rId290" ref="K89"/>
    <hyperlink r:id="rId291" ref="E90"/>
    <hyperlink r:id="rId292" ref="J90"/>
    <hyperlink r:id="rId293" ref="K90"/>
    <hyperlink r:id="rId294" ref="AI90"/>
    <hyperlink r:id="rId295" ref="E91"/>
    <hyperlink r:id="rId296" ref="J91"/>
    <hyperlink r:id="rId297" ref="K91"/>
    <hyperlink r:id="rId298" ref="E92"/>
    <hyperlink r:id="rId299" ref="J92"/>
    <hyperlink r:id="rId300" ref="K92"/>
    <hyperlink r:id="rId301" ref="E93"/>
    <hyperlink r:id="rId302" ref="J93"/>
    <hyperlink r:id="rId303" ref="K93"/>
    <hyperlink r:id="rId304" ref="E94"/>
    <hyperlink r:id="rId305" ref="J94"/>
    <hyperlink r:id="rId306" ref="K94"/>
    <hyperlink r:id="rId307" ref="AI94"/>
    <hyperlink r:id="rId308" ref="AJ94"/>
    <hyperlink r:id="rId309" ref="E95"/>
    <hyperlink r:id="rId310" ref="J95"/>
    <hyperlink r:id="rId311" ref="K95"/>
    <hyperlink r:id="rId312" ref="AB95"/>
    <hyperlink r:id="rId313" ref="E96"/>
    <hyperlink r:id="rId314" ref="J96"/>
    <hyperlink r:id="rId315" ref="K96"/>
    <hyperlink r:id="rId316" ref="AI96"/>
    <hyperlink r:id="rId317" ref="E97"/>
    <hyperlink r:id="rId318" ref="J97"/>
    <hyperlink r:id="rId319" ref="K97"/>
    <hyperlink r:id="rId320" ref="AI97"/>
    <hyperlink r:id="rId321" ref="AJ97"/>
    <hyperlink r:id="rId322" ref="E98"/>
    <hyperlink r:id="rId323" ref="J98"/>
    <hyperlink r:id="rId324" ref="K98"/>
    <hyperlink r:id="rId325" ref="E99"/>
    <hyperlink r:id="rId326" ref="J99"/>
    <hyperlink r:id="rId327" ref="K99"/>
    <hyperlink r:id="rId328" ref="AB99"/>
    <hyperlink r:id="rId329" ref="E100"/>
    <hyperlink r:id="rId330" ref="J100"/>
    <hyperlink r:id="rId331" ref="K100"/>
    <hyperlink r:id="rId332" ref="E101"/>
    <hyperlink r:id="rId333" ref="J101"/>
    <hyperlink r:id="rId334" ref="K101"/>
    <hyperlink r:id="rId335" ref="AI101"/>
    <hyperlink r:id="rId336" ref="AJ101"/>
    <hyperlink r:id="rId337" ref="E102"/>
    <hyperlink r:id="rId338" ref="J102"/>
    <hyperlink r:id="rId339" ref="E103"/>
    <hyperlink r:id="rId340" ref="J103"/>
    <hyperlink r:id="rId341" ref="E104"/>
    <hyperlink r:id="rId342" ref="J104"/>
    <hyperlink r:id="rId343" ref="K104"/>
    <hyperlink r:id="rId344" ref="AH104"/>
    <hyperlink r:id="rId345" ref="E105"/>
    <hyperlink r:id="rId346" ref="J105"/>
    <hyperlink r:id="rId347" ref="K105"/>
    <hyperlink r:id="rId348" ref="AH105"/>
    <hyperlink r:id="rId349" ref="E106"/>
    <hyperlink r:id="rId350" ref="J106"/>
    <hyperlink r:id="rId351" ref="K106"/>
    <hyperlink r:id="rId352" ref="AH106"/>
    <hyperlink r:id="rId353" ref="E107"/>
    <hyperlink r:id="rId354" ref="J107"/>
    <hyperlink r:id="rId355" ref="K107"/>
    <hyperlink r:id="rId356" ref="AH107"/>
    <hyperlink r:id="rId357" ref="E108"/>
    <hyperlink r:id="rId358" ref="J108"/>
    <hyperlink r:id="rId359" ref="K108"/>
    <hyperlink r:id="rId360" ref="AH108"/>
    <hyperlink r:id="rId361" ref="E109"/>
    <hyperlink r:id="rId362" ref="J109"/>
    <hyperlink r:id="rId363" ref="K109"/>
    <hyperlink r:id="rId364" ref="AH109"/>
    <hyperlink r:id="rId365" ref="E110"/>
    <hyperlink r:id="rId366" ref="J110"/>
    <hyperlink r:id="rId367" ref="E111"/>
    <hyperlink r:id="rId368" ref="J111"/>
    <hyperlink r:id="rId369" ref="K111"/>
    <hyperlink r:id="rId370" ref="E112"/>
    <hyperlink r:id="rId371" ref="J112"/>
    <hyperlink r:id="rId372" ref="K112"/>
    <hyperlink r:id="rId373" ref="E113"/>
    <hyperlink r:id="rId374" ref="J113"/>
    <hyperlink r:id="rId375" ref="AH113"/>
    <hyperlink r:id="rId376" ref="AI113"/>
    <hyperlink r:id="rId377" ref="E114"/>
    <hyperlink r:id="rId378" ref="J114"/>
    <hyperlink r:id="rId379" ref="K114"/>
    <hyperlink r:id="rId380" ref="AH114"/>
    <hyperlink r:id="rId381" ref="AI114"/>
    <hyperlink r:id="rId382" ref="E115"/>
    <hyperlink r:id="rId383" ref="J115"/>
    <hyperlink r:id="rId384" ref="E116"/>
    <hyperlink r:id="rId385" ref="J116"/>
    <hyperlink r:id="rId386" ref="K116"/>
    <hyperlink r:id="rId387" ref="AA116"/>
    <hyperlink r:id="rId388" ref="E117"/>
    <hyperlink r:id="rId389" ref="J117"/>
    <hyperlink r:id="rId390" ref="K117"/>
    <hyperlink r:id="rId391" ref="E118"/>
    <hyperlink r:id="rId392" ref="J118"/>
    <hyperlink r:id="rId393" ref="K118"/>
    <hyperlink r:id="rId394" ref="E119"/>
    <hyperlink r:id="rId395" ref="J119"/>
    <hyperlink r:id="rId396" ref="K119"/>
    <hyperlink r:id="rId397" ref="E120"/>
    <hyperlink r:id="rId398" ref="J120"/>
    <hyperlink r:id="rId399" ref="K120"/>
    <hyperlink r:id="rId400" ref="E121"/>
    <hyperlink r:id="rId401" ref="J121"/>
    <hyperlink r:id="rId402" ref="K121"/>
    <hyperlink r:id="rId403" ref="E122"/>
    <hyperlink r:id="rId404" ref="J122"/>
    <hyperlink r:id="rId405" ref="K122"/>
    <hyperlink r:id="rId406" ref="E123"/>
    <hyperlink r:id="rId407" ref="J123"/>
    <hyperlink r:id="rId408" ref="K123"/>
    <hyperlink r:id="rId409" ref="E124"/>
    <hyperlink r:id="rId410" ref="J124"/>
    <hyperlink r:id="rId411" ref="K124"/>
    <hyperlink r:id="rId412" ref="E125"/>
    <hyperlink r:id="rId413" ref="J125"/>
    <hyperlink r:id="rId414" ref="K125"/>
    <hyperlink r:id="rId415" ref="E126"/>
    <hyperlink r:id="rId416" ref="J126"/>
    <hyperlink r:id="rId417" ref="K126"/>
    <hyperlink r:id="rId418" ref="E127"/>
    <hyperlink r:id="rId419" ref="J127"/>
    <hyperlink r:id="rId420" ref="K127"/>
    <hyperlink r:id="rId421" ref="E128"/>
    <hyperlink r:id="rId422" ref="J128"/>
    <hyperlink r:id="rId423" ref="K128"/>
    <hyperlink r:id="rId424" ref="AI128"/>
    <hyperlink r:id="rId425" ref="E129"/>
    <hyperlink r:id="rId426" ref="J129"/>
    <hyperlink r:id="rId427" ref="K129"/>
    <hyperlink r:id="rId428" ref="AI129"/>
    <hyperlink r:id="rId429" ref="E130"/>
    <hyperlink r:id="rId430" ref="J130"/>
    <hyperlink r:id="rId431" ref="K130"/>
    <hyperlink r:id="rId432" ref="E131"/>
    <hyperlink r:id="rId433" ref="J131"/>
    <hyperlink r:id="rId434" ref="K131"/>
    <hyperlink r:id="rId435" ref="E132"/>
    <hyperlink r:id="rId436" ref="J132"/>
    <hyperlink r:id="rId437" ref="K132"/>
    <hyperlink r:id="rId438" ref="E133"/>
    <hyperlink r:id="rId439" ref="J133"/>
    <hyperlink r:id="rId440" ref="K133"/>
    <hyperlink r:id="rId441" ref="E134"/>
    <hyperlink r:id="rId442" ref="J134"/>
    <hyperlink r:id="rId443" ref="K134"/>
    <hyperlink r:id="rId444" ref="E135"/>
    <hyperlink r:id="rId445" ref="J135"/>
    <hyperlink r:id="rId446" ref="K135"/>
    <hyperlink r:id="rId447" ref="E136"/>
    <hyperlink r:id="rId448" ref="J136"/>
    <hyperlink r:id="rId449" ref="K136"/>
    <hyperlink r:id="rId450" ref="E137"/>
    <hyperlink r:id="rId451" ref="J137"/>
    <hyperlink r:id="rId452" ref="K137"/>
    <hyperlink r:id="rId453" ref="E138"/>
    <hyperlink r:id="rId454" ref="J138"/>
    <hyperlink r:id="rId455" ref="K138"/>
    <hyperlink r:id="rId456" ref="E139"/>
    <hyperlink r:id="rId457" ref="J139"/>
    <hyperlink r:id="rId458" ref="K139"/>
    <hyperlink r:id="rId459" ref="AH139"/>
    <hyperlink r:id="rId460" ref="AI139"/>
    <hyperlink r:id="rId461" ref="E140"/>
    <hyperlink r:id="rId462" ref="J140"/>
    <hyperlink r:id="rId463" ref="K140"/>
    <hyperlink r:id="rId464" ref="E141"/>
    <hyperlink r:id="rId465" ref="J141"/>
    <hyperlink r:id="rId466" ref="K141"/>
    <hyperlink r:id="rId467" ref="E142"/>
    <hyperlink r:id="rId468" ref="J142"/>
    <hyperlink r:id="rId469" ref="K142"/>
    <hyperlink r:id="rId470" ref="E143"/>
    <hyperlink r:id="rId471" ref="J143"/>
    <hyperlink r:id="rId472" ref="K143"/>
    <hyperlink r:id="rId473" ref="E144"/>
    <hyperlink r:id="rId474" ref="J144"/>
    <hyperlink r:id="rId475" ref="K144"/>
    <hyperlink r:id="rId476" ref="E145"/>
    <hyperlink r:id="rId477" ref="J145"/>
    <hyperlink r:id="rId478" ref="K145"/>
    <hyperlink r:id="rId479" ref="E146"/>
    <hyperlink r:id="rId480" ref="J146"/>
    <hyperlink r:id="rId481" ref="E147"/>
    <hyperlink r:id="rId482" ref="J147"/>
    <hyperlink r:id="rId483" ref="K147"/>
    <hyperlink r:id="rId484" ref="AI147"/>
    <hyperlink r:id="rId485" ref="E148"/>
    <hyperlink r:id="rId486" ref="J148"/>
    <hyperlink r:id="rId487" ref="K148"/>
    <hyperlink r:id="rId488" ref="E149"/>
    <hyperlink r:id="rId489" ref="J149"/>
    <hyperlink r:id="rId490" ref="AI149"/>
    <hyperlink r:id="rId491" ref="AJ149"/>
    <hyperlink r:id="rId492" ref="E150"/>
    <hyperlink r:id="rId493" ref="J150"/>
    <hyperlink r:id="rId494" ref="K150"/>
    <hyperlink r:id="rId495" ref="E151"/>
    <hyperlink r:id="rId496" ref="J151"/>
    <hyperlink r:id="rId497" ref="E152"/>
    <hyperlink r:id="rId498" ref="J152"/>
    <hyperlink r:id="rId499" ref="K152"/>
    <hyperlink r:id="rId500" ref="E153"/>
    <hyperlink r:id="rId501" ref="J153"/>
    <hyperlink r:id="rId502" ref="K153"/>
    <hyperlink r:id="rId503" ref="AI153"/>
    <hyperlink r:id="rId504" ref="AJ153"/>
    <hyperlink r:id="rId505" ref="E154"/>
    <hyperlink r:id="rId506" ref="J154"/>
    <hyperlink r:id="rId507" ref="AI154"/>
    <hyperlink r:id="rId508" ref="AJ154"/>
    <hyperlink r:id="rId509" ref="E155"/>
    <hyperlink r:id="rId510" ref="J155"/>
    <hyperlink r:id="rId511" ref="K155"/>
    <hyperlink r:id="rId512" ref="E156"/>
    <hyperlink r:id="rId513" ref="J156"/>
    <hyperlink r:id="rId514" ref="K156"/>
    <hyperlink r:id="rId515" ref="E157"/>
    <hyperlink r:id="rId516" ref="J157"/>
    <hyperlink r:id="rId517" ref="K157"/>
    <hyperlink r:id="rId518" ref="AI157"/>
    <hyperlink r:id="rId519" ref="AJ157"/>
    <hyperlink r:id="rId520" ref="E158"/>
    <hyperlink r:id="rId521" ref="J158"/>
    <hyperlink r:id="rId522" ref="K158"/>
    <hyperlink r:id="rId523" ref="E159"/>
    <hyperlink r:id="rId524" ref="J159"/>
    <hyperlink r:id="rId525" ref="K159"/>
    <hyperlink r:id="rId526" ref="AI159"/>
    <hyperlink r:id="rId527" ref="AJ159"/>
    <hyperlink r:id="rId528" ref="E160"/>
    <hyperlink r:id="rId529" ref="J160"/>
    <hyperlink r:id="rId530" ref="K160"/>
    <hyperlink r:id="rId531" ref="AI160"/>
    <hyperlink r:id="rId532" ref="AJ160"/>
    <hyperlink r:id="rId533" ref="E161"/>
    <hyperlink r:id="rId534" ref="J161"/>
    <hyperlink r:id="rId535" ref="K161"/>
    <hyperlink r:id="rId536" ref="E162"/>
    <hyperlink r:id="rId537" ref="J162"/>
    <hyperlink r:id="rId538" ref="K162"/>
    <hyperlink r:id="rId539" ref="AI162"/>
    <hyperlink r:id="rId540" ref="AJ162"/>
    <hyperlink r:id="rId541" ref="E163"/>
    <hyperlink r:id="rId542" ref="J163"/>
    <hyperlink r:id="rId543" ref="K163"/>
    <hyperlink r:id="rId544" ref="AI163"/>
    <hyperlink r:id="rId545" ref="AJ163"/>
    <hyperlink r:id="rId546" ref="E164"/>
    <hyperlink r:id="rId547" ref="J164"/>
    <hyperlink r:id="rId548" ref="K164"/>
    <hyperlink r:id="rId549" ref="AI164"/>
    <hyperlink r:id="rId550" ref="AJ164"/>
    <hyperlink r:id="rId551" ref="E165"/>
    <hyperlink r:id="rId552" ref="J165"/>
    <hyperlink r:id="rId553" ref="K165"/>
    <hyperlink r:id="rId554" ref="E166"/>
    <hyperlink r:id="rId555" ref="J166"/>
    <hyperlink r:id="rId556" ref="K166"/>
    <hyperlink r:id="rId557" ref="E167"/>
    <hyperlink r:id="rId558" ref="J167"/>
    <hyperlink r:id="rId559" ref="K167"/>
    <hyperlink r:id="rId560" ref="E168"/>
    <hyperlink r:id="rId561" ref="J168"/>
    <hyperlink r:id="rId562" ref="K168"/>
    <hyperlink r:id="rId563" ref="AI168"/>
    <hyperlink r:id="rId564" ref="AJ168"/>
    <hyperlink r:id="rId565" ref="E169"/>
    <hyperlink r:id="rId566" ref="J169"/>
    <hyperlink r:id="rId567" ref="K169"/>
    <hyperlink r:id="rId568" ref="E170"/>
    <hyperlink r:id="rId569" ref="J170"/>
    <hyperlink r:id="rId570" ref="K170"/>
    <hyperlink r:id="rId571" ref="E171"/>
    <hyperlink r:id="rId572" ref="J171"/>
    <hyperlink r:id="rId573" ref="K171"/>
    <hyperlink r:id="rId574" ref="E172"/>
    <hyperlink r:id="rId575" ref="J172"/>
    <hyperlink r:id="rId576" ref="E173"/>
    <hyperlink r:id="rId577" ref="J173"/>
    <hyperlink r:id="rId578" ref="K173"/>
    <hyperlink r:id="rId579" ref="E174"/>
    <hyperlink r:id="rId580" ref="J174"/>
    <hyperlink r:id="rId581" ref="K174"/>
    <hyperlink r:id="rId582" ref="AA174"/>
    <hyperlink r:id="rId583" ref="E175"/>
    <hyperlink r:id="rId584" ref="J175"/>
    <hyperlink r:id="rId585" ref="K175"/>
    <hyperlink r:id="rId586" ref="E176"/>
    <hyperlink r:id="rId587" ref="J176"/>
    <hyperlink r:id="rId588" ref="K176"/>
    <hyperlink r:id="rId589" ref="AI176"/>
    <hyperlink r:id="rId590" ref="E177"/>
    <hyperlink r:id="rId591" ref="J177"/>
    <hyperlink r:id="rId592" ref="K177"/>
    <hyperlink r:id="rId593" ref="E178"/>
    <hyperlink r:id="rId594" ref="J178"/>
    <hyperlink r:id="rId595" ref="K178"/>
    <hyperlink r:id="rId596" ref="E179"/>
    <hyperlink r:id="rId597" ref="J179"/>
    <hyperlink r:id="rId598" ref="K179"/>
    <hyperlink r:id="rId599" ref="AA179"/>
    <hyperlink r:id="rId600" ref="E180"/>
    <hyperlink r:id="rId601" ref="J180"/>
    <hyperlink r:id="rId602" ref="K180"/>
    <hyperlink r:id="rId603" ref="E181"/>
    <hyperlink r:id="rId604" ref="J181"/>
    <hyperlink r:id="rId605" ref="K181"/>
    <hyperlink r:id="rId606" ref="AI181"/>
    <hyperlink r:id="rId607" ref="AJ181"/>
    <hyperlink r:id="rId608" ref="E182"/>
    <hyperlink r:id="rId609" ref="J182"/>
    <hyperlink r:id="rId610" ref="K182"/>
    <hyperlink r:id="rId611" ref="AI182"/>
    <hyperlink r:id="rId612" ref="AJ182"/>
    <hyperlink r:id="rId613" ref="E183"/>
    <hyperlink r:id="rId614" ref="J183"/>
    <hyperlink r:id="rId615" ref="K183"/>
    <hyperlink r:id="rId616" ref="AI183"/>
    <hyperlink r:id="rId617" ref="AJ183"/>
    <hyperlink r:id="rId618" ref="E184"/>
    <hyperlink r:id="rId619" ref="J184"/>
    <hyperlink r:id="rId620" ref="K184"/>
    <hyperlink r:id="rId621" ref="AI184"/>
    <hyperlink r:id="rId622" ref="AJ184"/>
    <hyperlink r:id="rId623" ref="E185"/>
    <hyperlink r:id="rId624" ref="J185"/>
    <hyperlink r:id="rId625" ref="K185"/>
    <hyperlink r:id="rId626" ref="E186"/>
    <hyperlink r:id="rId627" ref="J186"/>
    <hyperlink r:id="rId628" ref="K186"/>
    <hyperlink r:id="rId629" ref="E187"/>
    <hyperlink r:id="rId630" ref="J187"/>
    <hyperlink r:id="rId631" ref="K187"/>
    <hyperlink r:id="rId632" ref="E188"/>
    <hyperlink r:id="rId633" ref="J188"/>
    <hyperlink r:id="rId634" ref="E189"/>
    <hyperlink r:id="rId635" ref="J189"/>
    <hyperlink r:id="rId636" ref="K189"/>
    <hyperlink r:id="rId637" ref="E190"/>
    <hyperlink r:id="rId638" ref="J190"/>
    <hyperlink r:id="rId639" ref="K190"/>
    <hyperlink r:id="rId640" ref="E191"/>
    <hyperlink r:id="rId641" ref="J191"/>
    <hyperlink r:id="rId642" ref="K191"/>
    <hyperlink r:id="rId643" ref="E192"/>
    <hyperlink r:id="rId644" ref="J192"/>
    <hyperlink r:id="rId645" ref="E193"/>
    <hyperlink r:id="rId646" ref="J193"/>
    <hyperlink r:id="rId647" ref="K193"/>
    <hyperlink r:id="rId648" ref="E194"/>
    <hyperlink r:id="rId649" ref="J194"/>
    <hyperlink r:id="rId650" ref="K194"/>
    <hyperlink r:id="rId651" ref="E195"/>
    <hyperlink r:id="rId652" ref="J195"/>
    <hyperlink r:id="rId653" ref="K195"/>
    <hyperlink r:id="rId654" ref="E196"/>
    <hyperlink r:id="rId655" ref="J196"/>
    <hyperlink r:id="rId656" ref="K196"/>
    <hyperlink r:id="rId657" ref="E197"/>
    <hyperlink r:id="rId658" ref="J197"/>
    <hyperlink r:id="rId659" ref="K197"/>
    <hyperlink r:id="rId660" ref="AI197"/>
    <hyperlink r:id="rId661" ref="E198"/>
    <hyperlink r:id="rId662" ref="J198"/>
    <hyperlink r:id="rId663" ref="K198"/>
    <hyperlink r:id="rId664" ref="E199"/>
    <hyperlink r:id="rId665" ref="J199"/>
    <hyperlink r:id="rId666" ref="K199"/>
    <hyperlink r:id="rId667" ref="E200"/>
    <hyperlink r:id="rId668" ref="J200"/>
    <hyperlink r:id="rId669" ref="K200"/>
    <hyperlink r:id="rId670" ref="E201"/>
    <hyperlink r:id="rId671" ref="J201"/>
    <hyperlink r:id="rId672" ref="K201"/>
    <hyperlink r:id="rId673" ref="E202"/>
    <hyperlink r:id="rId674" ref="J202"/>
    <hyperlink r:id="rId675" ref="K202"/>
    <hyperlink r:id="rId676" ref="E203"/>
    <hyperlink r:id="rId677" ref="J203"/>
    <hyperlink r:id="rId678" ref="K203"/>
    <hyperlink r:id="rId679" ref="E204"/>
    <hyperlink r:id="rId680" ref="J204"/>
    <hyperlink r:id="rId681" ref="K204"/>
    <hyperlink r:id="rId682" ref="E205"/>
    <hyperlink r:id="rId683" ref="J205"/>
    <hyperlink r:id="rId684" ref="K205"/>
    <hyperlink r:id="rId685" ref="AI205"/>
    <hyperlink r:id="rId686" ref="E206"/>
    <hyperlink r:id="rId687" ref="J206"/>
    <hyperlink r:id="rId688" ref="K206"/>
    <hyperlink r:id="rId689" ref="AI206"/>
    <hyperlink r:id="rId690" ref="E207"/>
    <hyperlink r:id="rId691" ref="J207"/>
    <hyperlink r:id="rId692" ref="K207"/>
    <hyperlink r:id="rId693" ref="E208"/>
    <hyperlink r:id="rId694" ref="J208"/>
    <hyperlink r:id="rId695" ref="K208"/>
    <hyperlink r:id="rId696" ref="E209"/>
    <hyperlink r:id="rId697" ref="J209"/>
    <hyperlink r:id="rId698" ref="K209"/>
    <hyperlink r:id="rId699" ref="E210"/>
    <hyperlink r:id="rId700" ref="J210"/>
    <hyperlink r:id="rId701" ref="K210"/>
    <hyperlink r:id="rId702" ref="AI210"/>
    <hyperlink r:id="rId703" ref="AJ210"/>
    <hyperlink r:id="rId704" ref="E211"/>
    <hyperlink r:id="rId705" ref="J211"/>
    <hyperlink r:id="rId706" ref="K211"/>
    <hyperlink r:id="rId707" ref="E212"/>
    <hyperlink r:id="rId708" ref="J212"/>
    <hyperlink r:id="rId709" ref="K212"/>
    <hyperlink r:id="rId710" ref="E213"/>
    <hyperlink r:id="rId711" ref="J213"/>
    <hyperlink r:id="rId712" ref="K213"/>
    <hyperlink r:id="rId713" ref="E214"/>
    <hyperlink r:id="rId714" ref="J214"/>
    <hyperlink r:id="rId715" ref="K214"/>
    <hyperlink r:id="rId716" ref="E215"/>
    <hyperlink r:id="rId717" ref="J215"/>
    <hyperlink r:id="rId718" ref="K215"/>
    <hyperlink r:id="rId719" ref="AH215"/>
    <hyperlink r:id="rId720" ref="E216"/>
    <hyperlink r:id="rId721" ref="J216"/>
    <hyperlink r:id="rId722" ref="K216"/>
    <hyperlink r:id="rId723" ref="E217"/>
    <hyperlink r:id="rId724" ref="J217"/>
    <hyperlink r:id="rId725" ref="E218"/>
    <hyperlink r:id="rId726" ref="H218"/>
    <hyperlink r:id="rId727" ref="J218"/>
    <hyperlink r:id="rId728" ref="E219"/>
    <hyperlink r:id="rId729" ref="J219"/>
    <hyperlink r:id="rId730" ref="K219"/>
    <hyperlink r:id="rId731" ref="E220"/>
    <hyperlink r:id="rId732" ref="J220"/>
    <hyperlink r:id="rId733" ref="K220"/>
    <hyperlink r:id="rId734" ref="E221"/>
    <hyperlink r:id="rId735" ref="J221"/>
    <hyperlink r:id="rId736" ref="K221"/>
    <hyperlink r:id="rId737" ref="E222"/>
    <hyperlink r:id="rId738" ref="J222"/>
    <hyperlink r:id="rId739" ref="K222"/>
    <hyperlink r:id="rId740" ref="AI222"/>
    <hyperlink r:id="rId741" ref="AJ222"/>
    <hyperlink r:id="rId742" ref="E223"/>
    <hyperlink r:id="rId743" ref="J223"/>
    <hyperlink r:id="rId744" ref="K223"/>
    <hyperlink r:id="rId745" ref="AI223"/>
    <hyperlink r:id="rId746" ref="AJ223"/>
    <hyperlink r:id="rId747" ref="E224"/>
    <hyperlink r:id="rId748" ref="J224"/>
    <hyperlink r:id="rId749" ref="K224"/>
    <hyperlink r:id="rId750" ref="AI224"/>
    <hyperlink r:id="rId751" ref="AJ224"/>
    <hyperlink r:id="rId752" ref="E225"/>
    <hyperlink r:id="rId753" ref="J225"/>
    <hyperlink r:id="rId754" ref="K225"/>
    <hyperlink r:id="rId755" ref="AI225"/>
    <hyperlink r:id="rId756" ref="AJ225"/>
    <hyperlink r:id="rId757" ref="E226"/>
    <hyperlink r:id="rId758" ref="J226"/>
    <hyperlink r:id="rId759" ref="K226"/>
    <hyperlink r:id="rId760" ref="AH226"/>
    <hyperlink r:id="rId761" ref="E227"/>
    <hyperlink r:id="rId762" ref="J227"/>
    <hyperlink r:id="rId763" ref="K227"/>
    <hyperlink r:id="rId764" ref="E228"/>
    <hyperlink r:id="rId765" ref="J228"/>
    <hyperlink r:id="rId766" ref="K228"/>
    <hyperlink r:id="rId767" ref="AI228"/>
    <hyperlink r:id="rId768" ref="E229"/>
    <hyperlink r:id="rId769" ref="J229"/>
    <hyperlink r:id="rId770" ref="K229"/>
    <hyperlink r:id="rId771" ref="E230"/>
    <hyperlink r:id="rId772" ref="J230"/>
    <hyperlink r:id="rId773" ref="K230"/>
    <hyperlink r:id="rId774" ref="E231"/>
    <hyperlink r:id="rId775" ref="J231"/>
    <hyperlink r:id="rId776" ref="K231"/>
    <hyperlink r:id="rId777" ref="E232"/>
    <hyperlink r:id="rId778" ref="J232"/>
    <hyperlink r:id="rId779" ref="K232"/>
    <hyperlink r:id="rId780" ref="E233"/>
    <hyperlink r:id="rId781" ref="J233"/>
    <hyperlink r:id="rId782" ref="E234"/>
    <hyperlink r:id="rId783" ref="J234"/>
    <hyperlink r:id="rId784" ref="K234"/>
    <hyperlink r:id="rId785" ref="AH234"/>
    <hyperlink r:id="rId786" ref="E235"/>
    <hyperlink r:id="rId787" ref="J235"/>
    <hyperlink r:id="rId788" ref="K235"/>
    <hyperlink r:id="rId789" ref="E236"/>
    <hyperlink r:id="rId790" ref="J236"/>
    <hyperlink r:id="rId791" ref="K236"/>
    <hyperlink r:id="rId792" ref="M236"/>
    <hyperlink r:id="rId793" ref="AH236"/>
    <hyperlink r:id="rId794" ref="E237"/>
    <hyperlink r:id="rId795" ref="J237"/>
    <hyperlink r:id="rId796" ref="K237"/>
    <hyperlink r:id="rId797" ref="E238"/>
    <hyperlink r:id="rId798" ref="J238"/>
    <hyperlink r:id="rId799" ref="K238"/>
    <hyperlink r:id="rId800" ref="AH238"/>
    <hyperlink r:id="rId801" ref="AI238"/>
    <hyperlink r:id="rId802" ref="AJ238"/>
    <hyperlink r:id="rId803" ref="E239"/>
    <hyperlink r:id="rId804" ref="J239"/>
    <hyperlink r:id="rId805" ref="K239"/>
    <hyperlink r:id="rId806" ref="E240"/>
    <hyperlink r:id="rId807" ref="J240"/>
    <hyperlink r:id="rId808" ref="K240"/>
    <hyperlink r:id="rId809" ref="AA240"/>
    <hyperlink r:id="rId810" ref="E241"/>
    <hyperlink r:id="rId811" ref="J241"/>
    <hyperlink r:id="rId812" ref="E242"/>
    <hyperlink r:id="rId813" ref="J242"/>
    <hyperlink r:id="rId814" ref="K242"/>
    <hyperlink r:id="rId815" ref="E243"/>
    <hyperlink r:id="rId816" ref="J243"/>
    <hyperlink r:id="rId817" ref="K243"/>
    <hyperlink r:id="rId818" ref="AH243"/>
    <hyperlink r:id="rId819" ref="E244"/>
    <hyperlink r:id="rId820" ref="J244"/>
    <hyperlink r:id="rId821" ref="K244"/>
    <hyperlink r:id="rId822" ref="AI244"/>
    <hyperlink r:id="rId823" ref="E245"/>
    <hyperlink r:id="rId824" ref="J245"/>
    <hyperlink r:id="rId825" ref="K245"/>
    <hyperlink r:id="rId826" ref="E246"/>
    <hyperlink r:id="rId827" ref="J246"/>
    <hyperlink r:id="rId828" ref="K246"/>
    <hyperlink r:id="rId829" ref="E247"/>
    <hyperlink r:id="rId830" ref="J247"/>
    <hyperlink r:id="rId831" ref="K247"/>
    <hyperlink r:id="rId832" ref="AH247"/>
    <hyperlink r:id="rId833" ref="AI247"/>
    <hyperlink r:id="rId834" ref="E248"/>
    <hyperlink r:id="rId835" ref="J248"/>
    <hyperlink r:id="rId836" ref="K248"/>
    <hyperlink r:id="rId837" ref="AI248"/>
    <hyperlink r:id="rId838" ref="E249"/>
    <hyperlink r:id="rId839" ref="F249"/>
    <hyperlink r:id="rId840" ref="J249"/>
    <hyperlink r:id="rId841" ref="K249"/>
    <hyperlink r:id="rId842" ref="AH249"/>
    <hyperlink r:id="rId843" ref="E250"/>
    <hyperlink r:id="rId844" ref="J250"/>
    <hyperlink r:id="rId845" ref="K250"/>
    <hyperlink r:id="rId846" ref="Z250"/>
    <hyperlink r:id="rId847" ref="AA250"/>
    <hyperlink r:id="rId848" ref="E251"/>
    <hyperlink r:id="rId849" ref="J251"/>
    <hyperlink r:id="rId850" ref="K251"/>
    <hyperlink r:id="rId851" ref="E252"/>
    <hyperlink r:id="rId852" ref="J252"/>
    <hyperlink r:id="rId853" ref="K252"/>
    <hyperlink r:id="rId854" ref="E253"/>
    <hyperlink r:id="rId855" ref="J253"/>
    <hyperlink r:id="rId856" ref="K253"/>
    <hyperlink r:id="rId857" ref="E254"/>
    <hyperlink r:id="rId858" ref="J254"/>
    <hyperlink r:id="rId859" ref="K254"/>
    <hyperlink r:id="rId860" ref="E255"/>
    <hyperlink r:id="rId861" ref="J255"/>
    <hyperlink r:id="rId862" ref="K255"/>
    <hyperlink r:id="rId863" ref="E256"/>
    <hyperlink r:id="rId864" ref="J256"/>
    <hyperlink r:id="rId865" ref="E257"/>
    <hyperlink r:id="rId866" ref="J257"/>
    <hyperlink r:id="rId867" ref="K257"/>
    <hyperlink r:id="rId868" ref="E258"/>
    <hyperlink r:id="rId869" ref="J258"/>
    <hyperlink r:id="rId870" ref="K258"/>
    <hyperlink r:id="rId871" ref="E259"/>
    <hyperlink r:id="rId872" ref="J259"/>
    <hyperlink r:id="rId873" ref="K259"/>
    <hyperlink r:id="rId874" ref="E260"/>
    <hyperlink r:id="rId875" ref="J260"/>
    <hyperlink r:id="rId876" ref="K260"/>
    <hyperlink r:id="rId877" ref="AI260"/>
    <hyperlink r:id="rId878" ref="AJ260"/>
    <hyperlink r:id="rId879" ref="E261"/>
    <hyperlink r:id="rId880" ref="J261"/>
    <hyperlink r:id="rId881" ref="K261"/>
    <hyperlink r:id="rId882" ref="AH261"/>
    <hyperlink r:id="rId883" ref="E262"/>
    <hyperlink r:id="rId884" ref="J262"/>
    <hyperlink r:id="rId885" ref="K262"/>
    <hyperlink r:id="rId886" ref="AI262"/>
    <hyperlink r:id="rId887" ref="E263"/>
    <hyperlink r:id="rId888" ref="J263"/>
    <hyperlink r:id="rId889" ref="K263"/>
    <hyperlink r:id="rId890" ref="AH263"/>
    <hyperlink r:id="rId891" ref="E264"/>
    <hyperlink r:id="rId892" ref="J264"/>
    <hyperlink r:id="rId893" ref="K264"/>
    <hyperlink r:id="rId894" ref="AI264"/>
    <hyperlink r:id="rId895" ref="E265"/>
    <hyperlink r:id="rId896" ref="J265"/>
    <hyperlink r:id="rId897" ref="E266"/>
    <hyperlink r:id="rId898" ref="J266"/>
    <hyperlink r:id="rId899" ref="K266"/>
    <hyperlink r:id="rId900" ref="E267"/>
    <hyperlink r:id="rId901" ref="J267"/>
    <hyperlink r:id="rId902" ref="K267"/>
    <hyperlink r:id="rId903" ref="AI267"/>
    <hyperlink r:id="rId904" ref="E268"/>
    <hyperlink r:id="rId905" ref="J268"/>
    <hyperlink r:id="rId906" ref="K268"/>
    <hyperlink r:id="rId907" ref="E269"/>
    <hyperlink r:id="rId908" ref="J269"/>
    <hyperlink r:id="rId909" ref="K269"/>
    <hyperlink r:id="rId910" ref="AI269"/>
    <hyperlink r:id="rId911" ref="AJ269"/>
    <hyperlink r:id="rId912" ref="E270"/>
    <hyperlink r:id="rId913" ref="J270"/>
    <hyperlink r:id="rId914" ref="K270"/>
    <hyperlink r:id="rId915" ref="AH270"/>
    <hyperlink r:id="rId916" ref="E271"/>
    <hyperlink r:id="rId917" ref="J271"/>
    <hyperlink r:id="rId918" ref="K271"/>
    <hyperlink r:id="rId919" ref="E272"/>
    <hyperlink r:id="rId920" ref="J272"/>
    <hyperlink r:id="rId921" ref="K272"/>
    <hyperlink r:id="rId922" ref="AH272"/>
    <hyperlink r:id="rId923" ref="E273"/>
    <hyperlink r:id="rId924" ref="J273"/>
    <hyperlink r:id="rId925" ref="K273"/>
    <hyperlink r:id="rId926" ref="E274"/>
    <hyperlink r:id="rId927" ref="J274"/>
    <hyperlink r:id="rId928" ref="K274"/>
    <hyperlink r:id="rId929" ref="E275"/>
    <hyperlink r:id="rId930" ref="J275"/>
    <hyperlink r:id="rId931" ref="K275"/>
    <hyperlink r:id="rId932" ref="AH275"/>
    <hyperlink r:id="rId933" ref="E276"/>
    <hyperlink r:id="rId934" ref="J276"/>
    <hyperlink r:id="rId935" ref="K276"/>
    <hyperlink r:id="rId936" ref="AI276"/>
    <hyperlink r:id="rId937" ref="E277"/>
    <hyperlink r:id="rId938" ref="J277"/>
    <hyperlink r:id="rId939" ref="K277"/>
    <hyperlink r:id="rId940" ref="AI277"/>
    <hyperlink r:id="rId941" ref="E278"/>
    <hyperlink r:id="rId942" ref="J278"/>
    <hyperlink r:id="rId943" ref="K278"/>
    <hyperlink r:id="rId944" ref="E279"/>
    <hyperlink r:id="rId945" ref="J279"/>
    <hyperlink r:id="rId946" ref="K279"/>
    <hyperlink r:id="rId947" ref="AI279"/>
    <hyperlink r:id="rId948" ref="AJ279"/>
    <hyperlink r:id="rId949" ref="E280"/>
    <hyperlink r:id="rId950" ref="J280"/>
    <hyperlink r:id="rId951" ref="K280"/>
    <hyperlink r:id="rId952" ref="AI280"/>
    <hyperlink r:id="rId953" ref="AJ280"/>
    <hyperlink r:id="rId954" ref="E281"/>
    <hyperlink r:id="rId955" ref="J281"/>
    <hyperlink r:id="rId956" ref="K281"/>
    <hyperlink r:id="rId957" ref="E282"/>
    <hyperlink r:id="rId958" ref="J282"/>
    <hyperlink r:id="rId959" ref="K282"/>
    <hyperlink r:id="rId960" ref="AI282"/>
    <hyperlink r:id="rId961" ref="E283"/>
    <hyperlink r:id="rId962" ref="J283"/>
    <hyperlink r:id="rId963" ref="K283"/>
    <hyperlink r:id="rId964" ref="E284"/>
    <hyperlink r:id="rId965" ref="J284"/>
    <hyperlink r:id="rId966" ref="K284"/>
    <hyperlink r:id="rId967" ref="AI284"/>
    <hyperlink r:id="rId968" ref="AJ284"/>
    <hyperlink r:id="rId969" ref="E285"/>
    <hyperlink r:id="rId970" ref="J285"/>
    <hyperlink r:id="rId971" ref="K285"/>
    <hyperlink r:id="rId972" ref="AI285"/>
    <hyperlink r:id="rId973" ref="AJ285"/>
    <hyperlink r:id="rId974" ref="E286"/>
    <hyperlink r:id="rId975" ref="J286"/>
    <hyperlink r:id="rId976" ref="K286"/>
    <hyperlink r:id="rId977" ref="AI286"/>
    <hyperlink r:id="rId978" ref="E287"/>
    <hyperlink r:id="rId979" ref="J287"/>
    <hyperlink r:id="rId980" ref="K287"/>
    <hyperlink r:id="rId981" ref="E288"/>
    <hyperlink r:id="rId982" ref="J288"/>
    <hyperlink r:id="rId983" ref="K288"/>
    <hyperlink r:id="rId984" ref="AH288"/>
    <hyperlink r:id="rId985" ref="AI288"/>
    <hyperlink r:id="rId986" ref="E289"/>
    <hyperlink r:id="rId987" ref="J289"/>
    <hyperlink r:id="rId988" ref="K289"/>
    <hyperlink r:id="rId989" ref="E290"/>
    <hyperlink r:id="rId990" ref="J290"/>
    <hyperlink r:id="rId991" ref="K290"/>
    <hyperlink r:id="rId992" ref="AI290"/>
    <hyperlink r:id="rId993" ref="AJ290"/>
    <hyperlink r:id="rId994" ref="E291"/>
    <hyperlink r:id="rId995" ref="J291"/>
    <hyperlink r:id="rId996" ref="K291"/>
    <hyperlink r:id="rId997" ref="E292"/>
    <hyperlink r:id="rId998" ref="J292"/>
    <hyperlink r:id="rId999" ref="K292"/>
    <hyperlink r:id="rId1000" ref="E293"/>
    <hyperlink r:id="rId1001" ref="J293"/>
    <hyperlink r:id="rId1002" ref="K293"/>
    <hyperlink r:id="rId1003" ref="E294"/>
    <hyperlink r:id="rId1004" ref="J294"/>
    <hyperlink r:id="rId1005" ref="K294"/>
    <hyperlink r:id="rId1006" ref="E295"/>
    <hyperlink r:id="rId1007" ref="J295"/>
    <hyperlink r:id="rId1008" ref="K295"/>
    <hyperlink r:id="rId1009" ref="E296"/>
    <hyperlink r:id="rId1010" ref="J296"/>
    <hyperlink r:id="rId1011" ref="K296"/>
    <hyperlink r:id="rId1012" ref="AI296"/>
    <hyperlink r:id="rId1013" ref="E297"/>
    <hyperlink r:id="rId1014" ref="J297"/>
    <hyperlink r:id="rId1015" ref="K297"/>
    <hyperlink r:id="rId1016" ref="E298"/>
    <hyperlink r:id="rId1017" ref="J298"/>
    <hyperlink r:id="rId1018" ref="K298"/>
    <hyperlink r:id="rId1019" ref="E299"/>
    <hyperlink r:id="rId1020" ref="J299"/>
    <hyperlink r:id="rId1021" ref="K299"/>
    <hyperlink r:id="rId1022" ref="E300"/>
    <hyperlink r:id="rId1023" ref="J300"/>
    <hyperlink r:id="rId1024" ref="K300"/>
    <hyperlink r:id="rId1025" ref="AA300"/>
    <hyperlink r:id="rId1026" ref="E301"/>
    <hyperlink r:id="rId1027" ref="J301"/>
    <hyperlink r:id="rId1028" ref="K301"/>
    <hyperlink r:id="rId1029" ref="AH301"/>
    <hyperlink r:id="rId1030" ref="E302"/>
    <hyperlink r:id="rId1031" ref="J302"/>
    <hyperlink r:id="rId1032" ref="K302"/>
    <hyperlink r:id="rId1033" ref="E303"/>
    <hyperlink r:id="rId1034" ref="J303"/>
    <hyperlink r:id="rId1035" ref="K303"/>
    <hyperlink r:id="rId1036" ref="E304"/>
    <hyperlink r:id="rId1037" ref="J304"/>
    <hyperlink r:id="rId1038" ref="K304"/>
    <hyperlink r:id="rId1039" ref="AH304"/>
    <hyperlink r:id="rId1040" ref="E305"/>
    <hyperlink r:id="rId1041" ref="J305"/>
    <hyperlink r:id="rId1042" ref="K305"/>
    <hyperlink r:id="rId1043" ref="E306"/>
    <hyperlink r:id="rId1044" ref="J306"/>
    <hyperlink r:id="rId1045" ref="E307"/>
    <hyperlink r:id="rId1046" ref="J307"/>
    <hyperlink r:id="rId1047" ref="K307"/>
    <hyperlink r:id="rId1048" ref="AH307"/>
    <hyperlink r:id="rId1049" ref="E308"/>
    <hyperlink r:id="rId1050" ref="J308"/>
    <hyperlink r:id="rId1051" ref="K308"/>
    <hyperlink r:id="rId1052" ref="E309"/>
    <hyperlink r:id="rId1053" ref="J309"/>
    <hyperlink r:id="rId1054" ref="K309"/>
    <hyperlink r:id="rId1055" ref="E310"/>
    <hyperlink r:id="rId1056" ref="J310"/>
    <hyperlink r:id="rId1057" ref="K310"/>
    <hyperlink r:id="rId1058" ref="AI310"/>
    <hyperlink r:id="rId1059" ref="E311"/>
    <hyperlink r:id="rId1060" ref="J311"/>
    <hyperlink r:id="rId1061" ref="K311"/>
    <hyperlink r:id="rId1062" ref="E312"/>
    <hyperlink r:id="rId1063" ref="J312"/>
    <hyperlink r:id="rId1064" ref="K312"/>
    <hyperlink r:id="rId1065" ref="AI312"/>
    <hyperlink r:id="rId1066" ref="E313"/>
    <hyperlink r:id="rId1067" ref="J313"/>
    <hyperlink r:id="rId1068" ref="K313"/>
    <hyperlink r:id="rId1069" ref="E314"/>
    <hyperlink r:id="rId1070" ref="J314"/>
    <hyperlink r:id="rId1071" ref="K314"/>
    <hyperlink r:id="rId1072" ref="E315"/>
    <hyperlink r:id="rId1073" ref="J315"/>
    <hyperlink r:id="rId1074" ref="K315"/>
    <hyperlink r:id="rId1075" ref="AI315"/>
    <hyperlink r:id="rId1076" ref="E316"/>
    <hyperlink r:id="rId1077" ref="J316"/>
    <hyperlink r:id="rId1078" ref="K316"/>
    <hyperlink r:id="rId1079" ref="AI316"/>
    <hyperlink r:id="rId1080" ref="E317"/>
    <hyperlink r:id="rId1081" ref="J317"/>
    <hyperlink r:id="rId1082" ref="K317"/>
    <hyperlink r:id="rId1083" ref="E318"/>
    <hyperlink r:id="rId1084" ref="J318"/>
    <hyperlink r:id="rId1085" ref="K318"/>
    <hyperlink r:id="rId1086" ref="AI318"/>
    <hyperlink r:id="rId1087" ref="E319"/>
    <hyperlink r:id="rId1088" ref="J319"/>
    <hyperlink r:id="rId1089" ref="K319"/>
    <hyperlink r:id="rId1090" ref="AI319"/>
    <hyperlink r:id="rId1091" ref="AJ319"/>
    <hyperlink r:id="rId1092" ref="E320"/>
    <hyperlink r:id="rId1093" ref="J320"/>
    <hyperlink r:id="rId1094" ref="K320"/>
    <hyperlink r:id="rId1095" ref="E321"/>
    <hyperlink r:id="rId1096" ref="J321"/>
    <hyperlink r:id="rId1097" ref="K321"/>
    <hyperlink r:id="rId1098" ref="AI321"/>
    <hyperlink r:id="rId1099" ref="AJ321"/>
    <hyperlink r:id="rId1100" ref="E322"/>
    <hyperlink r:id="rId1101" ref="J322"/>
    <hyperlink r:id="rId1102" ref="K322"/>
    <hyperlink r:id="rId1103" ref="E323"/>
    <hyperlink r:id="rId1104" ref="J323"/>
    <hyperlink r:id="rId1105" ref="K323"/>
    <hyperlink r:id="rId1106" ref="E324"/>
    <hyperlink r:id="rId1107" ref="J324"/>
    <hyperlink r:id="rId1108" ref="K324"/>
    <hyperlink r:id="rId1109" ref="E325"/>
    <hyperlink r:id="rId1110" ref="J325"/>
    <hyperlink r:id="rId1111" ref="K325"/>
    <hyperlink r:id="rId1112" ref="AI325"/>
    <hyperlink r:id="rId1113" ref="E326"/>
    <hyperlink r:id="rId1114" ref="J326"/>
    <hyperlink r:id="rId1115" ref="K326"/>
    <hyperlink r:id="rId1116" ref="E327"/>
    <hyperlink r:id="rId1117" ref="J327"/>
    <hyperlink r:id="rId1118" ref="K327"/>
    <hyperlink r:id="rId1119" ref="E328"/>
    <hyperlink r:id="rId1120" ref="J328"/>
    <hyperlink r:id="rId1121" ref="K328"/>
    <hyperlink r:id="rId1122" ref="E329"/>
    <hyperlink r:id="rId1123" ref="J329"/>
    <hyperlink r:id="rId1124" ref="K329"/>
    <hyperlink r:id="rId1125" ref="E330"/>
    <hyperlink r:id="rId1126" ref="J330"/>
    <hyperlink r:id="rId1127" ref="K330"/>
    <hyperlink r:id="rId1128" ref="E331"/>
    <hyperlink r:id="rId1129" ref="J331"/>
    <hyperlink r:id="rId1130" ref="K331"/>
    <hyperlink r:id="rId1131" ref="E332"/>
    <hyperlink r:id="rId1132" ref="J332"/>
    <hyperlink r:id="rId1133" ref="K332"/>
    <hyperlink r:id="rId1134" ref="E333"/>
    <hyperlink r:id="rId1135" ref="J333"/>
    <hyperlink r:id="rId1136" ref="K333"/>
    <hyperlink r:id="rId1137" ref="E334"/>
    <hyperlink r:id="rId1138" ref="J334"/>
    <hyperlink r:id="rId1139" ref="K334"/>
    <hyperlink r:id="rId1140" ref="E335"/>
    <hyperlink r:id="rId1141" ref="J335"/>
    <hyperlink r:id="rId1142" ref="K335"/>
    <hyperlink r:id="rId1143" ref="E336"/>
    <hyperlink r:id="rId1144" ref="J336"/>
    <hyperlink r:id="rId1145" ref="E337"/>
    <hyperlink r:id="rId1146" ref="J337"/>
    <hyperlink r:id="rId1147" ref="K337"/>
    <hyperlink r:id="rId1148" ref="AH337"/>
    <hyperlink r:id="rId1149" ref="E338"/>
    <hyperlink r:id="rId1150" ref="J338"/>
    <hyperlink r:id="rId1151" ref="K338"/>
    <hyperlink r:id="rId1152" ref="E339"/>
    <hyperlink r:id="rId1153" ref="J339"/>
    <hyperlink r:id="rId1154" ref="K339"/>
    <hyperlink r:id="rId1155" ref="AH339"/>
    <hyperlink r:id="rId1156" ref="AI339"/>
    <hyperlink r:id="rId1157" ref="E340"/>
    <hyperlink r:id="rId1158" ref="J340"/>
    <hyperlink r:id="rId1159" ref="K340"/>
    <hyperlink r:id="rId1160" ref="E341"/>
    <hyperlink r:id="rId1161" ref="J341"/>
    <hyperlink r:id="rId1162" ref="K341"/>
    <hyperlink r:id="rId1163" ref="E342"/>
    <hyperlink r:id="rId1164" ref="J342"/>
    <hyperlink r:id="rId1165" ref="K342"/>
    <hyperlink r:id="rId1166" ref="E343"/>
    <hyperlink r:id="rId1167" ref="J343"/>
    <hyperlink r:id="rId1168" ref="K343"/>
    <hyperlink r:id="rId1169" ref="E344"/>
    <hyperlink r:id="rId1170" ref="J344"/>
    <hyperlink r:id="rId1171" ref="K344"/>
    <hyperlink r:id="rId1172" ref="E345"/>
    <hyperlink r:id="rId1173" ref="J345"/>
    <hyperlink r:id="rId1174" ref="K345"/>
    <hyperlink r:id="rId1175" ref="E346"/>
    <hyperlink r:id="rId1176" ref="J346"/>
    <hyperlink r:id="rId1177" ref="K346"/>
    <hyperlink r:id="rId1178" ref="AA346"/>
    <hyperlink r:id="rId1179" ref="E347"/>
    <hyperlink r:id="rId1180" ref="J347"/>
    <hyperlink r:id="rId1181" ref="K347"/>
    <hyperlink r:id="rId1182" ref="E348"/>
    <hyperlink r:id="rId1183" ref="J348"/>
    <hyperlink r:id="rId1184" ref="K348"/>
    <hyperlink r:id="rId1185" ref="AH348"/>
    <hyperlink r:id="rId1186" ref="E349"/>
    <hyperlink r:id="rId1187" ref="J349"/>
    <hyperlink r:id="rId1188" ref="K349"/>
    <hyperlink r:id="rId1189" ref="E350"/>
    <hyperlink r:id="rId1190" ref="J350"/>
    <hyperlink r:id="rId1191" ref="K350"/>
    <hyperlink r:id="rId1192" ref="E351"/>
    <hyperlink r:id="rId1193" ref="J351"/>
    <hyperlink r:id="rId1194" ref="K351"/>
    <hyperlink r:id="rId1195" ref="E352"/>
    <hyperlink r:id="rId1196" ref="J352"/>
    <hyperlink r:id="rId1197" ref="K352"/>
    <hyperlink r:id="rId1198" ref="E353"/>
    <hyperlink r:id="rId1199" ref="J353"/>
    <hyperlink r:id="rId1200" ref="K353"/>
    <hyperlink r:id="rId1201" ref="E354"/>
    <hyperlink r:id="rId1202" ref="J354"/>
    <hyperlink r:id="rId1203" ref="K354"/>
  </hyperlinks>
  <drawing r:id="rId12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43</v>
      </c>
      <c r="B2" s="1" t="s">
        <v>43</v>
      </c>
      <c r="C2" s="4">
        <v>45991.141539351855</v>
      </c>
      <c r="D2" s="5">
        <v>1.764473029E9</v>
      </c>
      <c r="E2" s="7" t="s">
        <v>45</v>
      </c>
      <c r="F2" s="1" t="s">
        <v>52</v>
      </c>
      <c r="G2" s="1" t="s">
        <v>53</v>
      </c>
      <c r="H2" s="1" t="s">
        <v>54</v>
      </c>
      <c r="I2" s="5">
        <v>2.56181663E9</v>
      </c>
      <c r="J2" s="7" t="s">
        <v>55</v>
      </c>
      <c r="K2" s="1"/>
      <c r="L2" s="9" t="b">
        <v>0</v>
      </c>
      <c r="M2" s="1" t="s">
        <v>63</v>
      </c>
      <c r="N2" s="1" t="s">
        <v>64</v>
      </c>
      <c r="O2" s="1" t="s">
        <v>65</v>
      </c>
      <c r="P2" s="5">
        <v>0.0</v>
      </c>
      <c r="Q2" s="5">
        <v>0.0</v>
      </c>
      <c r="R2" s="5">
        <v>0.0</v>
      </c>
      <c r="S2" s="5">
        <v>0.0</v>
      </c>
      <c r="T2" s="5">
        <v>21.0</v>
      </c>
      <c r="U2" s="1" t="s">
        <v>65</v>
      </c>
      <c r="V2" s="1"/>
      <c r="W2" s="1" t="s">
        <v>65</v>
      </c>
      <c r="X2" s="1"/>
      <c r="Y2" s="1"/>
      <c r="Z2" s="1"/>
      <c r="AA2" s="1"/>
      <c r="AB2" s="1"/>
      <c r="AC2" s="1" t="s">
        <v>65</v>
      </c>
      <c r="AD2" s="1" t="s">
        <v>65</v>
      </c>
      <c r="AE2" s="1"/>
      <c r="AF2" s="1" t="s">
        <v>65</v>
      </c>
      <c r="AG2" s="1" t="s">
        <v>69</v>
      </c>
      <c r="AH2" s="1"/>
      <c r="AI2" s="7" t="s">
        <v>70</v>
      </c>
      <c r="AJ2" s="7" t="s">
        <v>79</v>
      </c>
      <c r="AK2" s="1"/>
      <c r="AL2" s="1"/>
      <c r="AM2" s="1"/>
      <c r="AN2" s="1"/>
    </row>
    <row r="3">
      <c r="A3" s="1" t="s">
        <v>84</v>
      </c>
      <c r="B3" s="1" t="s">
        <v>84</v>
      </c>
      <c r="C3" s="4">
        <v>45987.98440972222</v>
      </c>
      <c r="D3" s="5">
        <v>1.764200253E9</v>
      </c>
      <c r="E3" s="7" t="s">
        <v>91</v>
      </c>
      <c r="F3" s="1" t="s">
        <v>96</v>
      </c>
      <c r="G3" s="1" t="s">
        <v>98</v>
      </c>
      <c r="H3" s="1" t="s">
        <v>102</v>
      </c>
      <c r="I3" s="5">
        <v>2.61513452E8</v>
      </c>
      <c r="J3" s="7" t="s">
        <v>108</v>
      </c>
      <c r="K3" s="7" t="s">
        <v>109</v>
      </c>
      <c r="L3" s="9" t="b">
        <v>0</v>
      </c>
      <c r="M3" s="1" t="s">
        <v>85</v>
      </c>
      <c r="N3" s="1" t="s">
        <v>64</v>
      </c>
      <c r="O3" s="1" t="s">
        <v>65</v>
      </c>
      <c r="P3" s="5">
        <v>0.0</v>
      </c>
      <c r="Q3" s="5">
        <v>0.0</v>
      </c>
      <c r="R3" s="5">
        <v>0.0</v>
      </c>
      <c r="S3" s="5">
        <v>0.0</v>
      </c>
      <c r="T3" s="5">
        <v>33.0</v>
      </c>
      <c r="U3" s="1" t="s">
        <v>65</v>
      </c>
      <c r="V3" s="1"/>
      <c r="W3" s="1" t="s">
        <v>65</v>
      </c>
      <c r="X3" s="1"/>
      <c r="Y3" s="1"/>
      <c r="Z3" s="1"/>
      <c r="AA3" s="1"/>
      <c r="AB3" s="1"/>
      <c r="AC3" s="1" t="s">
        <v>65</v>
      </c>
      <c r="AD3" s="1" t="s">
        <v>65</v>
      </c>
      <c r="AE3" s="1"/>
      <c r="AF3" s="1" t="s">
        <v>65</v>
      </c>
      <c r="AG3" s="1" t="s">
        <v>112</v>
      </c>
      <c r="AH3" s="1"/>
      <c r="AI3" s="1"/>
      <c r="AJ3" s="1"/>
      <c r="AK3" s="1"/>
      <c r="AL3" s="1"/>
      <c r="AM3" s="1"/>
      <c r="AN3" s="1"/>
    </row>
    <row r="4">
      <c r="A4" s="1" t="s">
        <v>116</v>
      </c>
      <c r="B4" s="1" t="s">
        <v>116</v>
      </c>
      <c r="C4" s="4">
        <v>45986.784363425926</v>
      </c>
      <c r="D4" s="5">
        <v>1.764096569E9</v>
      </c>
      <c r="E4" s="7" t="s">
        <v>118</v>
      </c>
      <c r="F4" s="1" t="s">
        <v>125</v>
      </c>
      <c r="G4" s="1" t="s">
        <v>53</v>
      </c>
      <c r="H4" s="1" t="s">
        <v>54</v>
      </c>
      <c r="I4" s="5">
        <v>2.56181663E9</v>
      </c>
      <c r="J4" s="7" t="s">
        <v>55</v>
      </c>
      <c r="K4" s="1"/>
      <c r="L4" s="9" t="b">
        <v>0</v>
      </c>
      <c r="M4" s="1" t="s">
        <v>63</v>
      </c>
      <c r="N4" s="1" t="s">
        <v>64</v>
      </c>
      <c r="O4" s="1" t="s">
        <v>65</v>
      </c>
      <c r="P4" s="5">
        <v>0.0</v>
      </c>
      <c r="Q4" s="5">
        <v>0.0</v>
      </c>
      <c r="R4" s="5">
        <v>0.0</v>
      </c>
      <c r="S4" s="5">
        <v>0.0</v>
      </c>
      <c r="T4" s="5">
        <v>27.0</v>
      </c>
      <c r="U4" s="1" t="s">
        <v>65</v>
      </c>
      <c r="V4" s="1"/>
      <c r="W4" s="1" t="s">
        <v>65</v>
      </c>
      <c r="X4" s="1"/>
      <c r="Y4" s="1"/>
      <c r="Z4" s="1"/>
      <c r="AA4" s="1"/>
      <c r="AB4" s="1"/>
      <c r="AC4" s="1" t="s">
        <v>65</v>
      </c>
      <c r="AD4" s="1" t="s">
        <v>65</v>
      </c>
      <c r="AE4" s="1"/>
      <c r="AF4" s="1" t="s">
        <v>65</v>
      </c>
      <c r="AG4" s="1" t="s">
        <v>131</v>
      </c>
      <c r="AH4" s="1"/>
      <c r="AI4" s="7" t="s">
        <v>132</v>
      </c>
      <c r="AJ4" s="7" t="s">
        <v>135</v>
      </c>
      <c r="AK4" s="1"/>
      <c r="AL4" s="1"/>
      <c r="AM4" s="1"/>
      <c r="AN4" s="1"/>
    </row>
    <row r="5">
      <c r="A5" s="1" t="s">
        <v>142</v>
      </c>
      <c r="B5" s="1" t="s">
        <v>142</v>
      </c>
      <c r="C5" s="4">
        <v>45964.47642361111</v>
      </c>
      <c r="D5" s="5">
        <v>1.762169163E9</v>
      </c>
      <c r="E5" s="7" t="s">
        <v>143</v>
      </c>
      <c r="F5" s="1" t="s">
        <v>147</v>
      </c>
      <c r="G5" s="1" t="s">
        <v>53</v>
      </c>
      <c r="H5" s="1" t="s">
        <v>54</v>
      </c>
      <c r="I5" s="5">
        <v>2.56181663E9</v>
      </c>
      <c r="J5" s="7" t="s">
        <v>55</v>
      </c>
      <c r="K5" s="1"/>
      <c r="L5" s="9" t="b">
        <v>0</v>
      </c>
      <c r="M5" s="1" t="s">
        <v>85</v>
      </c>
      <c r="N5" s="1" t="s">
        <v>64</v>
      </c>
      <c r="O5" s="1" t="s">
        <v>65</v>
      </c>
      <c r="P5" s="5">
        <v>0.0</v>
      </c>
      <c r="Q5" s="5">
        <v>0.0</v>
      </c>
      <c r="R5" s="5">
        <v>0.0</v>
      </c>
      <c r="S5" s="5">
        <v>0.0</v>
      </c>
      <c r="T5" s="5">
        <v>27.0</v>
      </c>
      <c r="U5" s="1" t="s">
        <v>65</v>
      </c>
      <c r="V5" s="1"/>
      <c r="W5" s="1" t="s">
        <v>65</v>
      </c>
      <c r="X5" s="1"/>
      <c r="Y5" s="1"/>
      <c r="Z5" s="1"/>
      <c r="AA5" s="1"/>
      <c r="AB5" s="1"/>
      <c r="AC5" s="1" t="s">
        <v>65</v>
      </c>
      <c r="AD5" s="1" t="s">
        <v>65</v>
      </c>
      <c r="AE5" s="1"/>
      <c r="AF5" s="1" t="s">
        <v>65</v>
      </c>
      <c r="AG5" s="1" t="s">
        <v>155</v>
      </c>
      <c r="AH5" s="1"/>
      <c r="AI5" s="7" t="s">
        <v>156</v>
      </c>
      <c r="AJ5" s="7" t="s">
        <v>163</v>
      </c>
      <c r="AK5" s="1"/>
      <c r="AL5" s="1"/>
      <c r="AM5" s="1"/>
      <c r="AN5" s="1"/>
    </row>
    <row r="6">
      <c r="A6" s="1" t="s">
        <v>175</v>
      </c>
      <c r="B6" s="1" t="s">
        <v>175</v>
      </c>
      <c r="C6" s="4">
        <v>45959.40798611111</v>
      </c>
      <c r="D6" s="5">
        <v>1.76173125E9</v>
      </c>
      <c r="E6" s="7" t="s">
        <v>179</v>
      </c>
      <c r="F6" s="1" t="s">
        <v>180</v>
      </c>
      <c r="G6" s="1" t="s">
        <v>181</v>
      </c>
      <c r="H6" s="1" t="s">
        <v>182</v>
      </c>
      <c r="I6" s="1" t="s">
        <v>183</v>
      </c>
      <c r="J6" s="7" t="s">
        <v>185</v>
      </c>
      <c r="K6" s="7" t="s">
        <v>190</v>
      </c>
      <c r="L6" s="9" t="b">
        <v>0</v>
      </c>
      <c r="M6" s="1" t="s">
        <v>67</v>
      </c>
      <c r="N6" s="1" t="s">
        <v>64</v>
      </c>
      <c r="O6" s="1" t="s">
        <v>65</v>
      </c>
      <c r="P6" s="5">
        <v>1.0</v>
      </c>
      <c r="Q6" s="5">
        <v>0.0</v>
      </c>
      <c r="R6" s="5">
        <v>2.0</v>
      </c>
      <c r="S6" s="5">
        <v>0.0</v>
      </c>
      <c r="T6" s="5">
        <v>29.0</v>
      </c>
      <c r="U6" s="1" t="s">
        <v>65</v>
      </c>
      <c r="V6" s="1"/>
      <c r="W6" s="1" t="s">
        <v>65</v>
      </c>
      <c r="X6" s="1"/>
      <c r="Y6" s="1"/>
      <c r="Z6" s="1"/>
      <c r="AA6" s="1"/>
      <c r="AB6" s="1"/>
      <c r="AC6" s="1" t="s">
        <v>65</v>
      </c>
      <c r="AD6" s="1" t="s">
        <v>65</v>
      </c>
      <c r="AE6" s="1"/>
      <c r="AF6" s="1" t="s">
        <v>65</v>
      </c>
      <c r="AG6" s="1" t="s">
        <v>203</v>
      </c>
      <c r="AH6" s="1"/>
      <c r="AI6" s="7" t="s">
        <v>204</v>
      </c>
      <c r="AJ6" s="7" t="s">
        <v>206</v>
      </c>
      <c r="AK6" s="1"/>
      <c r="AL6" s="1" t="s">
        <v>216</v>
      </c>
      <c r="AM6" s="1" t="s">
        <v>217</v>
      </c>
      <c r="AN6" s="1"/>
    </row>
    <row r="7">
      <c r="A7" s="1" t="s">
        <v>220</v>
      </c>
      <c r="B7" s="1" t="s">
        <v>220</v>
      </c>
      <c r="C7" s="4">
        <v>45938.381944444445</v>
      </c>
      <c r="D7" s="5">
        <v>1.7599146E9</v>
      </c>
      <c r="E7" s="7" t="s">
        <v>224</v>
      </c>
      <c r="F7" s="1" t="s">
        <v>227</v>
      </c>
      <c r="G7" s="1" t="s">
        <v>228</v>
      </c>
      <c r="H7" s="1" t="s">
        <v>229</v>
      </c>
      <c r="I7" s="1" t="s">
        <v>230</v>
      </c>
      <c r="J7" s="7" t="s">
        <v>231</v>
      </c>
      <c r="K7" s="7" t="s">
        <v>234</v>
      </c>
      <c r="L7" s="9" t="b">
        <v>0</v>
      </c>
      <c r="M7" s="1" t="s">
        <v>66</v>
      </c>
      <c r="N7" s="1" t="s">
        <v>64</v>
      </c>
      <c r="O7" s="1" t="s">
        <v>65</v>
      </c>
      <c r="P7" s="5">
        <v>0.0</v>
      </c>
      <c r="Q7" s="5">
        <v>0.0</v>
      </c>
      <c r="R7" s="5">
        <v>2.0</v>
      </c>
      <c r="S7" s="5">
        <v>0.0</v>
      </c>
      <c r="T7" s="5">
        <v>28.0</v>
      </c>
      <c r="U7" s="1" t="s">
        <v>65</v>
      </c>
      <c r="V7" s="1"/>
      <c r="W7" s="1" t="s">
        <v>65</v>
      </c>
      <c r="X7" s="1"/>
      <c r="Y7" s="1"/>
      <c r="Z7" s="1"/>
      <c r="AA7" s="1"/>
      <c r="AB7" s="1"/>
      <c r="AC7" s="1" t="s">
        <v>65</v>
      </c>
      <c r="AD7" s="1" t="s">
        <v>65</v>
      </c>
      <c r="AE7" s="1"/>
      <c r="AF7" s="1" t="s">
        <v>65</v>
      </c>
      <c r="AG7" s="1" t="s">
        <v>247</v>
      </c>
      <c r="AH7" s="7" t="s">
        <v>250</v>
      </c>
      <c r="AI7" s="7" t="s">
        <v>255</v>
      </c>
      <c r="AJ7" s="7" t="s">
        <v>260</v>
      </c>
      <c r="AK7" s="1" t="s">
        <v>264</v>
      </c>
      <c r="AL7" s="1"/>
      <c r="AM7" s="1"/>
      <c r="AN7" s="1"/>
    </row>
    <row r="8" hidden="1">
      <c r="A8" s="1" t="s">
        <v>265</v>
      </c>
      <c r="B8" s="1" t="s">
        <v>265</v>
      </c>
      <c r="C8" s="4">
        <v>45936.54858796296</v>
      </c>
      <c r="D8" s="5">
        <v>1.759756198E9</v>
      </c>
      <c r="E8" s="7" t="s">
        <v>266</v>
      </c>
      <c r="F8" s="1" t="s">
        <v>271</v>
      </c>
      <c r="G8" s="1" t="s">
        <v>272</v>
      </c>
      <c r="H8" s="1" t="s">
        <v>273</v>
      </c>
      <c r="I8" s="1" t="s">
        <v>274</v>
      </c>
      <c r="J8" s="7" t="s">
        <v>275</v>
      </c>
      <c r="K8" s="7" t="s">
        <v>280</v>
      </c>
      <c r="L8" s="9" t="b">
        <v>1</v>
      </c>
      <c r="M8" s="1" t="s">
        <v>85</v>
      </c>
      <c r="N8" s="1" t="s">
        <v>68</v>
      </c>
      <c r="O8" s="1" t="s">
        <v>65</v>
      </c>
      <c r="P8" s="5">
        <v>0.0</v>
      </c>
      <c r="Q8" s="5">
        <v>0.0</v>
      </c>
      <c r="R8" s="5">
        <v>0.0</v>
      </c>
      <c r="S8" s="5">
        <v>0.0</v>
      </c>
      <c r="T8" s="5">
        <v>394.0</v>
      </c>
      <c r="U8" s="1" t="s">
        <v>65</v>
      </c>
      <c r="V8" s="1"/>
      <c r="W8" s="1" t="s">
        <v>65</v>
      </c>
      <c r="X8" s="1"/>
      <c r="Y8" s="1"/>
      <c r="Z8" s="1"/>
      <c r="AA8" s="1"/>
      <c r="AB8" s="1"/>
      <c r="AC8" s="1" t="s">
        <v>65</v>
      </c>
      <c r="AD8" s="1" t="s">
        <v>65</v>
      </c>
      <c r="AE8" s="1"/>
      <c r="AF8" s="1" t="s">
        <v>65</v>
      </c>
      <c r="AG8" s="1" t="s">
        <v>290</v>
      </c>
      <c r="AH8" s="1"/>
      <c r="AI8" s="7" t="s">
        <v>291</v>
      </c>
      <c r="AJ8" s="7" t="s">
        <v>298</v>
      </c>
      <c r="AK8" s="1"/>
      <c r="AL8" s="1"/>
      <c r="AM8" s="1"/>
      <c r="AN8" s="1"/>
    </row>
    <row r="9">
      <c r="A9" s="1" t="s">
        <v>313</v>
      </c>
      <c r="B9" s="1" t="s">
        <v>313</v>
      </c>
      <c r="C9" s="4">
        <v>45910.72005787037</v>
      </c>
      <c r="D9" s="5">
        <v>1.757524613E9</v>
      </c>
      <c r="E9" s="7" t="s">
        <v>315</v>
      </c>
      <c r="F9" s="1" t="s">
        <v>317</v>
      </c>
      <c r="G9" s="1" t="s">
        <v>318</v>
      </c>
      <c r="H9" s="1" t="s">
        <v>319</v>
      </c>
      <c r="I9" s="5">
        <v>8.31486985E8</v>
      </c>
      <c r="J9" s="7" t="s">
        <v>320</v>
      </c>
      <c r="K9" s="7" t="s">
        <v>330</v>
      </c>
      <c r="L9" s="9" t="b">
        <v>0</v>
      </c>
      <c r="M9" s="1" t="s">
        <v>66</v>
      </c>
      <c r="N9" s="1" t="s">
        <v>64</v>
      </c>
      <c r="O9" s="1" t="s">
        <v>65</v>
      </c>
      <c r="P9" s="5">
        <v>1.0</v>
      </c>
      <c r="Q9" s="5">
        <v>0.0</v>
      </c>
      <c r="R9" s="5">
        <v>0.0</v>
      </c>
      <c r="S9" s="5">
        <v>0.0</v>
      </c>
      <c r="T9" s="5">
        <v>8.0</v>
      </c>
      <c r="U9" s="1" t="s">
        <v>65</v>
      </c>
      <c r="V9" s="1"/>
      <c r="W9" s="1" t="s">
        <v>65</v>
      </c>
      <c r="X9" s="1"/>
      <c r="Y9" s="1"/>
      <c r="Z9" s="1"/>
      <c r="AA9" s="1"/>
      <c r="AB9" s="1"/>
      <c r="AC9" s="1" t="s">
        <v>65</v>
      </c>
      <c r="AD9" s="1" t="s">
        <v>65</v>
      </c>
      <c r="AE9" s="1"/>
      <c r="AF9" s="1" t="s">
        <v>65</v>
      </c>
      <c r="AG9" s="1" t="s">
        <v>339</v>
      </c>
      <c r="AH9" s="7" t="s">
        <v>340</v>
      </c>
      <c r="AI9" s="7" t="s">
        <v>351</v>
      </c>
      <c r="AJ9" s="1"/>
      <c r="AK9" s="1"/>
      <c r="AL9" s="1"/>
      <c r="AM9" s="1"/>
      <c r="AN9" s="1"/>
    </row>
    <row r="10">
      <c r="A10" s="1" t="s">
        <v>355</v>
      </c>
      <c r="B10" s="1" t="s">
        <v>355</v>
      </c>
      <c r="C10" s="4">
        <v>45908.985763888886</v>
      </c>
      <c r="D10" s="5">
        <v>1.75737477E9</v>
      </c>
      <c r="E10" s="7" t="s">
        <v>359</v>
      </c>
      <c r="F10" s="1" t="s">
        <v>369</v>
      </c>
      <c r="G10" s="1" t="s">
        <v>370</v>
      </c>
      <c r="H10" s="1" t="s">
        <v>372</v>
      </c>
      <c r="I10" s="1" t="s">
        <v>374</v>
      </c>
      <c r="J10" s="7" t="s">
        <v>377</v>
      </c>
      <c r="K10" s="1"/>
      <c r="L10" s="9" t="b">
        <v>0</v>
      </c>
      <c r="M10" s="1" t="s">
        <v>63</v>
      </c>
      <c r="N10" s="1" t="s">
        <v>64</v>
      </c>
      <c r="O10" s="1" t="s">
        <v>65</v>
      </c>
      <c r="P10" s="5">
        <v>0.0</v>
      </c>
      <c r="Q10" s="5">
        <v>0.0</v>
      </c>
      <c r="R10" s="5">
        <v>0.0</v>
      </c>
      <c r="S10" s="5">
        <v>0.0</v>
      </c>
      <c r="T10" s="5">
        <v>13.0</v>
      </c>
      <c r="U10" s="1" t="s">
        <v>65</v>
      </c>
      <c r="V10" s="1"/>
      <c r="W10" s="1" t="s">
        <v>65</v>
      </c>
      <c r="X10" s="1"/>
      <c r="Y10" s="1"/>
      <c r="Z10" s="1"/>
      <c r="AA10" s="1"/>
      <c r="AB10" s="1"/>
      <c r="AC10" s="1" t="s">
        <v>65</v>
      </c>
      <c r="AD10" s="1" t="s">
        <v>65</v>
      </c>
      <c r="AE10" s="1"/>
      <c r="AF10" s="1" t="s">
        <v>65</v>
      </c>
      <c r="AG10" s="1" t="s">
        <v>382</v>
      </c>
      <c r="AH10" s="1"/>
      <c r="AI10" s="7" t="s">
        <v>384</v>
      </c>
      <c r="AJ10" s="7" t="s">
        <v>397</v>
      </c>
      <c r="AK10" s="1"/>
      <c r="AL10" s="1"/>
      <c r="AM10" s="1"/>
      <c r="AN10" s="1"/>
    </row>
    <row r="11">
      <c r="A11" s="1" t="s">
        <v>402</v>
      </c>
      <c r="B11" s="1" t="s">
        <v>402</v>
      </c>
      <c r="C11" s="4">
        <v>45903.80043981481</v>
      </c>
      <c r="D11" s="5">
        <v>1.756926758E9</v>
      </c>
      <c r="E11" s="7" t="s">
        <v>404</v>
      </c>
      <c r="F11" s="1" t="s">
        <v>411</v>
      </c>
      <c r="G11" s="1" t="s">
        <v>370</v>
      </c>
      <c r="H11" s="1" t="s">
        <v>372</v>
      </c>
      <c r="I11" s="1" t="s">
        <v>374</v>
      </c>
      <c r="J11" s="7" t="s">
        <v>377</v>
      </c>
      <c r="K11" s="1"/>
      <c r="L11" s="9" t="b">
        <v>0</v>
      </c>
      <c r="M11" s="1" t="s">
        <v>63</v>
      </c>
      <c r="N11" s="1" t="s">
        <v>64</v>
      </c>
      <c r="O11" s="1" t="s">
        <v>65</v>
      </c>
      <c r="P11" s="5">
        <v>0.0</v>
      </c>
      <c r="Q11" s="5">
        <v>0.0</v>
      </c>
      <c r="R11" s="5">
        <v>0.0</v>
      </c>
      <c r="S11" s="5">
        <v>0.0</v>
      </c>
      <c r="T11" s="5">
        <v>4.0</v>
      </c>
      <c r="U11" s="1" t="s">
        <v>65</v>
      </c>
      <c r="V11" s="1"/>
      <c r="W11" s="1" t="s">
        <v>65</v>
      </c>
      <c r="X11" s="1"/>
      <c r="Y11" s="1"/>
      <c r="Z11" s="1"/>
      <c r="AA11" s="1"/>
      <c r="AB11" s="1"/>
      <c r="AC11" s="1" t="s">
        <v>65</v>
      </c>
      <c r="AD11" s="1" t="s">
        <v>65</v>
      </c>
      <c r="AE11" s="1"/>
      <c r="AF11" s="1" t="s">
        <v>65</v>
      </c>
      <c r="AG11" s="1" t="s">
        <v>414</v>
      </c>
      <c r="AH11" s="1"/>
      <c r="AI11" s="7" t="s">
        <v>415</v>
      </c>
      <c r="AJ11" s="7" t="s">
        <v>421</v>
      </c>
      <c r="AK11" s="1"/>
      <c r="AL11" s="1"/>
      <c r="AM11" s="1"/>
      <c r="AN11" s="1"/>
    </row>
    <row r="12">
      <c r="A12" s="1" t="s">
        <v>428</v>
      </c>
      <c r="B12" s="1" t="s">
        <v>428</v>
      </c>
      <c r="C12" s="4">
        <v>45899.175578703704</v>
      </c>
      <c r="D12" s="5">
        <v>1.75652717E9</v>
      </c>
      <c r="E12" s="7" t="s">
        <v>435</v>
      </c>
      <c r="F12" s="1" t="s">
        <v>437</v>
      </c>
      <c r="G12" s="1" t="s">
        <v>370</v>
      </c>
      <c r="H12" s="1" t="s">
        <v>372</v>
      </c>
      <c r="I12" s="1" t="s">
        <v>374</v>
      </c>
      <c r="J12" s="7" t="s">
        <v>377</v>
      </c>
      <c r="K12" s="1"/>
      <c r="L12" s="9" t="b">
        <v>0</v>
      </c>
      <c r="M12" s="1" t="s">
        <v>63</v>
      </c>
      <c r="N12" s="1" t="s">
        <v>64</v>
      </c>
      <c r="O12" s="1" t="s">
        <v>65</v>
      </c>
      <c r="P12" s="5">
        <v>0.0</v>
      </c>
      <c r="Q12" s="5">
        <v>0.0</v>
      </c>
      <c r="R12" s="5">
        <v>0.0</v>
      </c>
      <c r="S12" s="5">
        <v>0.0</v>
      </c>
      <c r="T12" s="5">
        <v>41.0</v>
      </c>
      <c r="U12" s="1" t="s">
        <v>65</v>
      </c>
      <c r="V12" s="1"/>
      <c r="W12" s="1" t="s">
        <v>65</v>
      </c>
      <c r="X12" s="1"/>
      <c r="Y12" s="1"/>
      <c r="Z12" s="1"/>
      <c r="AA12" s="1"/>
      <c r="AB12" s="1"/>
      <c r="AC12" s="1" t="s">
        <v>65</v>
      </c>
      <c r="AD12" s="1" t="s">
        <v>65</v>
      </c>
      <c r="AE12" s="1"/>
      <c r="AF12" s="1" t="s">
        <v>65</v>
      </c>
      <c r="AG12" s="1" t="s">
        <v>414</v>
      </c>
      <c r="AH12" s="1"/>
      <c r="AI12" s="7" t="s">
        <v>441</v>
      </c>
      <c r="AJ12" s="7" t="s">
        <v>451</v>
      </c>
      <c r="AK12" s="1"/>
      <c r="AL12" s="1"/>
      <c r="AM12" s="1"/>
      <c r="AN12" s="1"/>
    </row>
    <row r="13">
      <c r="A13" s="1" t="s">
        <v>456</v>
      </c>
      <c r="B13" s="1" t="s">
        <v>456</v>
      </c>
      <c r="C13" s="4">
        <v>45898.72515046296</v>
      </c>
      <c r="D13" s="5">
        <v>1.756488253E9</v>
      </c>
      <c r="E13" s="7" t="s">
        <v>461</v>
      </c>
      <c r="F13" s="1" t="s">
        <v>469</v>
      </c>
      <c r="G13" s="1" t="s">
        <v>370</v>
      </c>
      <c r="H13" s="1" t="s">
        <v>372</v>
      </c>
      <c r="I13" s="1" t="s">
        <v>374</v>
      </c>
      <c r="J13" s="7" t="s">
        <v>377</v>
      </c>
      <c r="K13" s="1"/>
      <c r="L13" s="9" t="b">
        <v>0</v>
      </c>
      <c r="M13" s="1" t="s">
        <v>63</v>
      </c>
      <c r="N13" s="1" t="s">
        <v>64</v>
      </c>
      <c r="O13" s="1" t="s">
        <v>65</v>
      </c>
      <c r="P13" s="5">
        <v>0.0</v>
      </c>
      <c r="Q13" s="5">
        <v>0.0</v>
      </c>
      <c r="R13" s="5">
        <v>0.0</v>
      </c>
      <c r="S13" s="5">
        <v>0.0</v>
      </c>
      <c r="T13" s="5">
        <v>6.0</v>
      </c>
      <c r="U13" s="1" t="s">
        <v>65</v>
      </c>
      <c r="V13" s="1"/>
      <c r="W13" s="1" t="s">
        <v>65</v>
      </c>
      <c r="X13" s="1"/>
      <c r="Y13" s="1"/>
      <c r="Z13" s="1"/>
      <c r="AA13" s="1"/>
      <c r="AB13" s="1"/>
      <c r="AC13" s="1" t="s">
        <v>65</v>
      </c>
      <c r="AD13" s="1" t="s">
        <v>65</v>
      </c>
      <c r="AE13" s="1"/>
      <c r="AF13" s="1" t="s">
        <v>65</v>
      </c>
      <c r="AG13" s="1" t="s">
        <v>472</v>
      </c>
      <c r="AH13" s="1"/>
      <c r="AI13" s="7" t="s">
        <v>474</v>
      </c>
      <c r="AJ13" s="7" t="s">
        <v>478</v>
      </c>
      <c r="AK13" s="1"/>
      <c r="AL13" s="1"/>
      <c r="AM13" s="1"/>
      <c r="AN13" s="1"/>
    </row>
    <row r="14">
      <c r="A14" s="1" t="s">
        <v>491</v>
      </c>
      <c r="B14" s="1" t="s">
        <v>491</v>
      </c>
      <c r="C14" s="4">
        <v>45898.51206018519</v>
      </c>
      <c r="D14" s="5">
        <v>1.756469842E9</v>
      </c>
      <c r="E14" s="7" t="s">
        <v>492</v>
      </c>
      <c r="F14" s="1" t="s">
        <v>495</v>
      </c>
      <c r="G14" s="1" t="s">
        <v>370</v>
      </c>
      <c r="H14" s="1" t="s">
        <v>372</v>
      </c>
      <c r="I14" s="1" t="s">
        <v>374</v>
      </c>
      <c r="J14" s="7" t="s">
        <v>377</v>
      </c>
      <c r="K14" s="1"/>
      <c r="L14" s="9" t="b">
        <v>0</v>
      </c>
      <c r="M14" s="1" t="s">
        <v>63</v>
      </c>
      <c r="N14" s="1" t="s">
        <v>64</v>
      </c>
      <c r="O14" s="1" t="s">
        <v>65</v>
      </c>
      <c r="P14" s="5">
        <v>0.0</v>
      </c>
      <c r="Q14" s="5">
        <v>0.0</v>
      </c>
      <c r="R14" s="5">
        <v>0.0</v>
      </c>
      <c r="S14" s="5">
        <v>0.0</v>
      </c>
      <c r="T14" s="5">
        <v>7.0</v>
      </c>
      <c r="U14" s="1" t="s">
        <v>65</v>
      </c>
      <c r="V14" s="1"/>
      <c r="W14" s="1" t="s">
        <v>65</v>
      </c>
      <c r="X14" s="1"/>
      <c r="Y14" s="1"/>
      <c r="Z14" s="1"/>
      <c r="AA14" s="1"/>
      <c r="AB14" s="1"/>
      <c r="AC14" s="1" t="s">
        <v>65</v>
      </c>
      <c r="AD14" s="1" t="s">
        <v>65</v>
      </c>
      <c r="AE14" s="1"/>
      <c r="AF14" s="1" t="s">
        <v>65</v>
      </c>
      <c r="AG14" s="1" t="s">
        <v>498</v>
      </c>
      <c r="AH14" s="1"/>
      <c r="AI14" s="7" t="s">
        <v>500</v>
      </c>
      <c r="AJ14" s="7" t="s">
        <v>508</v>
      </c>
      <c r="AK14" s="1"/>
      <c r="AL14" s="1"/>
      <c r="AM14" s="1"/>
      <c r="AN14" s="1"/>
    </row>
    <row r="15">
      <c r="A15" s="1" t="s">
        <v>518</v>
      </c>
      <c r="B15" s="1" t="s">
        <v>518</v>
      </c>
      <c r="C15" s="4">
        <v>45851.336805555555</v>
      </c>
      <c r="D15" s="5">
        <v>1.7523939E9</v>
      </c>
      <c r="E15" s="7" t="s">
        <v>520</v>
      </c>
      <c r="F15" s="1" t="s">
        <v>522</v>
      </c>
      <c r="G15" s="1" t="s">
        <v>228</v>
      </c>
      <c r="H15" s="1" t="s">
        <v>229</v>
      </c>
      <c r="I15" s="1" t="s">
        <v>230</v>
      </c>
      <c r="J15" s="7" t="s">
        <v>231</v>
      </c>
      <c r="K15" s="7" t="s">
        <v>234</v>
      </c>
      <c r="L15" s="9" t="b">
        <v>0</v>
      </c>
      <c r="M15" s="1" t="s">
        <v>66</v>
      </c>
      <c r="N15" s="1" t="s">
        <v>64</v>
      </c>
      <c r="O15" s="1" t="s">
        <v>65</v>
      </c>
      <c r="P15" s="5">
        <v>0.0</v>
      </c>
      <c r="Q15" s="5">
        <v>0.0</v>
      </c>
      <c r="R15" s="5">
        <v>2.0</v>
      </c>
      <c r="S15" s="5">
        <v>0.0</v>
      </c>
      <c r="T15" s="5">
        <v>64.0</v>
      </c>
      <c r="U15" s="1" t="s">
        <v>65</v>
      </c>
      <c r="V15" s="1"/>
      <c r="W15" s="1" t="s">
        <v>65</v>
      </c>
      <c r="X15" s="1"/>
      <c r="Y15" s="1"/>
      <c r="Z15" s="1"/>
      <c r="AA15" s="1"/>
      <c r="AB15" s="1"/>
      <c r="AC15" s="1" t="s">
        <v>65</v>
      </c>
      <c r="AD15" s="1" t="s">
        <v>65</v>
      </c>
      <c r="AE15" s="1"/>
      <c r="AF15" s="1" t="s">
        <v>65</v>
      </c>
      <c r="AG15" s="1" t="s">
        <v>528</v>
      </c>
      <c r="AH15" s="1"/>
      <c r="AI15" s="7" t="s">
        <v>529</v>
      </c>
      <c r="AJ15" s="7" t="s">
        <v>535</v>
      </c>
      <c r="AK15" s="1"/>
      <c r="AL15" s="1"/>
      <c r="AM15" s="1"/>
      <c r="AN15" s="1"/>
    </row>
    <row r="16">
      <c r="A16" s="1" t="s">
        <v>551</v>
      </c>
      <c r="B16" s="1" t="s">
        <v>551</v>
      </c>
      <c r="C16" s="4">
        <v>45839.302083333336</v>
      </c>
      <c r="D16" s="5">
        <v>1.7513541E9</v>
      </c>
      <c r="E16" s="7" t="s">
        <v>552</v>
      </c>
      <c r="F16" s="1" t="s">
        <v>555</v>
      </c>
      <c r="G16" s="1" t="s">
        <v>228</v>
      </c>
      <c r="H16" s="1" t="s">
        <v>229</v>
      </c>
      <c r="I16" s="1" t="s">
        <v>230</v>
      </c>
      <c r="J16" s="7" t="s">
        <v>231</v>
      </c>
      <c r="K16" s="7" t="s">
        <v>234</v>
      </c>
      <c r="L16" s="9" t="b">
        <v>0</v>
      </c>
      <c r="M16" s="1" t="s">
        <v>66</v>
      </c>
      <c r="N16" s="1" t="s">
        <v>64</v>
      </c>
      <c r="O16" s="1" t="s">
        <v>65</v>
      </c>
      <c r="P16" s="5">
        <v>1.0</v>
      </c>
      <c r="Q16" s="5">
        <v>1.0</v>
      </c>
      <c r="R16" s="5">
        <v>2.0</v>
      </c>
      <c r="S16" s="5">
        <v>0.0</v>
      </c>
      <c r="T16" s="5">
        <v>50.0</v>
      </c>
      <c r="U16" s="1" t="s">
        <v>65</v>
      </c>
      <c r="V16" s="1"/>
      <c r="W16" s="1" t="s">
        <v>65</v>
      </c>
      <c r="X16" s="1"/>
      <c r="Y16" s="1"/>
      <c r="Z16" s="1"/>
      <c r="AA16" s="1"/>
      <c r="AB16" s="1"/>
      <c r="AC16" s="1" t="s">
        <v>65</v>
      </c>
      <c r="AD16" s="1" t="s">
        <v>65</v>
      </c>
      <c r="AE16" s="1"/>
      <c r="AF16" s="1" t="s">
        <v>65</v>
      </c>
      <c r="AG16" s="1" t="s">
        <v>561</v>
      </c>
      <c r="AH16" s="7" t="s">
        <v>562</v>
      </c>
      <c r="AI16" s="7" t="s">
        <v>569</v>
      </c>
      <c r="AJ16" s="7" t="s">
        <v>577</v>
      </c>
      <c r="AK16" s="1"/>
      <c r="AL16" s="1"/>
      <c r="AM16" s="1"/>
      <c r="AN16" s="1"/>
    </row>
    <row r="17">
      <c r="A17" s="1" t="s">
        <v>587</v>
      </c>
      <c r="B17" s="1" t="s">
        <v>587</v>
      </c>
      <c r="C17" s="4">
        <v>45830.958344907405</v>
      </c>
      <c r="D17" s="5">
        <v>1.750633201E9</v>
      </c>
      <c r="E17" s="7" t="s">
        <v>589</v>
      </c>
      <c r="F17" s="1" t="s">
        <v>593</v>
      </c>
      <c r="G17" s="1" t="s">
        <v>595</v>
      </c>
      <c r="H17" s="1" t="s">
        <v>596</v>
      </c>
      <c r="I17" s="5">
        <v>4.65180497E8</v>
      </c>
      <c r="J17" s="7" t="s">
        <v>598</v>
      </c>
      <c r="K17" s="7" t="s">
        <v>604</v>
      </c>
      <c r="L17" s="9" t="b">
        <v>1</v>
      </c>
      <c r="M17" s="1" t="s">
        <v>606</v>
      </c>
      <c r="N17" s="1" t="s">
        <v>64</v>
      </c>
      <c r="O17" s="1" t="s">
        <v>65</v>
      </c>
      <c r="P17" s="5">
        <v>0.0</v>
      </c>
      <c r="Q17" s="5">
        <v>0.0</v>
      </c>
      <c r="R17" s="5">
        <v>0.0</v>
      </c>
      <c r="S17" s="5">
        <v>0.0</v>
      </c>
      <c r="T17" s="5">
        <v>32.0</v>
      </c>
      <c r="U17" s="1" t="s">
        <v>65</v>
      </c>
      <c r="V17" s="1"/>
      <c r="W17" s="1" t="s">
        <v>65</v>
      </c>
      <c r="X17" s="1"/>
      <c r="Y17" s="1"/>
      <c r="Z17" s="1"/>
      <c r="AA17" s="1"/>
      <c r="AB17" s="1"/>
      <c r="AC17" s="1" t="s">
        <v>65</v>
      </c>
      <c r="AD17" s="1" t="s">
        <v>65</v>
      </c>
      <c r="AE17" s="1"/>
      <c r="AF17" s="1" t="s">
        <v>65</v>
      </c>
      <c r="AG17" s="1" t="s">
        <v>608</v>
      </c>
      <c r="AH17" s="7" t="s">
        <v>609</v>
      </c>
      <c r="AI17" s="1"/>
      <c r="AJ17" s="1"/>
      <c r="AK17" s="1"/>
      <c r="AL17" s="1"/>
      <c r="AM17" s="1"/>
      <c r="AN17" s="1"/>
    </row>
    <row r="18">
      <c r="A18" s="1" t="s">
        <v>613</v>
      </c>
      <c r="B18" s="1" t="s">
        <v>613</v>
      </c>
      <c r="C18" s="4">
        <v>45830.88891203704</v>
      </c>
      <c r="D18" s="5">
        <v>1.750627202E9</v>
      </c>
      <c r="E18" s="7" t="s">
        <v>614</v>
      </c>
      <c r="F18" s="1" t="s">
        <v>617</v>
      </c>
      <c r="G18" s="1" t="s">
        <v>595</v>
      </c>
      <c r="H18" s="1" t="s">
        <v>596</v>
      </c>
      <c r="I18" s="5">
        <v>4.65180497E8</v>
      </c>
      <c r="J18" s="7" t="s">
        <v>598</v>
      </c>
      <c r="K18" s="7" t="s">
        <v>604</v>
      </c>
      <c r="L18" s="9" t="b">
        <v>1</v>
      </c>
      <c r="M18" s="1" t="s">
        <v>606</v>
      </c>
      <c r="N18" s="1" t="s">
        <v>64</v>
      </c>
      <c r="O18" s="1" t="s">
        <v>65</v>
      </c>
      <c r="P18" s="5">
        <v>0.0</v>
      </c>
      <c r="Q18" s="5">
        <v>1.0</v>
      </c>
      <c r="R18" s="5">
        <v>0.0</v>
      </c>
      <c r="S18" s="5">
        <v>0.0</v>
      </c>
      <c r="T18" s="5">
        <v>19.0</v>
      </c>
      <c r="U18" s="1" t="s">
        <v>65</v>
      </c>
      <c r="V18" s="1"/>
      <c r="W18" s="1" t="s">
        <v>65</v>
      </c>
      <c r="X18" s="1"/>
      <c r="Y18" s="1"/>
      <c r="Z18" s="1"/>
      <c r="AA18" s="1"/>
      <c r="AB18" s="1"/>
      <c r="AC18" s="1" t="s">
        <v>65</v>
      </c>
      <c r="AD18" s="1" t="s">
        <v>65</v>
      </c>
      <c r="AE18" s="1"/>
      <c r="AF18" s="1" t="s">
        <v>65</v>
      </c>
      <c r="AG18" s="1" t="s">
        <v>619</v>
      </c>
      <c r="AH18" s="1"/>
      <c r="AI18" s="7" t="s">
        <v>620</v>
      </c>
      <c r="AJ18" s="1"/>
      <c r="AK18" s="1"/>
      <c r="AL18" s="1"/>
      <c r="AM18" s="1"/>
      <c r="AN18" s="1"/>
    </row>
    <row r="19">
      <c r="A19" s="1" t="s">
        <v>624</v>
      </c>
      <c r="B19" s="1" t="s">
        <v>624</v>
      </c>
      <c r="C19" s="4">
        <v>45812.70621527778</v>
      </c>
      <c r="D19" s="5">
        <v>1.749056217E9</v>
      </c>
      <c r="E19" s="7" t="s">
        <v>626</v>
      </c>
      <c r="F19" s="1" t="s">
        <v>633</v>
      </c>
      <c r="G19" s="1" t="s">
        <v>635</v>
      </c>
      <c r="H19" s="1" t="s">
        <v>636</v>
      </c>
      <c r="I19" s="5">
        <v>3.33054975E8</v>
      </c>
      <c r="J19" s="7" t="s">
        <v>637</v>
      </c>
      <c r="K19" s="7" t="s">
        <v>643</v>
      </c>
      <c r="L19" s="9" t="b">
        <v>0</v>
      </c>
      <c r="M19" s="1" t="s">
        <v>67</v>
      </c>
      <c r="N19" s="1" t="s">
        <v>64</v>
      </c>
      <c r="O19" s="1" t="s">
        <v>65</v>
      </c>
      <c r="P19" s="5">
        <v>0.0</v>
      </c>
      <c r="Q19" s="5">
        <v>0.0</v>
      </c>
      <c r="R19" s="5">
        <v>0.0</v>
      </c>
      <c r="S19" s="5">
        <v>0.0</v>
      </c>
      <c r="T19" s="5">
        <v>22.0</v>
      </c>
      <c r="U19" s="1" t="s">
        <v>65</v>
      </c>
      <c r="V19" s="1"/>
      <c r="W19" s="1" t="s">
        <v>71</v>
      </c>
      <c r="X19" s="1" t="s">
        <v>646</v>
      </c>
      <c r="Y19" s="1" t="s">
        <v>370</v>
      </c>
      <c r="Z19" s="1" t="s">
        <v>647</v>
      </c>
      <c r="AA19" s="1"/>
      <c r="AB19" s="7" t="s">
        <v>648</v>
      </c>
      <c r="AC19" s="1" t="s">
        <v>65</v>
      </c>
      <c r="AD19" s="1" t="s">
        <v>65</v>
      </c>
      <c r="AE19" s="1"/>
      <c r="AF19" s="1" t="s">
        <v>65</v>
      </c>
      <c r="AG19" s="1" t="s">
        <v>657</v>
      </c>
      <c r="AH19" s="1"/>
      <c r="AI19" s="1"/>
      <c r="AJ19" s="1"/>
      <c r="AK19" s="1"/>
      <c r="AL19" s="1"/>
      <c r="AM19" s="1"/>
      <c r="AN19" s="1"/>
    </row>
    <row r="20">
      <c r="A20" s="1" t="s">
        <v>659</v>
      </c>
      <c r="B20" s="1" t="s">
        <v>659</v>
      </c>
      <c r="C20" s="4">
        <v>45806.68984953704</v>
      </c>
      <c r="D20" s="5">
        <v>1.748536403E9</v>
      </c>
      <c r="E20" s="7" t="s">
        <v>660</v>
      </c>
      <c r="F20" s="1" t="s">
        <v>667</v>
      </c>
      <c r="G20" s="1" t="s">
        <v>668</v>
      </c>
      <c r="H20" s="1" t="s">
        <v>669</v>
      </c>
      <c r="I20" s="5">
        <v>1.222820857E9</v>
      </c>
      <c r="J20" s="7" t="s">
        <v>670</v>
      </c>
      <c r="K20" s="1"/>
      <c r="L20" s="9" t="b">
        <v>0</v>
      </c>
      <c r="M20" s="1" t="s">
        <v>67</v>
      </c>
      <c r="N20" s="1" t="s">
        <v>64</v>
      </c>
      <c r="O20" s="1" t="s">
        <v>65</v>
      </c>
      <c r="P20" s="5">
        <v>0.0</v>
      </c>
      <c r="Q20" s="5">
        <v>0.0</v>
      </c>
      <c r="R20" s="5">
        <v>0.0</v>
      </c>
      <c r="S20" s="5">
        <v>0.0</v>
      </c>
      <c r="T20" s="5">
        <v>128.0</v>
      </c>
      <c r="U20" s="1" t="s">
        <v>65</v>
      </c>
      <c r="V20" s="1"/>
      <c r="W20" s="1" t="s">
        <v>65</v>
      </c>
      <c r="X20" s="1"/>
      <c r="Y20" s="1"/>
      <c r="Z20" s="1"/>
      <c r="AA20" s="1"/>
      <c r="AB20" s="1"/>
      <c r="AC20" s="1" t="s">
        <v>65</v>
      </c>
      <c r="AD20" s="1" t="s">
        <v>65</v>
      </c>
      <c r="AE20" s="1"/>
      <c r="AF20" s="1" t="s">
        <v>65</v>
      </c>
      <c r="AG20" s="1" t="s">
        <v>675</v>
      </c>
      <c r="AH20" s="7" t="s">
        <v>676</v>
      </c>
      <c r="AI20" s="7" t="s">
        <v>687</v>
      </c>
      <c r="AJ20" s="1"/>
      <c r="AK20" s="1"/>
      <c r="AL20" s="1"/>
      <c r="AM20" s="1"/>
      <c r="AN20" s="1"/>
    </row>
    <row r="21" hidden="1">
      <c r="A21" s="1" t="s">
        <v>695</v>
      </c>
      <c r="B21" s="1" t="s">
        <v>695</v>
      </c>
      <c r="C21" s="4">
        <v>45787.85460648148</v>
      </c>
      <c r="D21" s="5">
        <v>1.746909038E9</v>
      </c>
      <c r="E21" s="7" t="s">
        <v>696</v>
      </c>
      <c r="F21" s="1" t="s">
        <v>700</v>
      </c>
      <c r="G21" s="1" t="s">
        <v>701</v>
      </c>
      <c r="H21" s="1" t="s">
        <v>703</v>
      </c>
      <c r="I21" s="1" t="s">
        <v>705</v>
      </c>
      <c r="J21" s="7" t="s">
        <v>706</v>
      </c>
      <c r="K21" s="7" t="s">
        <v>718</v>
      </c>
      <c r="L21" s="9" t="b">
        <v>0</v>
      </c>
      <c r="M21" s="1" t="s">
        <v>67</v>
      </c>
      <c r="N21" s="1" t="s">
        <v>68</v>
      </c>
      <c r="O21" s="1" t="s">
        <v>65</v>
      </c>
      <c r="P21" s="5">
        <v>0.0</v>
      </c>
      <c r="Q21" s="5">
        <v>0.0</v>
      </c>
      <c r="R21" s="5">
        <v>0.0</v>
      </c>
      <c r="S21" s="5">
        <v>0.0</v>
      </c>
      <c r="T21" s="5">
        <v>5.0</v>
      </c>
      <c r="U21" s="1" t="s">
        <v>65</v>
      </c>
      <c r="V21" s="1"/>
      <c r="W21" s="1" t="s">
        <v>65</v>
      </c>
      <c r="X21" s="1"/>
      <c r="Y21" s="1"/>
      <c r="Z21" s="1"/>
      <c r="AA21" s="1"/>
      <c r="AB21" s="1"/>
      <c r="AC21" s="1" t="s">
        <v>65</v>
      </c>
      <c r="AD21" s="1" t="s">
        <v>65</v>
      </c>
      <c r="AE21" s="1"/>
      <c r="AF21" s="1" t="s">
        <v>65</v>
      </c>
      <c r="AG21" s="1" t="s">
        <v>722</v>
      </c>
      <c r="AH21" s="7" t="s">
        <v>723</v>
      </c>
      <c r="AI21" s="1"/>
      <c r="AJ21" s="1"/>
      <c r="AK21" s="1"/>
      <c r="AL21" s="1"/>
      <c r="AM21" s="1"/>
      <c r="AN21" s="1"/>
    </row>
    <row r="22" hidden="1">
      <c r="A22" s="1" t="s">
        <v>735</v>
      </c>
      <c r="B22" s="1" t="s">
        <v>737</v>
      </c>
      <c r="C22" s="4">
        <v>45774.9665625</v>
      </c>
      <c r="D22" s="5">
        <v>1.745795511E9</v>
      </c>
      <c r="E22" s="7" t="s">
        <v>739</v>
      </c>
      <c r="F22" s="1" t="s">
        <v>742</v>
      </c>
      <c r="G22" s="1" t="s">
        <v>701</v>
      </c>
      <c r="H22" s="1" t="s">
        <v>703</v>
      </c>
      <c r="I22" s="1" t="s">
        <v>705</v>
      </c>
      <c r="J22" s="7" t="s">
        <v>706</v>
      </c>
      <c r="K22" s="7" t="s">
        <v>718</v>
      </c>
      <c r="L22" s="9" t="b">
        <v>0</v>
      </c>
      <c r="M22" s="1" t="s">
        <v>67</v>
      </c>
      <c r="N22" s="1" t="s">
        <v>68</v>
      </c>
      <c r="O22" s="1" t="s">
        <v>65</v>
      </c>
      <c r="P22" s="5">
        <v>0.0</v>
      </c>
      <c r="Q22" s="5">
        <v>0.0</v>
      </c>
      <c r="R22" s="5">
        <v>0.0</v>
      </c>
      <c r="S22" s="5">
        <v>0.0</v>
      </c>
      <c r="T22" s="5">
        <v>6.0</v>
      </c>
      <c r="U22" s="1" t="s">
        <v>65</v>
      </c>
      <c r="V22" s="1"/>
      <c r="W22" s="1" t="s">
        <v>65</v>
      </c>
      <c r="X22" s="1"/>
      <c r="Y22" s="1"/>
      <c r="Z22" s="1"/>
      <c r="AA22" s="1"/>
      <c r="AB22" s="1"/>
      <c r="AC22" s="1" t="s">
        <v>65</v>
      </c>
      <c r="AD22" s="1" t="s">
        <v>71</v>
      </c>
      <c r="AE22" s="1" t="s">
        <v>701</v>
      </c>
      <c r="AF22" s="1" t="s">
        <v>65</v>
      </c>
      <c r="AG22" s="1" t="s">
        <v>751</v>
      </c>
      <c r="AH22" s="7" t="s">
        <v>752</v>
      </c>
      <c r="AI22" s="1"/>
      <c r="AJ22" s="1"/>
      <c r="AK22" s="1"/>
      <c r="AL22" s="1"/>
      <c r="AM22" s="1"/>
      <c r="AN22" s="1"/>
    </row>
    <row r="23">
      <c r="A23" s="1" t="s">
        <v>760</v>
      </c>
      <c r="B23" s="1" t="s">
        <v>760</v>
      </c>
      <c r="C23" s="4">
        <v>45756.7959837963</v>
      </c>
      <c r="D23" s="5">
        <v>1.744225573E9</v>
      </c>
      <c r="E23" s="7" t="s">
        <v>762</v>
      </c>
      <c r="F23" s="1" t="s">
        <v>764</v>
      </c>
      <c r="G23" s="1" t="s">
        <v>765</v>
      </c>
      <c r="H23" s="1" t="s">
        <v>766</v>
      </c>
      <c r="I23" s="1" t="s">
        <v>767</v>
      </c>
      <c r="J23" s="7" t="s">
        <v>768</v>
      </c>
      <c r="K23" s="7" t="s">
        <v>774</v>
      </c>
      <c r="L23" s="9" t="b">
        <v>0</v>
      </c>
      <c r="M23" s="1" t="s">
        <v>66</v>
      </c>
      <c r="N23" s="1" t="s">
        <v>64</v>
      </c>
      <c r="O23" s="1" t="s">
        <v>65</v>
      </c>
      <c r="P23" s="5">
        <v>0.0</v>
      </c>
      <c r="Q23" s="5">
        <v>0.0</v>
      </c>
      <c r="R23" s="5">
        <v>0.0</v>
      </c>
      <c r="S23" s="5">
        <v>0.0</v>
      </c>
      <c r="T23" s="5">
        <v>10.0</v>
      </c>
      <c r="U23" s="1" t="s">
        <v>65</v>
      </c>
      <c r="V23" s="1"/>
      <c r="W23" s="1" t="s">
        <v>65</v>
      </c>
      <c r="X23" s="1"/>
      <c r="Y23" s="1"/>
      <c r="Z23" s="1"/>
      <c r="AA23" s="1"/>
      <c r="AB23" s="1"/>
      <c r="AC23" s="1" t="s">
        <v>65</v>
      </c>
      <c r="AD23" s="1" t="s">
        <v>65</v>
      </c>
      <c r="AE23" s="1"/>
      <c r="AF23" s="1" t="s">
        <v>65</v>
      </c>
      <c r="AG23" s="1" t="s">
        <v>780</v>
      </c>
      <c r="AH23" s="7" t="s">
        <v>782</v>
      </c>
      <c r="AI23" s="7" t="s">
        <v>784</v>
      </c>
      <c r="AJ23" s="1"/>
      <c r="AK23" s="1"/>
      <c r="AL23" s="1"/>
      <c r="AM23" s="1"/>
      <c r="AN23" s="1"/>
    </row>
    <row r="24" hidden="1">
      <c r="A24" s="1" t="s">
        <v>798</v>
      </c>
      <c r="B24" s="1" t="s">
        <v>798</v>
      </c>
      <c r="C24" s="4">
        <v>45740.91929398148</v>
      </c>
      <c r="D24" s="5">
        <v>1.742853827E9</v>
      </c>
      <c r="E24" s="7" t="s">
        <v>800</v>
      </c>
      <c r="F24" s="1" t="s">
        <v>803</v>
      </c>
      <c r="G24" s="1" t="s">
        <v>804</v>
      </c>
      <c r="H24" s="1" t="s">
        <v>805</v>
      </c>
      <c r="I24" s="5">
        <v>2.10721927E8</v>
      </c>
      <c r="J24" s="7" t="s">
        <v>806</v>
      </c>
      <c r="K24" s="7" t="s">
        <v>813</v>
      </c>
      <c r="L24" s="9" t="b">
        <v>1</v>
      </c>
      <c r="M24" s="1" t="s">
        <v>67</v>
      </c>
      <c r="N24" s="1" t="s">
        <v>824</v>
      </c>
      <c r="O24" s="1" t="s">
        <v>65</v>
      </c>
      <c r="P24" s="5">
        <v>0.0</v>
      </c>
      <c r="Q24" s="5">
        <v>0.0</v>
      </c>
      <c r="R24" s="5">
        <v>0.0</v>
      </c>
      <c r="S24" s="5">
        <v>0.0</v>
      </c>
      <c r="T24" s="5">
        <v>21.0</v>
      </c>
      <c r="U24" s="1" t="s">
        <v>65</v>
      </c>
      <c r="V24" s="1"/>
      <c r="W24" s="1" t="s">
        <v>65</v>
      </c>
      <c r="X24" s="1"/>
      <c r="Y24" s="1"/>
      <c r="Z24" s="1"/>
      <c r="AA24" s="1"/>
      <c r="AB24" s="1"/>
      <c r="AC24" s="1" t="s">
        <v>65</v>
      </c>
      <c r="AD24" s="1" t="s">
        <v>65</v>
      </c>
      <c r="AE24" s="1"/>
      <c r="AF24" s="1" t="s">
        <v>65</v>
      </c>
      <c r="AG24" s="1" t="s">
        <v>827</v>
      </c>
      <c r="AH24" s="7" t="s">
        <v>828</v>
      </c>
      <c r="AI24" s="1"/>
      <c r="AJ24" s="1"/>
      <c r="AK24" s="1"/>
      <c r="AL24" s="1"/>
      <c r="AM24" s="1"/>
      <c r="AN24" s="1"/>
    </row>
    <row r="25">
      <c r="A25" s="1" t="s">
        <v>833</v>
      </c>
      <c r="B25" s="1" t="s">
        <v>833</v>
      </c>
      <c r="C25" s="4">
        <v>45729.948483796295</v>
      </c>
      <c r="D25" s="5">
        <v>1.741905949E9</v>
      </c>
      <c r="E25" s="7" t="s">
        <v>835</v>
      </c>
      <c r="F25" s="1" t="s">
        <v>838</v>
      </c>
      <c r="G25" s="1" t="s">
        <v>839</v>
      </c>
      <c r="H25" s="1" t="s">
        <v>840</v>
      </c>
      <c r="I25" s="5">
        <v>7.47200574E8</v>
      </c>
      <c r="J25" s="7" t="s">
        <v>841</v>
      </c>
      <c r="K25" s="7" t="s">
        <v>853</v>
      </c>
      <c r="L25" s="9" t="b">
        <v>0</v>
      </c>
      <c r="M25" s="1" t="s">
        <v>66</v>
      </c>
      <c r="N25" s="1" t="s">
        <v>64</v>
      </c>
      <c r="O25" s="1" t="s">
        <v>65</v>
      </c>
      <c r="P25" s="5">
        <v>0.0</v>
      </c>
      <c r="Q25" s="5">
        <v>0.0</v>
      </c>
      <c r="R25" s="5">
        <v>3.0</v>
      </c>
      <c r="S25" s="5">
        <v>0.0</v>
      </c>
      <c r="T25" s="5">
        <v>42.0</v>
      </c>
      <c r="U25" s="1" t="s">
        <v>65</v>
      </c>
      <c r="V25" s="1"/>
      <c r="W25" s="1" t="s">
        <v>65</v>
      </c>
      <c r="X25" s="1"/>
      <c r="Y25" s="1"/>
      <c r="Z25" s="1"/>
      <c r="AA25" s="1"/>
      <c r="AB25" s="1"/>
      <c r="AC25" s="1" t="s">
        <v>65</v>
      </c>
      <c r="AD25" s="1" t="s">
        <v>65</v>
      </c>
      <c r="AE25" s="1"/>
      <c r="AF25" s="1" t="s">
        <v>65</v>
      </c>
      <c r="AG25" s="1" t="s">
        <v>859</v>
      </c>
      <c r="AH25" s="7" t="s">
        <v>860</v>
      </c>
      <c r="AI25" s="1"/>
      <c r="AJ25" s="1"/>
      <c r="AK25" s="1"/>
      <c r="AL25" s="1"/>
      <c r="AM25" s="1"/>
      <c r="AN25" s="1"/>
    </row>
    <row r="26">
      <c r="A26" s="1" t="s">
        <v>868</v>
      </c>
      <c r="B26" s="1" t="s">
        <v>868</v>
      </c>
      <c r="C26" s="4">
        <v>45691.717569444445</v>
      </c>
      <c r="D26" s="5">
        <v>1.738602798E9</v>
      </c>
      <c r="E26" s="7" t="s">
        <v>872</v>
      </c>
      <c r="F26" s="1" t="s">
        <v>875</v>
      </c>
      <c r="G26" s="1" t="s">
        <v>635</v>
      </c>
      <c r="H26" s="1" t="s">
        <v>636</v>
      </c>
      <c r="I26" s="5">
        <v>3.33054975E8</v>
      </c>
      <c r="J26" s="7" t="s">
        <v>637</v>
      </c>
      <c r="K26" s="7" t="s">
        <v>643</v>
      </c>
      <c r="L26" s="9" t="b">
        <v>0</v>
      </c>
      <c r="M26" s="1" t="s">
        <v>67</v>
      </c>
      <c r="N26" s="1" t="s">
        <v>64</v>
      </c>
      <c r="O26" s="1" t="s">
        <v>65</v>
      </c>
      <c r="P26" s="5">
        <v>0.0</v>
      </c>
      <c r="Q26" s="5">
        <v>0.0</v>
      </c>
      <c r="R26" s="5">
        <v>0.0</v>
      </c>
      <c r="S26" s="5">
        <v>0.0</v>
      </c>
      <c r="T26" s="5">
        <v>12.0</v>
      </c>
      <c r="U26" s="1" t="s">
        <v>65</v>
      </c>
      <c r="V26" s="1"/>
      <c r="W26" s="1" t="s">
        <v>65</v>
      </c>
      <c r="X26" s="1"/>
      <c r="Y26" s="1"/>
      <c r="Z26" s="1"/>
      <c r="AA26" s="1"/>
      <c r="AB26" s="1"/>
      <c r="AC26" s="1" t="s">
        <v>65</v>
      </c>
      <c r="AD26" s="1" t="s">
        <v>65</v>
      </c>
      <c r="AE26" s="1"/>
      <c r="AF26" s="1" t="s">
        <v>65</v>
      </c>
      <c r="AG26" s="1" t="s">
        <v>882</v>
      </c>
      <c r="AH26" s="1"/>
      <c r="AI26" s="1"/>
      <c r="AJ26" s="1"/>
      <c r="AK26" s="1"/>
      <c r="AL26" s="1"/>
      <c r="AM26" s="1"/>
      <c r="AN26" s="1"/>
    </row>
    <row r="27">
      <c r="A27" s="1" t="s">
        <v>884</v>
      </c>
      <c r="B27" s="1" t="s">
        <v>884</v>
      </c>
      <c r="C27" s="4">
        <v>45684.77042824074</v>
      </c>
      <c r="D27" s="5">
        <v>1.738002565E9</v>
      </c>
      <c r="E27" s="7" t="s">
        <v>886</v>
      </c>
      <c r="F27" s="1" t="s">
        <v>887</v>
      </c>
      <c r="G27" s="1" t="s">
        <v>635</v>
      </c>
      <c r="H27" s="1" t="s">
        <v>636</v>
      </c>
      <c r="I27" s="5">
        <v>3.33054975E8</v>
      </c>
      <c r="J27" s="7" t="s">
        <v>637</v>
      </c>
      <c r="K27" s="7" t="s">
        <v>643</v>
      </c>
      <c r="L27" s="9" t="b">
        <v>0</v>
      </c>
      <c r="M27" s="1" t="s">
        <v>67</v>
      </c>
      <c r="N27" s="1" t="s">
        <v>64</v>
      </c>
      <c r="O27" s="1" t="s">
        <v>65</v>
      </c>
      <c r="P27" s="5">
        <v>0.0</v>
      </c>
      <c r="Q27" s="5">
        <v>0.0</v>
      </c>
      <c r="R27" s="5">
        <v>0.0</v>
      </c>
      <c r="S27" s="5">
        <v>0.0</v>
      </c>
      <c r="T27" s="5">
        <v>24.0</v>
      </c>
      <c r="U27" s="1" t="s">
        <v>65</v>
      </c>
      <c r="V27" s="1"/>
      <c r="W27" s="1" t="s">
        <v>71</v>
      </c>
      <c r="X27" s="1" t="s">
        <v>891</v>
      </c>
      <c r="Y27" s="1" t="s">
        <v>892</v>
      </c>
      <c r="Z27" s="7" t="s">
        <v>893</v>
      </c>
      <c r="AA27" s="7" t="s">
        <v>900</v>
      </c>
      <c r="AB27" s="1"/>
      <c r="AC27" s="1" t="s">
        <v>65</v>
      </c>
      <c r="AD27" s="1" t="s">
        <v>65</v>
      </c>
      <c r="AE27" s="1"/>
      <c r="AF27" s="1" t="s">
        <v>65</v>
      </c>
      <c r="AG27" s="1" t="s">
        <v>906</v>
      </c>
      <c r="AH27" s="1"/>
      <c r="AI27" s="1"/>
      <c r="AJ27" s="1"/>
      <c r="AK27" s="1"/>
      <c r="AL27" s="1"/>
      <c r="AM27" s="1"/>
      <c r="AN27" s="1"/>
    </row>
    <row r="28">
      <c r="A28" s="1" t="s">
        <v>907</v>
      </c>
      <c r="B28" s="1" t="s">
        <v>907</v>
      </c>
      <c r="C28" s="4">
        <v>45674.2309837963</v>
      </c>
      <c r="D28" s="5">
        <v>1.737091957E9</v>
      </c>
      <c r="E28" s="7" t="s">
        <v>909</v>
      </c>
      <c r="F28" s="1" t="s">
        <v>911</v>
      </c>
      <c r="G28" s="1" t="s">
        <v>635</v>
      </c>
      <c r="H28" s="1" t="s">
        <v>636</v>
      </c>
      <c r="I28" s="5">
        <v>3.33054975E8</v>
      </c>
      <c r="J28" s="7" t="s">
        <v>637</v>
      </c>
      <c r="K28" s="7" t="s">
        <v>643</v>
      </c>
      <c r="L28" s="9" t="b">
        <v>0</v>
      </c>
      <c r="M28" s="1" t="s">
        <v>67</v>
      </c>
      <c r="N28" s="1" t="s">
        <v>64</v>
      </c>
      <c r="O28" s="1" t="s">
        <v>65</v>
      </c>
      <c r="P28" s="5">
        <v>0.0</v>
      </c>
      <c r="Q28" s="5">
        <v>0.0</v>
      </c>
      <c r="R28" s="5">
        <v>0.0</v>
      </c>
      <c r="S28" s="5">
        <v>0.0</v>
      </c>
      <c r="T28" s="5">
        <v>14.0</v>
      </c>
      <c r="U28" s="1" t="s">
        <v>65</v>
      </c>
      <c r="V28" s="1"/>
      <c r="W28" s="1" t="s">
        <v>65</v>
      </c>
      <c r="X28" s="1"/>
      <c r="Y28" s="1"/>
      <c r="Z28" s="1"/>
      <c r="AA28" s="1"/>
      <c r="AB28" s="1"/>
      <c r="AC28" s="1" t="s">
        <v>65</v>
      </c>
      <c r="AD28" s="1" t="s">
        <v>65</v>
      </c>
      <c r="AE28" s="1"/>
      <c r="AF28" s="1" t="s">
        <v>65</v>
      </c>
      <c r="AG28" s="1" t="s">
        <v>906</v>
      </c>
      <c r="AH28" s="1"/>
      <c r="AI28" s="1"/>
      <c r="AJ28" s="1"/>
      <c r="AK28" s="1"/>
      <c r="AL28" s="1"/>
      <c r="AM28" s="1"/>
      <c r="AN28" s="1"/>
    </row>
    <row r="29">
      <c r="A29" s="1" t="s">
        <v>917</v>
      </c>
      <c r="B29" s="1" t="s">
        <v>917</v>
      </c>
      <c r="C29" s="4">
        <v>45673.063414351855</v>
      </c>
      <c r="D29" s="5">
        <v>1.736991079E9</v>
      </c>
      <c r="E29" s="7" t="s">
        <v>919</v>
      </c>
      <c r="F29" s="1" t="s">
        <v>926</v>
      </c>
      <c r="G29" s="1" t="s">
        <v>635</v>
      </c>
      <c r="H29" s="1" t="s">
        <v>636</v>
      </c>
      <c r="I29" s="5">
        <v>3.33054975E8</v>
      </c>
      <c r="J29" s="7" t="s">
        <v>637</v>
      </c>
      <c r="K29" s="7" t="s">
        <v>643</v>
      </c>
      <c r="L29" s="9" t="b">
        <v>0</v>
      </c>
      <c r="M29" s="1" t="s">
        <v>67</v>
      </c>
      <c r="N29" s="1" t="s">
        <v>64</v>
      </c>
      <c r="O29" s="1" t="s">
        <v>65</v>
      </c>
      <c r="P29" s="5">
        <v>0.0</v>
      </c>
      <c r="Q29" s="5">
        <v>0.0</v>
      </c>
      <c r="R29" s="5">
        <v>0.0</v>
      </c>
      <c r="S29" s="5">
        <v>0.0</v>
      </c>
      <c r="T29" s="5">
        <v>14.0</v>
      </c>
      <c r="U29" s="1" t="s">
        <v>65</v>
      </c>
      <c r="V29" s="1"/>
      <c r="W29" s="1" t="s">
        <v>65</v>
      </c>
      <c r="X29" s="1"/>
      <c r="Y29" s="1"/>
      <c r="Z29" s="1"/>
      <c r="AA29" s="1"/>
      <c r="AB29" s="1"/>
      <c r="AC29" s="1" t="s">
        <v>65</v>
      </c>
      <c r="AD29" s="1" t="s">
        <v>65</v>
      </c>
      <c r="AE29" s="1"/>
      <c r="AF29" s="1" t="s">
        <v>65</v>
      </c>
      <c r="AG29" s="1" t="s">
        <v>906</v>
      </c>
      <c r="AH29" s="1"/>
      <c r="AI29" s="1"/>
      <c r="AJ29" s="1"/>
      <c r="AK29" s="1"/>
      <c r="AL29" s="1"/>
      <c r="AM29" s="1"/>
      <c r="AN29" s="1"/>
    </row>
    <row r="30">
      <c r="A30" s="1" t="s">
        <v>928</v>
      </c>
      <c r="B30" s="1" t="s">
        <v>928</v>
      </c>
      <c r="C30" s="4">
        <v>45671.519837962966</v>
      </c>
      <c r="D30" s="5">
        <v>1.736857714E9</v>
      </c>
      <c r="E30" s="7" t="s">
        <v>931</v>
      </c>
      <c r="F30" s="1" t="s">
        <v>935</v>
      </c>
      <c r="G30" s="1" t="s">
        <v>936</v>
      </c>
      <c r="H30" s="1" t="s">
        <v>937</v>
      </c>
      <c r="I30" s="5">
        <v>2.97889462E8</v>
      </c>
      <c r="J30" s="7" t="s">
        <v>938</v>
      </c>
      <c r="K30" s="7" t="s">
        <v>943</v>
      </c>
      <c r="L30" s="9" t="b">
        <v>0</v>
      </c>
      <c r="M30" s="1" t="s">
        <v>66</v>
      </c>
      <c r="N30" s="1" t="s">
        <v>64</v>
      </c>
      <c r="O30" s="1" t="s">
        <v>65</v>
      </c>
      <c r="P30" s="5">
        <v>0.0</v>
      </c>
      <c r="Q30" s="5">
        <v>0.0</v>
      </c>
      <c r="R30" s="5">
        <v>1.0</v>
      </c>
      <c r="S30" s="5">
        <v>0.0</v>
      </c>
      <c r="T30" s="5">
        <v>146.0</v>
      </c>
      <c r="U30" s="1" t="s">
        <v>65</v>
      </c>
      <c r="V30" s="1"/>
      <c r="W30" s="1" t="s">
        <v>65</v>
      </c>
      <c r="X30" s="1"/>
      <c r="Y30" s="1"/>
      <c r="Z30" s="1"/>
      <c r="AA30" s="1"/>
      <c r="AB30" s="1"/>
      <c r="AC30" s="1" t="s">
        <v>65</v>
      </c>
      <c r="AD30" s="1" t="s">
        <v>65</v>
      </c>
      <c r="AE30" s="1"/>
      <c r="AF30" s="1" t="s">
        <v>65</v>
      </c>
      <c r="AG30" s="1" t="s">
        <v>414</v>
      </c>
      <c r="AH30" s="7" t="s">
        <v>945</v>
      </c>
      <c r="AI30" s="7" t="s">
        <v>953</v>
      </c>
      <c r="AJ30" s="1"/>
      <c r="AK30" s="1" t="s">
        <v>959</v>
      </c>
      <c r="AL30" s="1"/>
      <c r="AM30" s="1"/>
      <c r="AN30" s="1"/>
    </row>
    <row r="31">
      <c r="A31" s="1" t="s">
        <v>961</v>
      </c>
      <c r="B31" s="1" t="s">
        <v>961</v>
      </c>
      <c r="C31" s="4">
        <v>45665.643159722225</v>
      </c>
      <c r="D31" s="5">
        <v>1.736349969E9</v>
      </c>
      <c r="E31" s="7" t="s">
        <v>962</v>
      </c>
      <c r="F31" s="1" t="s">
        <v>965</v>
      </c>
      <c r="G31" s="1" t="s">
        <v>635</v>
      </c>
      <c r="H31" s="1" t="s">
        <v>636</v>
      </c>
      <c r="I31" s="5">
        <v>3.33054975E8</v>
      </c>
      <c r="J31" s="7" t="s">
        <v>637</v>
      </c>
      <c r="K31" s="7" t="s">
        <v>643</v>
      </c>
      <c r="L31" s="9" t="b">
        <v>0</v>
      </c>
      <c r="M31" s="1" t="s">
        <v>67</v>
      </c>
      <c r="N31" s="1" t="s">
        <v>64</v>
      </c>
      <c r="O31" s="1" t="s">
        <v>65</v>
      </c>
      <c r="P31" s="5">
        <v>0.0</v>
      </c>
      <c r="Q31" s="5">
        <v>0.0</v>
      </c>
      <c r="R31" s="5">
        <v>0.0</v>
      </c>
      <c r="S31" s="5">
        <v>0.0</v>
      </c>
      <c r="T31" s="5">
        <v>50.0</v>
      </c>
      <c r="U31" s="1" t="s">
        <v>65</v>
      </c>
      <c r="V31" s="1"/>
      <c r="W31" s="1" t="s">
        <v>65</v>
      </c>
      <c r="X31" s="1"/>
      <c r="Y31" s="1"/>
      <c r="Z31" s="1"/>
      <c r="AA31" s="1"/>
      <c r="AB31" s="1"/>
      <c r="AC31" s="1" t="s">
        <v>65</v>
      </c>
      <c r="AD31" s="1" t="s">
        <v>65</v>
      </c>
      <c r="AE31" s="1"/>
      <c r="AF31" s="1" t="s">
        <v>65</v>
      </c>
      <c r="AG31" s="1" t="s">
        <v>968</v>
      </c>
      <c r="AH31" s="1"/>
      <c r="AI31" s="1"/>
      <c r="AJ31" s="1"/>
      <c r="AK31" s="1"/>
      <c r="AL31" s="1"/>
      <c r="AM31" s="1"/>
      <c r="AN31" s="1"/>
    </row>
    <row r="32">
      <c r="A32" s="1" t="s">
        <v>969</v>
      </c>
      <c r="B32" s="1" t="s">
        <v>969</v>
      </c>
      <c r="C32" s="4">
        <v>45632.274305555555</v>
      </c>
      <c r="D32" s="5">
        <v>1.7334669E9</v>
      </c>
      <c r="E32" s="7" t="s">
        <v>971</v>
      </c>
      <c r="F32" s="1" t="s">
        <v>972</v>
      </c>
      <c r="G32" s="1" t="s">
        <v>228</v>
      </c>
      <c r="H32" s="1" t="s">
        <v>229</v>
      </c>
      <c r="I32" s="1" t="s">
        <v>230</v>
      </c>
      <c r="J32" s="7" t="s">
        <v>231</v>
      </c>
      <c r="K32" s="7" t="s">
        <v>234</v>
      </c>
      <c r="L32" s="9" t="b">
        <v>0</v>
      </c>
      <c r="M32" s="1" t="s">
        <v>66</v>
      </c>
      <c r="N32" s="1" t="s">
        <v>64</v>
      </c>
      <c r="O32" s="1" t="s">
        <v>65</v>
      </c>
      <c r="P32" s="5">
        <v>0.0</v>
      </c>
      <c r="Q32" s="5">
        <v>0.0</v>
      </c>
      <c r="R32" s="5">
        <v>2.0</v>
      </c>
      <c r="S32" s="5">
        <v>0.0</v>
      </c>
      <c r="T32" s="5">
        <v>23.0</v>
      </c>
      <c r="U32" s="1" t="s">
        <v>65</v>
      </c>
      <c r="V32" s="1"/>
      <c r="W32" s="1" t="s">
        <v>65</v>
      </c>
      <c r="X32" s="1"/>
      <c r="Y32" s="1"/>
      <c r="Z32" s="1"/>
      <c r="AA32" s="1"/>
      <c r="AB32" s="1"/>
      <c r="AC32" s="1" t="s">
        <v>65</v>
      </c>
      <c r="AD32" s="1" t="s">
        <v>65</v>
      </c>
      <c r="AE32" s="1"/>
      <c r="AF32" s="1" t="s">
        <v>65</v>
      </c>
      <c r="AG32" s="1" t="s">
        <v>977</v>
      </c>
      <c r="AH32" s="1"/>
      <c r="AI32" s="7" t="s">
        <v>978</v>
      </c>
      <c r="AJ32" s="1"/>
      <c r="AK32" s="1"/>
      <c r="AL32" s="1"/>
      <c r="AM32" s="1"/>
      <c r="AN32" s="1"/>
    </row>
    <row r="33">
      <c r="A33" s="1" t="s">
        <v>992</v>
      </c>
      <c r="B33" s="1" t="s">
        <v>992</v>
      </c>
      <c r="C33" s="4">
        <v>45630.836701388886</v>
      </c>
      <c r="D33" s="5">
        <v>1.733342691E9</v>
      </c>
      <c r="E33" s="7" t="s">
        <v>994</v>
      </c>
      <c r="F33" s="1" t="s">
        <v>998</v>
      </c>
      <c r="G33" s="1" t="s">
        <v>999</v>
      </c>
      <c r="H33" s="1" t="s">
        <v>1000</v>
      </c>
      <c r="I33" s="5">
        <v>4.203983909E9</v>
      </c>
      <c r="J33" s="7" t="s">
        <v>1004</v>
      </c>
      <c r="K33" s="7" t="s">
        <v>1007</v>
      </c>
      <c r="L33" s="9" t="b">
        <v>0</v>
      </c>
      <c r="M33" s="1" t="s">
        <v>67</v>
      </c>
      <c r="N33" s="1" t="s">
        <v>64</v>
      </c>
      <c r="O33" s="1" t="s">
        <v>65</v>
      </c>
      <c r="P33" s="5">
        <v>1.0</v>
      </c>
      <c r="Q33" s="5">
        <v>1.0</v>
      </c>
      <c r="R33" s="5">
        <v>1.0</v>
      </c>
      <c r="S33" s="5">
        <v>0.0</v>
      </c>
      <c r="T33" s="5">
        <v>96.0</v>
      </c>
      <c r="U33" s="1" t="s">
        <v>65</v>
      </c>
      <c r="V33" s="1"/>
      <c r="W33" s="1" t="s">
        <v>65</v>
      </c>
      <c r="X33" s="1"/>
      <c r="Y33" s="1"/>
      <c r="Z33" s="1"/>
      <c r="AA33" s="1"/>
      <c r="AB33" s="1"/>
      <c r="AC33" s="1" t="s">
        <v>65</v>
      </c>
      <c r="AD33" s="1" t="s">
        <v>65</v>
      </c>
      <c r="AE33" s="1"/>
      <c r="AF33" s="1" t="s">
        <v>65</v>
      </c>
      <c r="AG33" s="1" t="s">
        <v>1010</v>
      </c>
      <c r="AH33" s="7" t="s">
        <v>1011</v>
      </c>
      <c r="AI33" s="7" t="s">
        <v>1018</v>
      </c>
      <c r="AJ33" s="1"/>
      <c r="AK33" s="1"/>
      <c r="AL33" s="1"/>
      <c r="AM33" s="1"/>
      <c r="AN33" s="1"/>
    </row>
    <row r="34" hidden="1">
      <c r="A34" s="1" t="s">
        <v>1028</v>
      </c>
      <c r="B34" s="1" t="s">
        <v>1028</v>
      </c>
      <c r="C34" s="4">
        <v>45619.68199074074</v>
      </c>
      <c r="D34" s="5">
        <v>1.732378924E9</v>
      </c>
      <c r="E34" s="7" t="s">
        <v>1030</v>
      </c>
      <c r="F34" s="1" t="s">
        <v>1036</v>
      </c>
      <c r="G34" s="1" t="s">
        <v>1037</v>
      </c>
      <c r="H34" s="1" t="s">
        <v>1038</v>
      </c>
      <c r="I34" s="1" t="s">
        <v>1039</v>
      </c>
      <c r="J34" s="7" t="s">
        <v>1040</v>
      </c>
      <c r="K34" s="1"/>
      <c r="L34" s="9" t="b">
        <v>0</v>
      </c>
      <c r="M34" s="1" t="s">
        <v>85</v>
      </c>
      <c r="N34" s="1" t="s">
        <v>68</v>
      </c>
      <c r="O34" s="1" t="s">
        <v>65</v>
      </c>
      <c r="P34" s="5">
        <v>0.0</v>
      </c>
      <c r="Q34" s="5">
        <v>0.0</v>
      </c>
      <c r="R34" s="5">
        <v>0.0</v>
      </c>
      <c r="S34" s="5">
        <v>0.0</v>
      </c>
      <c r="T34" s="5">
        <v>31.0</v>
      </c>
      <c r="U34" s="1" t="s">
        <v>65</v>
      </c>
      <c r="V34" s="1"/>
      <c r="W34" s="1" t="s">
        <v>65</v>
      </c>
      <c r="X34" s="1"/>
      <c r="Y34" s="1"/>
      <c r="Z34" s="1"/>
      <c r="AA34" s="1"/>
      <c r="AB34" s="1"/>
      <c r="AC34" s="1" t="s">
        <v>65</v>
      </c>
      <c r="AD34" s="1" t="s">
        <v>65</v>
      </c>
      <c r="AE34" s="1"/>
      <c r="AF34" s="1" t="s">
        <v>65</v>
      </c>
      <c r="AG34" s="1" t="s">
        <v>1050</v>
      </c>
      <c r="AH34" s="7" t="s">
        <v>1051</v>
      </c>
      <c r="AI34" s="1"/>
      <c r="AJ34" s="1"/>
      <c r="AK34" s="1" t="s">
        <v>1054</v>
      </c>
      <c r="AL34" s="1"/>
      <c r="AM34" s="1"/>
      <c r="AN34" s="1"/>
    </row>
    <row r="35">
      <c r="A35" s="1" t="s">
        <v>1056</v>
      </c>
      <c r="B35" s="1" t="s">
        <v>1056</v>
      </c>
      <c r="C35" s="4">
        <v>45603.96869212963</v>
      </c>
      <c r="D35" s="5">
        <v>1.731021295E9</v>
      </c>
      <c r="E35" s="7" t="s">
        <v>1057</v>
      </c>
      <c r="F35" s="1" t="s">
        <v>1061</v>
      </c>
      <c r="G35" s="1" t="s">
        <v>635</v>
      </c>
      <c r="H35" s="1" t="s">
        <v>636</v>
      </c>
      <c r="I35" s="5">
        <v>3.33054975E8</v>
      </c>
      <c r="J35" s="7" t="s">
        <v>637</v>
      </c>
      <c r="K35" s="7" t="s">
        <v>643</v>
      </c>
      <c r="L35" s="9" t="b">
        <v>0</v>
      </c>
      <c r="M35" s="1" t="s">
        <v>67</v>
      </c>
      <c r="N35" s="1" t="s">
        <v>64</v>
      </c>
      <c r="O35" s="1" t="s">
        <v>65</v>
      </c>
      <c r="P35" s="5">
        <v>0.0</v>
      </c>
      <c r="Q35" s="5">
        <v>0.0</v>
      </c>
      <c r="R35" s="5">
        <v>0.0</v>
      </c>
      <c r="S35" s="5">
        <v>0.0</v>
      </c>
      <c r="T35" s="5">
        <v>92.0</v>
      </c>
      <c r="U35" s="1" t="s">
        <v>65</v>
      </c>
      <c r="V35" s="1"/>
      <c r="W35" s="1" t="s">
        <v>65</v>
      </c>
      <c r="X35" s="1"/>
      <c r="Y35" s="1"/>
      <c r="Z35" s="1"/>
      <c r="AA35" s="1"/>
      <c r="AB35" s="1"/>
      <c r="AC35" s="1" t="s">
        <v>65</v>
      </c>
      <c r="AD35" s="1" t="s">
        <v>65</v>
      </c>
      <c r="AE35" s="1"/>
      <c r="AF35" s="1" t="s">
        <v>65</v>
      </c>
      <c r="AG35" s="1" t="s">
        <v>1068</v>
      </c>
      <c r="AH35" s="1"/>
      <c r="AI35" s="1"/>
      <c r="AJ35" s="1"/>
      <c r="AK35" s="1"/>
      <c r="AL35" s="1"/>
      <c r="AM35" s="1"/>
      <c r="AN35" s="1"/>
    </row>
    <row r="36">
      <c r="A36" s="1" t="s">
        <v>1069</v>
      </c>
      <c r="B36" s="1" t="s">
        <v>1069</v>
      </c>
      <c r="C36" s="4">
        <v>45584.12311342593</v>
      </c>
      <c r="D36" s="5">
        <v>1.729306637E9</v>
      </c>
      <c r="E36" s="7" t="s">
        <v>1070</v>
      </c>
      <c r="F36" s="1" t="s">
        <v>1074</v>
      </c>
      <c r="G36" s="1" t="s">
        <v>391</v>
      </c>
      <c r="H36" s="1" t="s">
        <v>392</v>
      </c>
      <c r="I36" s="1" t="s">
        <v>394</v>
      </c>
      <c r="J36" s="7" t="s">
        <v>396</v>
      </c>
      <c r="K36" s="7" t="s">
        <v>1081</v>
      </c>
      <c r="L36" s="9" t="b">
        <v>0</v>
      </c>
      <c r="M36" s="1" t="s">
        <v>85</v>
      </c>
      <c r="N36" s="1" t="s">
        <v>64</v>
      </c>
      <c r="O36" s="1" t="s">
        <v>65</v>
      </c>
      <c r="P36" s="5">
        <v>2.0</v>
      </c>
      <c r="Q36" s="5">
        <v>0.0</v>
      </c>
      <c r="R36" s="5">
        <v>4.0</v>
      </c>
      <c r="S36" s="5">
        <v>0.0</v>
      </c>
      <c r="T36" s="5">
        <v>259.0</v>
      </c>
      <c r="U36" s="1" t="s">
        <v>65</v>
      </c>
      <c r="V36" s="1"/>
      <c r="W36" s="1" t="s">
        <v>65</v>
      </c>
      <c r="X36" s="1"/>
      <c r="Y36" s="1"/>
      <c r="Z36" s="1"/>
      <c r="AA36" s="1"/>
      <c r="AB36" s="1"/>
      <c r="AC36" s="1" t="s">
        <v>65</v>
      </c>
      <c r="AD36" s="1" t="s">
        <v>65</v>
      </c>
      <c r="AE36" s="1"/>
      <c r="AF36" s="1" t="s">
        <v>65</v>
      </c>
      <c r="AG36" s="1" t="s">
        <v>1089</v>
      </c>
      <c r="AH36" s="7" t="s">
        <v>1091</v>
      </c>
      <c r="AI36" s="7" t="s">
        <v>1095</v>
      </c>
      <c r="AJ36" s="1"/>
      <c r="AK36" s="1"/>
      <c r="AL36" s="1"/>
      <c r="AM36" s="1"/>
      <c r="AN36" s="1"/>
    </row>
    <row r="37">
      <c r="A37" s="1" t="s">
        <v>1098</v>
      </c>
      <c r="B37" s="1" t="s">
        <v>1098</v>
      </c>
      <c r="C37" s="4">
        <v>45560.31945601852</v>
      </c>
      <c r="D37" s="5">
        <v>1.727250001E9</v>
      </c>
      <c r="E37" s="7" t="s">
        <v>1100</v>
      </c>
      <c r="F37" s="1" t="s">
        <v>1103</v>
      </c>
      <c r="G37" s="1" t="s">
        <v>1104</v>
      </c>
      <c r="H37" s="1" t="s">
        <v>1105</v>
      </c>
      <c r="I37" s="1" t="s">
        <v>1106</v>
      </c>
      <c r="J37" s="7" t="s">
        <v>1108</v>
      </c>
      <c r="K37" s="7" t="s">
        <v>1114</v>
      </c>
      <c r="L37" s="9" t="b">
        <v>1</v>
      </c>
      <c r="M37" s="1" t="s">
        <v>66</v>
      </c>
      <c r="N37" s="1" t="s">
        <v>64</v>
      </c>
      <c r="O37" s="1" t="s">
        <v>65</v>
      </c>
      <c r="P37" s="5">
        <v>0.0</v>
      </c>
      <c r="Q37" s="5">
        <v>0.0</v>
      </c>
      <c r="R37" s="5">
        <v>1.0</v>
      </c>
      <c r="S37" s="5">
        <v>0.0</v>
      </c>
      <c r="T37" s="5">
        <v>62.0</v>
      </c>
      <c r="U37" s="1" t="s">
        <v>65</v>
      </c>
      <c r="V37" s="1"/>
      <c r="W37" s="1" t="s">
        <v>65</v>
      </c>
      <c r="X37" s="1"/>
      <c r="Y37" s="1"/>
      <c r="Z37" s="1"/>
      <c r="AA37" s="1"/>
      <c r="AB37" s="1"/>
      <c r="AC37" s="1" t="s">
        <v>65</v>
      </c>
      <c r="AD37" s="1" t="s">
        <v>65</v>
      </c>
      <c r="AE37" s="1"/>
      <c r="AF37" s="1" t="s">
        <v>65</v>
      </c>
      <c r="AG37" s="1" t="s">
        <v>1118</v>
      </c>
      <c r="AH37" s="1"/>
      <c r="AI37" s="7" t="s">
        <v>1119</v>
      </c>
      <c r="AJ37" s="7" t="s">
        <v>1124</v>
      </c>
      <c r="AK37" s="1"/>
      <c r="AL37" s="1"/>
      <c r="AM37" s="1"/>
      <c r="AN37" s="1"/>
    </row>
    <row r="38">
      <c r="A38" s="1" t="s">
        <v>1130</v>
      </c>
      <c r="B38" s="1" t="s">
        <v>1130</v>
      </c>
      <c r="C38" s="4">
        <v>45529.560590277775</v>
      </c>
      <c r="D38" s="5">
        <v>1.724592435E9</v>
      </c>
      <c r="E38" s="7" t="s">
        <v>1133</v>
      </c>
      <c r="F38" s="1" t="s">
        <v>1134</v>
      </c>
      <c r="G38" s="1" t="s">
        <v>635</v>
      </c>
      <c r="H38" s="1" t="s">
        <v>636</v>
      </c>
      <c r="I38" s="5">
        <v>3.33054975E8</v>
      </c>
      <c r="J38" s="7" t="s">
        <v>637</v>
      </c>
      <c r="K38" s="7" t="s">
        <v>643</v>
      </c>
      <c r="L38" s="9" t="b">
        <v>0</v>
      </c>
      <c r="M38" s="1" t="s">
        <v>67</v>
      </c>
      <c r="N38" s="1" t="s">
        <v>64</v>
      </c>
      <c r="O38" s="1" t="s">
        <v>65</v>
      </c>
      <c r="P38" s="5">
        <v>0.0</v>
      </c>
      <c r="Q38" s="5">
        <v>0.0</v>
      </c>
      <c r="R38" s="5">
        <v>0.0</v>
      </c>
      <c r="S38" s="5">
        <v>0.0</v>
      </c>
      <c r="T38" s="5">
        <v>24.0</v>
      </c>
      <c r="U38" s="1" t="s">
        <v>65</v>
      </c>
      <c r="V38" s="1"/>
      <c r="W38" s="1" t="s">
        <v>65</v>
      </c>
      <c r="X38" s="1"/>
      <c r="Y38" s="1"/>
      <c r="Z38" s="1"/>
      <c r="AA38" s="1"/>
      <c r="AB38" s="1"/>
      <c r="AC38" s="1" t="s">
        <v>65</v>
      </c>
      <c r="AD38" s="1" t="s">
        <v>65</v>
      </c>
      <c r="AE38" s="1"/>
      <c r="AF38" s="1" t="s">
        <v>65</v>
      </c>
      <c r="AG38" s="1" t="s">
        <v>906</v>
      </c>
      <c r="AH38" s="1"/>
      <c r="AI38" s="1"/>
      <c r="AJ38" s="1"/>
      <c r="AK38" s="1"/>
      <c r="AL38" s="1"/>
      <c r="AM38" s="1"/>
      <c r="AN38" s="1"/>
    </row>
    <row r="39">
      <c r="A39" s="1" t="s">
        <v>1138</v>
      </c>
      <c r="B39" s="1" t="s">
        <v>1138</v>
      </c>
      <c r="C39" s="4">
        <v>45527.75001157408</v>
      </c>
      <c r="D39" s="5">
        <v>1.724436001E9</v>
      </c>
      <c r="E39" s="7" t="s">
        <v>1140</v>
      </c>
      <c r="F39" s="1" t="s">
        <v>1145</v>
      </c>
      <c r="G39" s="1" t="s">
        <v>1146</v>
      </c>
      <c r="H39" s="1" t="s">
        <v>1147</v>
      </c>
      <c r="I39" s="5">
        <v>3.237337855E9</v>
      </c>
      <c r="J39" s="7" t="s">
        <v>1148</v>
      </c>
      <c r="K39" s="7" t="s">
        <v>1159</v>
      </c>
      <c r="L39" s="9" t="b">
        <v>0</v>
      </c>
      <c r="M39" s="1" t="s">
        <v>66</v>
      </c>
      <c r="N39" s="1" t="s">
        <v>64</v>
      </c>
      <c r="O39" s="1" t="s">
        <v>65</v>
      </c>
      <c r="P39" s="5">
        <v>0.0</v>
      </c>
      <c r="Q39" s="5">
        <v>0.0</v>
      </c>
      <c r="R39" s="5">
        <v>0.0</v>
      </c>
      <c r="S39" s="5">
        <v>0.0</v>
      </c>
      <c r="T39" s="5">
        <v>32.0</v>
      </c>
      <c r="U39" s="1" t="s">
        <v>65</v>
      </c>
      <c r="V39" s="1"/>
      <c r="W39" s="1" t="s">
        <v>65</v>
      </c>
      <c r="X39" s="1"/>
      <c r="Y39" s="1"/>
      <c r="Z39" s="1"/>
      <c r="AA39" s="1"/>
      <c r="AB39" s="1"/>
      <c r="AC39" s="1" t="s">
        <v>65</v>
      </c>
      <c r="AD39" s="1" t="s">
        <v>65</v>
      </c>
      <c r="AE39" s="1"/>
      <c r="AF39" s="1" t="s">
        <v>65</v>
      </c>
      <c r="AG39" s="1" t="s">
        <v>1169</v>
      </c>
      <c r="AH39" s="7" t="s">
        <v>1170</v>
      </c>
      <c r="AI39" s="7" t="s">
        <v>1180</v>
      </c>
      <c r="AJ39" s="1"/>
      <c r="AK39" s="1"/>
      <c r="AL39" s="1"/>
      <c r="AM39" s="1"/>
      <c r="AN39" s="1"/>
    </row>
    <row r="40" hidden="1">
      <c r="A40" s="1" t="s">
        <v>1181</v>
      </c>
      <c r="B40" s="1" t="s">
        <v>1181</v>
      </c>
      <c r="C40" s="4">
        <v>45513.99747685185</v>
      </c>
      <c r="D40" s="5">
        <v>1.723247782E9</v>
      </c>
      <c r="E40" s="7" t="s">
        <v>1182</v>
      </c>
      <c r="F40" s="1" t="s">
        <v>1184</v>
      </c>
      <c r="G40" s="1" t="s">
        <v>1185</v>
      </c>
      <c r="H40" s="1" t="s">
        <v>1186</v>
      </c>
      <c r="I40" s="1" t="s">
        <v>1187</v>
      </c>
      <c r="J40" s="7" t="s">
        <v>1188</v>
      </c>
      <c r="K40" s="7" t="s">
        <v>1191</v>
      </c>
      <c r="L40" s="9" t="b">
        <v>0</v>
      </c>
      <c r="M40" s="1" t="s">
        <v>66</v>
      </c>
      <c r="N40" s="1" t="s">
        <v>68</v>
      </c>
      <c r="O40" s="1" t="s">
        <v>65</v>
      </c>
      <c r="P40" s="5">
        <v>1.0</v>
      </c>
      <c r="Q40" s="5">
        <v>0.0</v>
      </c>
      <c r="R40" s="5">
        <v>2.0</v>
      </c>
      <c r="S40" s="5">
        <v>0.0</v>
      </c>
      <c r="T40" s="5">
        <v>16.0</v>
      </c>
      <c r="U40" s="1" t="s">
        <v>65</v>
      </c>
      <c r="V40" s="1"/>
      <c r="W40" s="1" t="s">
        <v>65</v>
      </c>
      <c r="X40" s="1"/>
      <c r="Y40" s="1"/>
      <c r="Z40" s="1"/>
      <c r="AA40" s="1"/>
      <c r="AB40" s="1"/>
      <c r="AC40" s="1" t="s">
        <v>65</v>
      </c>
      <c r="AD40" s="1" t="s">
        <v>65</v>
      </c>
      <c r="AE40" s="1"/>
      <c r="AF40" s="1" t="s">
        <v>65</v>
      </c>
      <c r="AG40" s="1" t="s">
        <v>1199</v>
      </c>
      <c r="AH40" s="7" t="s">
        <v>1200</v>
      </c>
      <c r="AI40" s="7" t="s">
        <v>1202</v>
      </c>
      <c r="AJ40" s="1"/>
      <c r="AK40" s="1"/>
      <c r="AL40" s="1"/>
      <c r="AM40" s="1"/>
      <c r="AN40" s="1"/>
    </row>
    <row r="41">
      <c r="A41" s="1" t="s">
        <v>1210</v>
      </c>
      <c r="B41" s="1" t="s">
        <v>1211</v>
      </c>
      <c r="C41" s="4">
        <v>45509.650300925925</v>
      </c>
      <c r="D41" s="5">
        <v>1.722872186E9</v>
      </c>
      <c r="E41" s="7" t="s">
        <v>1212</v>
      </c>
      <c r="F41" s="1" t="s">
        <v>1214</v>
      </c>
      <c r="G41" s="1" t="s">
        <v>635</v>
      </c>
      <c r="H41" s="1" t="s">
        <v>636</v>
      </c>
      <c r="I41" s="5">
        <v>3.33054975E8</v>
      </c>
      <c r="J41" s="7" t="s">
        <v>637</v>
      </c>
      <c r="K41" s="7" t="s">
        <v>643</v>
      </c>
      <c r="L41" s="9" t="b">
        <v>0</v>
      </c>
      <c r="M41" s="1" t="s">
        <v>67</v>
      </c>
      <c r="N41" s="1" t="s">
        <v>64</v>
      </c>
      <c r="O41" s="1" t="s">
        <v>65</v>
      </c>
      <c r="P41" s="5">
        <v>0.0</v>
      </c>
      <c r="Q41" s="5">
        <v>0.0</v>
      </c>
      <c r="R41" s="5">
        <v>1.0</v>
      </c>
      <c r="S41" s="5">
        <v>0.0</v>
      </c>
      <c r="T41" s="5">
        <v>13.0</v>
      </c>
      <c r="U41" s="1" t="s">
        <v>65</v>
      </c>
      <c r="V41" s="1"/>
      <c r="W41" s="1" t="s">
        <v>65</v>
      </c>
      <c r="X41" s="1"/>
      <c r="Y41" s="1"/>
      <c r="Z41" s="1"/>
      <c r="AA41" s="1"/>
      <c r="AB41" s="1"/>
      <c r="AC41" s="1" t="s">
        <v>65</v>
      </c>
      <c r="AD41" s="1" t="s">
        <v>71</v>
      </c>
      <c r="AE41" s="1" t="s">
        <v>635</v>
      </c>
      <c r="AF41" s="1" t="s">
        <v>65</v>
      </c>
      <c r="AG41" s="1" t="s">
        <v>1215</v>
      </c>
      <c r="AH41" s="1"/>
      <c r="AI41" s="1"/>
      <c r="AJ41" s="1"/>
      <c r="AK41" s="1"/>
      <c r="AL41" s="1"/>
      <c r="AM41" s="1"/>
      <c r="AN41" s="1"/>
    </row>
    <row r="42">
      <c r="A42" s="1" t="s">
        <v>1211</v>
      </c>
      <c r="B42" s="1" t="s">
        <v>1211</v>
      </c>
      <c r="C42" s="4">
        <v>45509.647673611114</v>
      </c>
      <c r="D42" s="5">
        <v>1.722871959E9</v>
      </c>
      <c r="E42" s="7" t="s">
        <v>1218</v>
      </c>
      <c r="F42" s="1" t="s">
        <v>1221</v>
      </c>
      <c r="G42" s="1" t="s">
        <v>635</v>
      </c>
      <c r="H42" s="1" t="s">
        <v>636</v>
      </c>
      <c r="I42" s="5">
        <v>3.33054975E8</v>
      </c>
      <c r="J42" s="7" t="s">
        <v>637</v>
      </c>
      <c r="K42" s="7" t="s">
        <v>643</v>
      </c>
      <c r="L42" s="9" t="b">
        <v>0</v>
      </c>
      <c r="M42" s="1" t="s">
        <v>67</v>
      </c>
      <c r="N42" s="1" t="s">
        <v>64</v>
      </c>
      <c r="O42" s="1" t="s">
        <v>65</v>
      </c>
      <c r="P42" s="5">
        <v>0.0</v>
      </c>
      <c r="Q42" s="5">
        <v>1.0</v>
      </c>
      <c r="R42" s="5">
        <v>0.0</v>
      </c>
      <c r="S42" s="5">
        <v>0.0</v>
      </c>
      <c r="T42" s="5">
        <v>18.0</v>
      </c>
      <c r="U42" s="1" t="s">
        <v>65</v>
      </c>
      <c r="V42" s="1"/>
      <c r="W42" s="1" t="s">
        <v>65</v>
      </c>
      <c r="X42" s="1"/>
      <c r="Y42" s="1"/>
      <c r="Z42" s="1"/>
      <c r="AA42" s="1"/>
      <c r="AB42" s="1"/>
      <c r="AC42" s="1" t="s">
        <v>65</v>
      </c>
      <c r="AD42" s="1" t="s">
        <v>65</v>
      </c>
      <c r="AE42" s="1"/>
      <c r="AF42" s="1" t="s">
        <v>65</v>
      </c>
      <c r="AG42" s="1" t="s">
        <v>1215</v>
      </c>
      <c r="AH42" s="1"/>
      <c r="AI42" s="1"/>
      <c r="AJ42" s="1"/>
      <c r="AK42" s="1"/>
      <c r="AL42" s="1"/>
      <c r="AM42" s="1"/>
      <c r="AN42" s="1"/>
    </row>
    <row r="43">
      <c r="A43" s="1" t="s">
        <v>1230</v>
      </c>
      <c r="B43" s="1" t="s">
        <v>1230</v>
      </c>
      <c r="C43" s="4">
        <v>45501.630902777775</v>
      </c>
      <c r="D43" s="5">
        <v>1.72217931E9</v>
      </c>
      <c r="E43" s="7" t="s">
        <v>1231</v>
      </c>
      <c r="F43" s="1" t="s">
        <v>1236</v>
      </c>
      <c r="G43" s="1" t="s">
        <v>635</v>
      </c>
      <c r="H43" s="1" t="s">
        <v>636</v>
      </c>
      <c r="I43" s="5">
        <v>3.33054975E8</v>
      </c>
      <c r="J43" s="7" t="s">
        <v>637</v>
      </c>
      <c r="K43" s="7" t="s">
        <v>643</v>
      </c>
      <c r="L43" s="9" t="b">
        <v>0</v>
      </c>
      <c r="M43" s="1" t="s">
        <v>67</v>
      </c>
      <c r="N43" s="1" t="s">
        <v>64</v>
      </c>
      <c r="O43" s="1" t="s">
        <v>65</v>
      </c>
      <c r="P43" s="5">
        <v>0.0</v>
      </c>
      <c r="Q43" s="5">
        <v>0.0</v>
      </c>
      <c r="R43" s="5">
        <v>1.0</v>
      </c>
      <c r="S43" s="5">
        <v>0.0</v>
      </c>
      <c r="T43" s="5">
        <v>20.0</v>
      </c>
      <c r="U43" s="1" t="s">
        <v>65</v>
      </c>
      <c r="V43" s="1"/>
      <c r="W43" s="1" t="s">
        <v>71</v>
      </c>
      <c r="X43" s="1" t="s">
        <v>1238</v>
      </c>
      <c r="Y43" s="1" t="s">
        <v>1239</v>
      </c>
      <c r="Z43" s="1" t="s">
        <v>1240</v>
      </c>
      <c r="AA43" s="1"/>
      <c r="AB43" s="1"/>
      <c r="AC43" s="1" t="s">
        <v>65</v>
      </c>
      <c r="AD43" s="1" t="s">
        <v>65</v>
      </c>
      <c r="AE43" s="1"/>
      <c r="AF43" s="1" t="s">
        <v>65</v>
      </c>
      <c r="AG43" s="1" t="s">
        <v>1215</v>
      </c>
      <c r="AH43" s="1"/>
      <c r="AI43" s="1"/>
      <c r="AJ43" s="1"/>
      <c r="AK43" s="1"/>
      <c r="AL43" s="1"/>
      <c r="AM43" s="1"/>
      <c r="AN43" s="1"/>
    </row>
    <row r="44" hidden="1">
      <c r="A44" s="1" t="s">
        <v>1244</v>
      </c>
      <c r="B44" s="1" t="s">
        <v>1244</v>
      </c>
      <c r="C44" s="4">
        <v>45496.862974537034</v>
      </c>
      <c r="D44" s="5">
        <v>1.721767361E9</v>
      </c>
      <c r="E44" s="7" t="s">
        <v>1248</v>
      </c>
      <c r="F44" s="1" t="s">
        <v>1252</v>
      </c>
      <c r="G44" s="1" t="s">
        <v>1253</v>
      </c>
      <c r="H44" s="1" t="s">
        <v>1255</v>
      </c>
      <c r="I44" s="1" t="s">
        <v>1256</v>
      </c>
      <c r="J44" s="7" t="s">
        <v>1257</v>
      </c>
      <c r="K44" s="7" t="s">
        <v>1264</v>
      </c>
      <c r="L44" s="9" t="b">
        <v>0</v>
      </c>
      <c r="M44" s="1" t="s">
        <v>85</v>
      </c>
      <c r="N44" s="1" t="s">
        <v>68</v>
      </c>
      <c r="O44" s="1" t="s">
        <v>65</v>
      </c>
      <c r="P44" s="5">
        <v>1.0</v>
      </c>
      <c r="Q44" s="5">
        <v>0.0</v>
      </c>
      <c r="R44" s="5">
        <v>1.0</v>
      </c>
      <c r="S44" s="5">
        <v>0.0</v>
      </c>
      <c r="T44" s="5">
        <v>150.0</v>
      </c>
      <c r="U44" s="1" t="s">
        <v>65</v>
      </c>
      <c r="V44" s="1"/>
      <c r="W44" s="1" t="s">
        <v>65</v>
      </c>
      <c r="X44" s="1"/>
      <c r="Y44" s="1"/>
      <c r="Z44" s="1"/>
      <c r="AA44" s="1"/>
      <c r="AB44" s="1"/>
      <c r="AC44" s="1" t="s">
        <v>65</v>
      </c>
      <c r="AD44" s="1" t="s">
        <v>65</v>
      </c>
      <c r="AE44" s="1"/>
      <c r="AF44" s="1" t="s">
        <v>65</v>
      </c>
      <c r="AG44" s="1" t="s">
        <v>414</v>
      </c>
      <c r="AH44" s="1"/>
      <c r="AI44" s="7" t="s">
        <v>1271</v>
      </c>
      <c r="AJ44" s="1"/>
      <c r="AK44" s="1"/>
      <c r="AL44" s="1"/>
      <c r="AM44" s="1"/>
      <c r="AN44" s="1"/>
    </row>
    <row r="45">
      <c r="A45" s="1" t="s">
        <v>1276</v>
      </c>
      <c r="B45" s="1" t="s">
        <v>1276</v>
      </c>
      <c r="C45" s="4">
        <v>45494.91916666667</v>
      </c>
      <c r="D45" s="5">
        <v>1.721599416E9</v>
      </c>
      <c r="E45" s="7" t="s">
        <v>1279</v>
      </c>
      <c r="F45" s="1" t="s">
        <v>1285</v>
      </c>
      <c r="G45" s="1" t="s">
        <v>635</v>
      </c>
      <c r="H45" s="1" t="s">
        <v>636</v>
      </c>
      <c r="I45" s="5">
        <v>3.33054975E8</v>
      </c>
      <c r="J45" s="7" t="s">
        <v>637</v>
      </c>
      <c r="K45" s="7" t="s">
        <v>643</v>
      </c>
      <c r="L45" s="9" t="b">
        <v>0</v>
      </c>
      <c r="M45" s="1" t="s">
        <v>67</v>
      </c>
      <c r="N45" s="1" t="s">
        <v>64</v>
      </c>
      <c r="O45" s="1" t="s">
        <v>65</v>
      </c>
      <c r="P45" s="5">
        <v>0.0</v>
      </c>
      <c r="Q45" s="5">
        <v>0.0</v>
      </c>
      <c r="R45" s="5">
        <v>0.0</v>
      </c>
      <c r="S45" s="5">
        <v>0.0</v>
      </c>
      <c r="T45" s="5">
        <v>24.0</v>
      </c>
      <c r="U45" s="1" t="s">
        <v>65</v>
      </c>
      <c r="V45" s="1"/>
      <c r="W45" s="1" t="s">
        <v>71</v>
      </c>
      <c r="X45" s="1" t="s">
        <v>1286</v>
      </c>
      <c r="Y45" s="1" t="s">
        <v>892</v>
      </c>
      <c r="Z45" s="7" t="s">
        <v>1288</v>
      </c>
      <c r="AA45" s="7" t="s">
        <v>1289</v>
      </c>
      <c r="AB45" s="1"/>
      <c r="AC45" s="1" t="s">
        <v>65</v>
      </c>
      <c r="AD45" s="1" t="s">
        <v>65</v>
      </c>
      <c r="AE45" s="1"/>
      <c r="AF45" s="1" t="s">
        <v>65</v>
      </c>
      <c r="AG45" s="1" t="s">
        <v>1215</v>
      </c>
      <c r="AH45" s="1"/>
      <c r="AI45" s="1"/>
      <c r="AJ45" s="1"/>
      <c r="AK45" s="1"/>
      <c r="AL45" s="1"/>
      <c r="AM45" s="1"/>
      <c r="AN45" s="1"/>
    </row>
    <row r="46">
      <c r="A46" s="1" t="s">
        <v>1301</v>
      </c>
      <c r="B46" s="1" t="s">
        <v>1301</v>
      </c>
      <c r="C46" s="4">
        <v>45494.256273148145</v>
      </c>
      <c r="D46" s="5">
        <v>1.721542142E9</v>
      </c>
      <c r="E46" s="7" t="s">
        <v>1302</v>
      </c>
      <c r="F46" s="1" t="s">
        <v>1310</v>
      </c>
      <c r="G46" s="1" t="s">
        <v>635</v>
      </c>
      <c r="H46" s="1" t="s">
        <v>636</v>
      </c>
      <c r="I46" s="5">
        <v>3.33054975E8</v>
      </c>
      <c r="J46" s="7" t="s">
        <v>637</v>
      </c>
      <c r="K46" s="7" t="s">
        <v>643</v>
      </c>
      <c r="L46" s="9" t="b">
        <v>0</v>
      </c>
      <c r="M46" s="1" t="s">
        <v>67</v>
      </c>
      <c r="N46" s="1" t="s">
        <v>64</v>
      </c>
      <c r="O46" s="1" t="s">
        <v>65</v>
      </c>
      <c r="P46" s="5">
        <v>0.0</v>
      </c>
      <c r="Q46" s="5">
        <v>0.0</v>
      </c>
      <c r="R46" s="5">
        <v>0.0</v>
      </c>
      <c r="S46" s="5">
        <v>0.0</v>
      </c>
      <c r="T46" s="5">
        <v>34.0</v>
      </c>
      <c r="U46" s="1" t="s">
        <v>65</v>
      </c>
      <c r="V46" s="1"/>
      <c r="W46" s="1" t="s">
        <v>65</v>
      </c>
      <c r="X46" s="1"/>
      <c r="Y46" s="1"/>
      <c r="Z46" s="1"/>
      <c r="AA46" s="1"/>
      <c r="AB46" s="1"/>
      <c r="AC46" s="1" t="s">
        <v>65</v>
      </c>
      <c r="AD46" s="1" t="s">
        <v>65</v>
      </c>
      <c r="AE46" s="1"/>
      <c r="AF46" s="1" t="s">
        <v>65</v>
      </c>
      <c r="AG46" s="1" t="s">
        <v>1215</v>
      </c>
      <c r="AH46" s="1"/>
      <c r="AI46" s="7" t="s">
        <v>1315</v>
      </c>
      <c r="AJ46" s="1"/>
      <c r="AK46" s="1"/>
      <c r="AL46" s="1"/>
      <c r="AM46" s="1"/>
      <c r="AN46" s="1"/>
    </row>
    <row r="47" hidden="1">
      <c r="A47" s="1" t="s">
        <v>1323</v>
      </c>
      <c r="B47" s="1" t="s">
        <v>1323</v>
      </c>
      <c r="C47" s="4">
        <v>45489.59680555556</v>
      </c>
      <c r="D47" s="5">
        <v>1.721139564E9</v>
      </c>
      <c r="E47" s="7" t="s">
        <v>1327</v>
      </c>
      <c r="F47" s="1" t="s">
        <v>1333</v>
      </c>
      <c r="G47" s="1" t="s">
        <v>1334</v>
      </c>
      <c r="H47" s="1" t="s">
        <v>1335</v>
      </c>
      <c r="I47" s="1" t="s">
        <v>1336</v>
      </c>
      <c r="J47" s="7" t="s">
        <v>1337</v>
      </c>
      <c r="K47" s="7" t="s">
        <v>1344</v>
      </c>
      <c r="L47" s="9" t="b">
        <v>0</v>
      </c>
      <c r="M47" s="1" t="s">
        <v>67</v>
      </c>
      <c r="N47" s="1" t="s">
        <v>68</v>
      </c>
      <c r="O47" s="1" t="s">
        <v>65</v>
      </c>
      <c r="P47" s="5">
        <v>0.0</v>
      </c>
      <c r="Q47" s="5">
        <v>0.0</v>
      </c>
      <c r="R47" s="5">
        <v>1.0</v>
      </c>
      <c r="S47" s="5">
        <v>0.0</v>
      </c>
      <c r="T47" s="5">
        <v>31.0</v>
      </c>
      <c r="U47" s="1" t="s">
        <v>65</v>
      </c>
      <c r="V47" s="1"/>
      <c r="W47" s="1" t="s">
        <v>65</v>
      </c>
      <c r="X47" s="1"/>
      <c r="Y47" s="1"/>
      <c r="Z47" s="1"/>
      <c r="AA47" s="1"/>
      <c r="AB47" s="1"/>
      <c r="AC47" s="1" t="s">
        <v>65</v>
      </c>
      <c r="AD47" s="1" t="s">
        <v>65</v>
      </c>
      <c r="AE47" s="1"/>
      <c r="AF47" s="1" t="s">
        <v>65</v>
      </c>
      <c r="AG47" s="1" t="s">
        <v>1348</v>
      </c>
      <c r="AH47" s="7" t="s">
        <v>1349</v>
      </c>
      <c r="AI47" s="7" t="s">
        <v>1353</v>
      </c>
      <c r="AJ47" s="7" t="s">
        <v>1360</v>
      </c>
      <c r="AK47" s="1"/>
      <c r="AL47" s="1"/>
      <c r="AM47" s="1"/>
      <c r="AN47" s="1"/>
    </row>
    <row r="48" hidden="1">
      <c r="A48" s="1" t="s">
        <v>1368</v>
      </c>
      <c r="B48" s="1" t="s">
        <v>1368</v>
      </c>
      <c r="C48" s="4">
        <v>45489.59644675926</v>
      </c>
      <c r="D48" s="5">
        <v>1.721139533E9</v>
      </c>
      <c r="E48" s="7" t="s">
        <v>1369</v>
      </c>
      <c r="F48" s="1" t="s">
        <v>1371</v>
      </c>
      <c r="G48" s="1" t="s">
        <v>1334</v>
      </c>
      <c r="H48" s="1" t="s">
        <v>1335</v>
      </c>
      <c r="I48" s="1" t="s">
        <v>1336</v>
      </c>
      <c r="J48" s="7" t="s">
        <v>1337</v>
      </c>
      <c r="K48" s="7" t="s">
        <v>1344</v>
      </c>
      <c r="L48" s="9" t="b">
        <v>0</v>
      </c>
      <c r="M48" s="1" t="s">
        <v>67</v>
      </c>
      <c r="N48" s="1" t="s">
        <v>68</v>
      </c>
      <c r="O48" s="1" t="s">
        <v>65</v>
      </c>
      <c r="P48" s="5">
        <v>0.0</v>
      </c>
      <c r="Q48" s="5">
        <v>0.0</v>
      </c>
      <c r="R48" s="5">
        <v>1.0</v>
      </c>
      <c r="S48" s="5">
        <v>0.0</v>
      </c>
      <c r="T48" s="5">
        <v>29.0</v>
      </c>
      <c r="U48" s="1" t="s">
        <v>65</v>
      </c>
      <c r="V48" s="1"/>
      <c r="W48" s="1" t="s">
        <v>65</v>
      </c>
      <c r="X48" s="1"/>
      <c r="Y48" s="1"/>
      <c r="Z48" s="1"/>
      <c r="AA48" s="1"/>
      <c r="AB48" s="1"/>
      <c r="AC48" s="1" t="s">
        <v>65</v>
      </c>
      <c r="AD48" s="1" t="s">
        <v>65</v>
      </c>
      <c r="AE48" s="1"/>
      <c r="AF48" s="1" t="s">
        <v>65</v>
      </c>
      <c r="AG48" s="1" t="s">
        <v>1348</v>
      </c>
      <c r="AH48" s="7" t="s">
        <v>1349</v>
      </c>
      <c r="AI48" s="7" t="s">
        <v>1376</v>
      </c>
      <c r="AJ48" s="7" t="s">
        <v>1381</v>
      </c>
      <c r="AK48" s="1"/>
      <c r="AL48" s="1"/>
      <c r="AM48" s="1"/>
      <c r="AN48" s="1"/>
    </row>
    <row r="49" hidden="1">
      <c r="A49" s="1" t="s">
        <v>1383</v>
      </c>
      <c r="B49" s="1" t="s">
        <v>1383</v>
      </c>
      <c r="C49" s="4">
        <v>45488.88277777778</v>
      </c>
      <c r="D49" s="5">
        <v>1.721077872E9</v>
      </c>
      <c r="E49" s="7" t="s">
        <v>1384</v>
      </c>
      <c r="F49" s="1" t="s">
        <v>1386</v>
      </c>
      <c r="G49" s="1" t="s">
        <v>1334</v>
      </c>
      <c r="H49" s="1" t="s">
        <v>1335</v>
      </c>
      <c r="I49" s="1" t="s">
        <v>1336</v>
      </c>
      <c r="J49" s="7" t="s">
        <v>1337</v>
      </c>
      <c r="K49" s="7" t="s">
        <v>1344</v>
      </c>
      <c r="L49" s="9" t="b">
        <v>0</v>
      </c>
      <c r="M49" s="1" t="s">
        <v>67</v>
      </c>
      <c r="N49" s="1" t="s">
        <v>68</v>
      </c>
      <c r="O49" s="1" t="s">
        <v>65</v>
      </c>
      <c r="P49" s="5">
        <v>0.0</v>
      </c>
      <c r="Q49" s="5">
        <v>1.0</v>
      </c>
      <c r="R49" s="5">
        <v>1.0</v>
      </c>
      <c r="S49" s="5">
        <v>0.0</v>
      </c>
      <c r="T49" s="5">
        <v>42.0</v>
      </c>
      <c r="U49" s="1" t="s">
        <v>65</v>
      </c>
      <c r="V49" s="1"/>
      <c r="W49" s="1" t="s">
        <v>65</v>
      </c>
      <c r="X49" s="1"/>
      <c r="Y49" s="1"/>
      <c r="Z49" s="1"/>
      <c r="AA49" s="1"/>
      <c r="AB49" s="1"/>
      <c r="AC49" s="1" t="s">
        <v>65</v>
      </c>
      <c r="AD49" s="1" t="s">
        <v>65</v>
      </c>
      <c r="AE49" s="1"/>
      <c r="AF49" s="1" t="s">
        <v>65</v>
      </c>
      <c r="AG49" s="1" t="s">
        <v>1348</v>
      </c>
      <c r="AH49" s="7" t="s">
        <v>1388</v>
      </c>
      <c r="AI49" s="7" t="s">
        <v>1390</v>
      </c>
      <c r="AJ49" s="7" t="s">
        <v>1391</v>
      </c>
      <c r="AK49" s="1"/>
      <c r="AL49" s="1"/>
      <c r="AM49" s="1"/>
      <c r="AN49" s="1"/>
    </row>
    <row r="50">
      <c r="A50" s="1" t="s">
        <v>1394</v>
      </c>
      <c r="B50" s="1" t="s">
        <v>1394</v>
      </c>
      <c r="C50" s="4">
        <v>45486.69876157407</v>
      </c>
      <c r="D50" s="5">
        <v>1.720889173E9</v>
      </c>
      <c r="E50" s="7" t="s">
        <v>1396</v>
      </c>
      <c r="F50" s="1" t="s">
        <v>1400</v>
      </c>
      <c r="G50" s="1" t="s">
        <v>1401</v>
      </c>
      <c r="H50" s="1" t="s">
        <v>1402</v>
      </c>
      <c r="I50" s="1" t="s">
        <v>1403</v>
      </c>
      <c r="J50" s="7" t="s">
        <v>1404</v>
      </c>
      <c r="K50" s="7" t="s">
        <v>1406</v>
      </c>
      <c r="L50" s="9" t="b">
        <v>0</v>
      </c>
      <c r="M50" s="1" t="s">
        <v>66</v>
      </c>
      <c r="N50" s="1" t="s">
        <v>64</v>
      </c>
      <c r="O50" s="1" t="s">
        <v>65</v>
      </c>
      <c r="P50" s="5">
        <v>0.0</v>
      </c>
      <c r="Q50" s="5">
        <v>0.0</v>
      </c>
      <c r="R50" s="5">
        <v>1.0</v>
      </c>
      <c r="S50" s="5">
        <v>0.0</v>
      </c>
      <c r="T50" s="5">
        <v>91.0</v>
      </c>
      <c r="U50" s="1" t="s">
        <v>65</v>
      </c>
      <c r="V50" s="1"/>
      <c r="W50" s="1" t="s">
        <v>65</v>
      </c>
      <c r="X50" s="1"/>
      <c r="Y50" s="1"/>
      <c r="Z50" s="1"/>
      <c r="AA50" s="1"/>
      <c r="AB50" s="1"/>
      <c r="AC50" s="1" t="s">
        <v>65</v>
      </c>
      <c r="AD50" s="1" t="s">
        <v>65</v>
      </c>
      <c r="AE50" s="1"/>
      <c r="AF50" s="1" t="s">
        <v>65</v>
      </c>
      <c r="AG50" s="1" t="s">
        <v>1413</v>
      </c>
      <c r="AH50" s="1"/>
      <c r="AI50" s="7" t="s">
        <v>1416</v>
      </c>
      <c r="AJ50" s="1"/>
      <c r="AK50" s="1"/>
      <c r="AL50" s="1"/>
      <c r="AM50" s="1"/>
      <c r="AN50" s="1"/>
    </row>
    <row r="51" hidden="1">
      <c r="A51" s="1" t="s">
        <v>1422</v>
      </c>
      <c r="B51" s="1" t="s">
        <v>1422</v>
      </c>
      <c r="C51" s="4">
        <v>45464.12221064815</v>
      </c>
      <c r="D51" s="5">
        <v>1.718938559E9</v>
      </c>
      <c r="E51" s="7" t="s">
        <v>1423</v>
      </c>
      <c r="F51" s="1" t="s">
        <v>1424</v>
      </c>
      <c r="G51" s="1" t="s">
        <v>1425</v>
      </c>
      <c r="H51" s="1" t="s">
        <v>1427</v>
      </c>
      <c r="I51" s="5">
        <v>2.94078984E8</v>
      </c>
      <c r="J51" s="7" t="s">
        <v>1428</v>
      </c>
      <c r="K51" s="7" t="s">
        <v>1432</v>
      </c>
      <c r="L51" s="9" t="b">
        <v>0</v>
      </c>
      <c r="M51" s="1" t="s">
        <v>66</v>
      </c>
      <c r="N51" s="1" t="s">
        <v>824</v>
      </c>
      <c r="O51" s="1" t="s">
        <v>65</v>
      </c>
      <c r="P51" s="5">
        <v>0.0</v>
      </c>
      <c r="Q51" s="5">
        <v>0.0</v>
      </c>
      <c r="R51" s="5">
        <v>0.0</v>
      </c>
      <c r="S51" s="5">
        <v>0.0</v>
      </c>
      <c r="T51" s="5">
        <v>84.0</v>
      </c>
      <c r="U51" s="1" t="s">
        <v>65</v>
      </c>
      <c r="V51" s="1"/>
      <c r="W51" s="1" t="s">
        <v>65</v>
      </c>
      <c r="X51" s="1"/>
      <c r="Y51" s="1"/>
      <c r="Z51" s="1"/>
      <c r="AA51" s="1"/>
      <c r="AB51" s="1"/>
      <c r="AC51" s="1" t="s">
        <v>65</v>
      </c>
      <c r="AD51" s="1" t="s">
        <v>65</v>
      </c>
      <c r="AE51" s="1"/>
      <c r="AF51" s="1" t="s">
        <v>65</v>
      </c>
      <c r="AG51" s="1" t="s">
        <v>1442</v>
      </c>
      <c r="AH51" s="1"/>
      <c r="AI51" s="7" t="s">
        <v>1443</v>
      </c>
      <c r="AJ51" s="1"/>
      <c r="AK51" s="1"/>
      <c r="AL51" s="1"/>
      <c r="AM51" s="1"/>
      <c r="AN51" s="1"/>
    </row>
    <row r="52" hidden="1">
      <c r="A52" s="1" t="s">
        <v>1446</v>
      </c>
      <c r="B52" s="1" t="s">
        <v>1446</v>
      </c>
      <c r="C52" s="4">
        <v>45449.81736111111</v>
      </c>
      <c r="D52" s="5">
        <v>1.71770262E9</v>
      </c>
      <c r="E52" s="7" t="s">
        <v>1447</v>
      </c>
      <c r="F52" s="1" t="s">
        <v>1456</v>
      </c>
      <c r="G52" s="1" t="s">
        <v>1457</v>
      </c>
      <c r="H52" s="1" t="s">
        <v>1458</v>
      </c>
      <c r="I52" s="5">
        <v>2.482901372E9</v>
      </c>
      <c r="J52" s="7" t="s">
        <v>1459</v>
      </c>
      <c r="K52" s="7" t="s">
        <v>1463</v>
      </c>
      <c r="L52" s="9" t="b">
        <v>0</v>
      </c>
      <c r="M52" s="1" t="s">
        <v>66</v>
      </c>
      <c r="N52" s="1" t="s">
        <v>68</v>
      </c>
      <c r="O52" s="1" t="s">
        <v>65</v>
      </c>
      <c r="P52" s="5">
        <v>0.0</v>
      </c>
      <c r="Q52" s="5">
        <v>0.0</v>
      </c>
      <c r="R52" s="5">
        <v>0.0</v>
      </c>
      <c r="S52" s="5">
        <v>0.0</v>
      </c>
      <c r="T52" s="5">
        <v>8.0</v>
      </c>
      <c r="U52" s="1" t="s">
        <v>65</v>
      </c>
      <c r="V52" s="1"/>
      <c r="W52" s="1" t="s">
        <v>65</v>
      </c>
      <c r="X52" s="1"/>
      <c r="Y52" s="1"/>
      <c r="Z52" s="1"/>
      <c r="AA52" s="1"/>
      <c r="AB52" s="1"/>
      <c r="AC52" s="1" t="s">
        <v>65</v>
      </c>
      <c r="AD52" s="1" t="s">
        <v>65</v>
      </c>
      <c r="AE52" s="1"/>
      <c r="AF52" s="1" t="s">
        <v>65</v>
      </c>
      <c r="AG52" s="1" t="s">
        <v>1466</v>
      </c>
      <c r="AH52" s="1"/>
      <c r="AI52" s="7" t="s">
        <v>1467</v>
      </c>
      <c r="AJ52" s="1"/>
      <c r="AK52" s="1"/>
      <c r="AL52" s="1"/>
      <c r="AM52" s="1"/>
      <c r="AN52" s="1"/>
    </row>
    <row r="53" hidden="1">
      <c r="A53" s="1" t="s">
        <v>1470</v>
      </c>
      <c r="B53" s="1" t="s">
        <v>1470</v>
      </c>
      <c r="C53" s="4">
        <v>45448.80763888889</v>
      </c>
      <c r="D53" s="5">
        <v>1.71761538E9</v>
      </c>
      <c r="E53" s="7" t="s">
        <v>1473</v>
      </c>
      <c r="F53" s="1" t="s">
        <v>1480</v>
      </c>
      <c r="G53" s="1" t="s">
        <v>1481</v>
      </c>
      <c r="H53" s="1" t="s">
        <v>1482</v>
      </c>
      <c r="I53" s="5">
        <v>2.478776394E9</v>
      </c>
      <c r="J53" s="7" t="s">
        <v>1483</v>
      </c>
      <c r="K53" s="7" t="s">
        <v>1486</v>
      </c>
      <c r="L53" s="9" t="b">
        <v>0</v>
      </c>
      <c r="M53" s="1" t="s">
        <v>66</v>
      </c>
      <c r="N53" s="1" t="s">
        <v>68</v>
      </c>
      <c r="O53" s="1" t="s">
        <v>65</v>
      </c>
      <c r="P53" s="5">
        <v>0.0</v>
      </c>
      <c r="Q53" s="5">
        <v>0.0</v>
      </c>
      <c r="R53" s="5">
        <v>0.0</v>
      </c>
      <c r="S53" s="5">
        <v>0.0</v>
      </c>
      <c r="T53" s="5">
        <v>9.0</v>
      </c>
      <c r="U53" s="1" t="s">
        <v>65</v>
      </c>
      <c r="V53" s="1"/>
      <c r="W53" s="1" t="s">
        <v>65</v>
      </c>
      <c r="X53" s="1"/>
      <c r="Y53" s="1"/>
      <c r="Z53" s="1"/>
      <c r="AA53" s="1"/>
      <c r="AB53" s="1"/>
      <c r="AC53" s="1" t="s">
        <v>65</v>
      </c>
      <c r="AD53" s="1" t="s">
        <v>65</v>
      </c>
      <c r="AE53" s="1"/>
      <c r="AF53" s="1" t="s">
        <v>65</v>
      </c>
      <c r="AG53" s="1" t="s">
        <v>1466</v>
      </c>
      <c r="AH53" s="1"/>
      <c r="AI53" s="7" t="s">
        <v>1497</v>
      </c>
      <c r="AJ53" s="1"/>
      <c r="AK53" s="1"/>
      <c r="AL53" s="1"/>
      <c r="AM53" s="1"/>
      <c r="AN53" s="1"/>
    </row>
    <row r="54">
      <c r="A54" s="1" t="s">
        <v>1501</v>
      </c>
      <c r="B54" s="1" t="s">
        <v>1501</v>
      </c>
      <c r="C54" s="4">
        <v>45448.708958333336</v>
      </c>
      <c r="D54" s="5">
        <v>1.717606854E9</v>
      </c>
      <c r="E54" s="7" t="s">
        <v>1502</v>
      </c>
      <c r="F54" s="1" t="s">
        <v>1509</v>
      </c>
      <c r="G54" s="1" t="s">
        <v>1510</v>
      </c>
      <c r="H54" s="1" t="s">
        <v>1511</v>
      </c>
      <c r="I54" s="1" t="s">
        <v>1513</v>
      </c>
      <c r="J54" s="7" t="s">
        <v>1514</v>
      </c>
      <c r="K54" s="7" t="s">
        <v>1519</v>
      </c>
      <c r="L54" s="9" t="b">
        <v>0</v>
      </c>
      <c r="M54" s="1" t="s">
        <v>85</v>
      </c>
      <c r="N54" s="1" t="s">
        <v>64</v>
      </c>
      <c r="O54" s="1" t="s">
        <v>65</v>
      </c>
      <c r="P54" s="5">
        <v>0.0</v>
      </c>
      <c r="Q54" s="5">
        <v>0.0</v>
      </c>
      <c r="R54" s="5">
        <v>0.0</v>
      </c>
      <c r="S54" s="5">
        <v>0.0</v>
      </c>
      <c r="T54" s="5">
        <v>96.0</v>
      </c>
      <c r="U54" s="1" t="s">
        <v>65</v>
      </c>
      <c r="V54" s="1"/>
      <c r="W54" s="1" t="s">
        <v>65</v>
      </c>
      <c r="X54" s="1"/>
      <c r="Y54" s="1"/>
      <c r="Z54" s="1"/>
      <c r="AA54" s="1"/>
      <c r="AB54" s="1"/>
      <c r="AC54" s="1" t="s">
        <v>65</v>
      </c>
      <c r="AD54" s="1" t="s">
        <v>65</v>
      </c>
      <c r="AE54" s="1"/>
      <c r="AF54" s="1" t="s">
        <v>65</v>
      </c>
      <c r="AG54" s="1" t="s">
        <v>1530</v>
      </c>
      <c r="AH54" s="1"/>
      <c r="AI54" s="1"/>
      <c r="AJ54" s="1"/>
      <c r="AK54" s="1"/>
      <c r="AL54" s="1"/>
      <c r="AM54" s="1"/>
      <c r="AN54" s="1"/>
    </row>
    <row r="55">
      <c r="A55" s="1" t="s">
        <v>1537</v>
      </c>
      <c r="B55" s="1" t="s">
        <v>1537</v>
      </c>
      <c r="C55" s="4">
        <v>45448.70806712963</v>
      </c>
      <c r="D55" s="5">
        <v>1.717606777E9</v>
      </c>
      <c r="E55" s="7" t="s">
        <v>1540</v>
      </c>
      <c r="F55" s="1" t="s">
        <v>1551</v>
      </c>
      <c r="G55" s="1" t="s">
        <v>1510</v>
      </c>
      <c r="H55" s="1" t="s">
        <v>1511</v>
      </c>
      <c r="I55" s="1" t="s">
        <v>1513</v>
      </c>
      <c r="J55" s="7" t="s">
        <v>1514</v>
      </c>
      <c r="K55" s="7" t="s">
        <v>1519</v>
      </c>
      <c r="L55" s="9" t="b">
        <v>0</v>
      </c>
      <c r="M55" s="1" t="s">
        <v>85</v>
      </c>
      <c r="N55" s="1" t="s">
        <v>64</v>
      </c>
      <c r="O55" s="1" t="s">
        <v>65</v>
      </c>
      <c r="P55" s="5">
        <v>0.0</v>
      </c>
      <c r="Q55" s="5">
        <v>0.0</v>
      </c>
      <c r="R55" s="5">
        <v>0.0</v>
      </c>
      <c r="S55" s="5">
        <v>0.0</v>
      </c>
      <c r="T55" s="5">
        <v>99.0</v>
      </c>
      <c r="U55" s="1" t="s">
        <v>65</v>
      </c>
      <c r="V55" s="1"/>
      <c r="W55" s="1" t="s">
        <v>65</v>
      </c>
      <c r="X55" s="1"/>
      <c r="Y55" s="1"/>
      <c r="Z55" s="1"/>
      <c r="AA55" s="1"/>
      <c r="AB55" s="1"/>
      <c r="AC55" s="1" t="s">
        <v>65</v>
      </c>
      <c r="AD55" s="1" t="s">
        <v>65</v>
      </c>
      <c r="AE55" s="1"/>
      <c r="AF55" s="1" t="s">
        <v>65</v>
      </c>
      <c r="AG55" s="1" t="s">
        <v>1530</v>
      </c>
      <c r="AH55" s="1"/>
      <c r="AI55" s="1"/>
      <c r="AJ55" s="1"/>
      <c r="AK55" s="1"/>
      <c r="AL55" s="1"/>
      <c r="AM55" s="1"/>
      <c r="AN55" s="1"/>
    </row>
    <row r="56">
      <c r="A56" s="1" t="s">
        <v>1562</v>
      </c>
      <c r="B56" s="1" t="s">
        <v>1562</v>
      </c>
      <c r="C56" s="4">
        <v>45448.70755787037</v>
      </c>
      <c r="D56" s="5">
        <v>1.717606733E9</v>
      </c>
      <c r="E56" s="7" t="s">
        <v>1563</v>
      </c>
      <c r="F56" s="1" t="s">
        <v>1568</v>
      </c>
      <c r="G56" s="1" t="s">
        <v>1510</v>
      </c>
      <c r="H56" s="1" t="s">
        <v>1511</v>
      </c>
      <c r="I56" s="1" t="s">
        <v>1513</v>
      </c>
      <c r="J56" s="7" t="s">
        <v>1514</v>
      </c>
      <c r="K56" s="7" t="s">
        <v>1519</v>
      </c>
      <c r="L56" s="9" t="b">
        <v>0</v>
      </c>
      <c r="M56" s="1" t="s">
        <v>85</v>
      </c>
      <c r="N56" s="1" t="s">
        <v>64</v>
      </c>
      <c r="O56" s="1" t="s">
        <v>65</v>
      </c>
      <c r="P56" s="5">
        <v>0.0</v>
      </c>
      <c r="Q56" s="5">
        <v>0.0</v>
      </c>
      <c r="R56" s="5">
        <v>1.0</v>
      </c>
      <c r="S56" s="5">
        <v>0.0</v>
      </c>
      <c r="T56" s="5">
        <v>110.0</v>
      </c>
      <c r="U56" s="1" t="s">
        <v>65</v>
      </c>
      <c r="V56" s="1"/>
      <c r="W56" s="1" t="s">
        <v>65</v>
      </c>
      <c r="X56" s="1"/>
      <c r="Y56" s="1"/>
      <c r="Z56" s="1"/>
      <c r="AA56" s="1"/>
      <c r="AB56" s="1"/>
      <c r="AC56" s="1" t="s">
        <v>65</v>
      </c>
      <c r="AD56" s="1" t="s">
        <v>65</v>
      </c>
      <c r="AE56" s="1"/>
      <c r="AF56" s="1" t="s">
        <v>65</v>
      </c>
      <c r="AG56" s="1" t="s">
        <v>1530</v>
      </c>
      <c r="AH56" s="1"/>
      <c r="AI56" s="1"/>
      <c r="AJ56" s="1"/>
      <c r="AK56" s="1"/>
      <c r="AL56" s="1"/>
      <c r="AM56" s="1"/>
      <c r="AN56" s="1"/>
    </row>
    <row r="57">
      <c r="A57" s="1" t="s">
        <v>1573</v>
      </c>
      <c r="B57" s="1" t="s">
        <v>1573</v>
      </c>
      <c r="C57" s="4">
        <v>45447.94179398148</v>
      </c>
      <c r="D57" s="5">
        <v>1.717540571E9</v>
      </c>
      <c r="E57" s="7" t="s">
        <v>1576</v>
      </c>
      <c r="F57" s="1" t="s">
        <v>1578</v>
      </c>
      <c r="G57" s="1" t="s">
        <v>1510</v>
      </c>
      <c r="H57" s="1" t="s">
        <v>1511</v>
      </c>
      <c r="I57" s="1" t="s">
        <v>1513</v>
      </c>
      <c r="J57" s="7" t="s">
        <v>1514</v>
      </c>
      <c r="K57" s="7" t="s">
        <v>1519</v>
      </c>
      <c r="L57" s="9" t="b">
        <v>0</v>
      </c>
      <c r="M57" s="1" t="s">
        <v>85</v>
      </c>
      <c r="N57" s="1" t="s">
        <v>64</v>
      </c>
      <c r="O57" s="1" t="s">
        <v>65</v>
      </c>
      <c r="P57" s="5">
        <v>0.0</v>
      </c>
      <c r="Q57" s="5">
        <v>0.0</v>
      </c>
      <c r="R57" s="5">
        <v>1.0</v>
      </c>
      <c r="S57" s="5">
        <v>0.0</v>
      </c>
      <c r="T57" s="5">
        <v>125.0</v>
      </c>
      <c r="U57" s="1" t="s">
        <v>65</v>
      </c>
      <c r="V57" s="1"/>
      <c r="W57" s="1" t="s">
        <v>65</v>
      </c>
      <c r="X57" s="1"/>
      <c r="Y57" s="1"/>
      <c r="Z57" s="1"/>
      <c r="AA57" s="1"/>
      <c r="AB57" s="1"/>
      <c r="AC57" s="1" t="s">
        <v>65</v>
      </c>
      <c r="AD57" s="1" t="s">
        <v>65</v>
      </c>
      <c r="AE57" s="1"/>
      <c r="AF57" s="1" t="s">
        <v>65</v>
      </c>
      <c r="AG57" s="1" t="s">
        <v>1580</v>
      </c>
      <c r="AH57" s="1"/>
      <c r="AI57" s="1"/>
      <c r="AJ57" s="1"/>
      <c r="AK57" s="1"/>
      <c r="AL57" s="1"/>
      <c r="AM57" s="1"/>
      <c r="AN57" s="1"/>
    </row>
    <row r="58" hidden="1">
      <c r="A58" s="1" t="s">
        <v>1581</v>
      </c>
      <c r="B58" s="1" t="s">
        <v>1581</v>
      </c>
      <c r="C58" s="4">
        <v>45447.82152777778</v>
      </c>
      <c r="D58" s="5">
        <v>1.71753018E9</v>
      </c>
      <c r="E58" s="7" t="s">
        <v>1584</v>
      </c>
      <c r="F58" s="1" t="s">
        <v>1586</v>
      </c>
      <c r="G58" s="1" t="s">
        <v>1587</v>
      </c>
      <c r="H58" s="1" t="s">
        <v>1588</v>
      </c>
      <c r="I58" s="5">
        <v>2.483025594E9</v>
      </c>
      <c r="J58" s="7" t="s">
        <v>1589</v>
      </c>
      <c r="K58" s="7" t="s">
        <v>1595</v>
      </c>
      <c r="L58" s="9" t="b">
        <v>0</v>
      </c>
      <c r="M58" s="1" t="s">
        <v>66</v>
      </c>
      <c r="N58" s="1" t="s">
        <v>68</v>
      </c>
      <c r="O58" s="1" t="s">
        <v>65</v>
      </c>
      <c r="P58" s="5">
        <v>0.0</v>
      </c>
      <c r="Q58" s="5">
        <v>0.0</v>
      </c>
      <c r="R58" s="5">
        <v>0.0</v>
      </c>
      <c r="S58" s="5">
        <v>0.0</v>
      </c>
      <c r="T58" s="5">
        <v>5.0</v>
      </c>
      <c r="U58" s="1" t="s">
        <v>65</v>
      </c>
      <c r="V58" s="1"/>
      <c r="W58" s="1" t="s">
        <v>65</v>
      </c>
      <c r="X58" s="1"/>
      <c r="Y58" s="1"/>
      <c r="Z58" s="1"/>
      <c r="AA58" s="1"/>
      <c r="AB58" s="1"/>
      <c r="AC58" s="1" t="s">
        <v>65</v>
      </c>
      <c r="AD58" s="1" t="s">
        <v>65</v>
      </c>
      <c r="AE58" s="1"/>
      <c r="AF58" s="1" t="s">
        <v>65</v>
      </c>
      <c r="AG58" s="1" t="s">
        <v>1602</v>
      </c>
      <c r="AH58" s="1"/>
      <c r="AI58" s="7" t="s">
        <v>1604</v>
      </c>
      <c r="AJ58" s="1"/>
      <c r="AK58" s="1"/>
      <c r="AL58" s="1"/>
      <c r="AM58" s="1"/>
      <c r="AN58" s="1"/>
    </row>
    <row r="59">
      <c r="A59" s="1" t="s">
        <v>1606</v>
      </c>
      <c r="B59" s="1" t="s">
        <v>1606</v>
      </c>
      <c r="C59" s="4">
        <v>45447.687939814816</v>
      </c>
      <c r="D59" s="5">
        <v>1.717518638E9</v>
      </c>
      <c r="E59" s="7" t="s">
        <v>1607</v>
      </c>
      <c r="F59" s="1" t="s">
        <v>1612</v>
      </c>
      <c r="G59" s="1" t="s">
        <v>1613</v>
      </c>
      <c r="H59" s="1" t="s">
        <v>1614</v>
      </c>
      <c r="I59" s="5">
        <v>3.37569038E8</v>
      </c>
      <c r="J59" s="7" t="s">
        <v>1615</v>
      </c>
      <c r="K59" s="7" t="s">
        <v>1622</v>
      </c>
      <c r="L59" s="9" t="b">
        <v>0</v>
      </c>
      <c r="M59" s="1" t="s">
        <v>967</v>
      </c>
      <c r="N59" s="1" t="s">
        <v>64</v>
      </c>
      <c r="O59" s="1" t="s">
        <v>65</v>
      </c>
      <c r="P59" s="5">
        <v>0.0</v>
      </c>
      <c r="Q59" s="5">
        <v>0.0</v>
      </c>
      <c r="R59" s="5">
        <v>2.0</v>
      </c>
      <c r="S59" s="5">
        <v>0.0</v>
      </c>
      <c r="T59" s="5">
        <v>60.0</v>
      </c>
      <c r="U59" s="1" t="s">
        <v>65</v>
      </c>
      <c r="V59" s="1"/>
      <c r="W59" s="1" t="s">
        <v>65</v>
      </c>
      <c r="X59" s="1"/>
      <c r="Y59" s="1"/>
      <c r="Z59" s="1"/>
      <c r="AA59" s="1"/>
      <c r="AB59" s="1"/>
      <c r="AC59" s="1" t="s">
        <v>65</v>
      </c>
      <c r="AD59" s="1" t="s">
        <v>65</v>
      </c>
      <c r="AE59" s="1"/>
      <c r="AF59" s="1" t="s">
        <v>65</v>
      </c>
      <c r="AG59" s="1" t="s">
        <v>906</v>
      </c>
      <c r="AH59" s="7" t="s">
        <v>1629</v>
      </c>
      <c r="AI59" s="1"/>
      <c r="AJ59" s="1"/>
      <c r="AK59" s="1"/>
      <c r="AL59" s="1"/>
      <c r="AM59" s="1"/>
      <c r="AN59" s="1"/>
    </row>
    <row r="60">
      <c r="A60" s="1" t="s">
        <v>1634</v>
      </c>
      <c r="B60" s="1" t="s">
        <v>1634</v>
      </c>
      <c r="C60" s="4">
        <v>45441.59643518519</v>
      </c>
      <c r="D60" s="5">
        <v>1.716992332E9</v>
      </c>
      <c r="E60" s="7" t="s">
        <v>1636</v>
      </c>
      <c r="F60" s="1" t="s">
        <v>1639</v>
      </c>
      <c r="G60" s="1" t="s">
        <v>1641</v>
      </c>
      <c r="H60" s="1" t="s">
        <v>1641</v>
      </c>
      <c r="I60" s="5">
        <v>4.28873334E8</v>
      </c>
      <c r="J60" s="7" t="s">
        <v>1643</v>
      </c>
      <c r="K60" s="7" t="s">
        <v>1649</v>
      </c>
      <c r="L60" s="9" t="b">
        <v>0</v>
      </c>
      <c r="M60" s="1" t="s">
        <v>66</v>
      </c>
      <c r="N60" s="1" t="s">
        <v>64</v>
      </c>
      <c r="O60" s="1" t="s">
        <v>65</v>
      </c>
      <c r="P60" s="5">
        <v>0.0</v>
      </c>
      <c r="Q60" s="5">
        <v>0.0</v>
      </c>
      <c r="R60" s="5">
        <v>6.0</v>
      </c>
      <c r="S60" s="5">
        <v>0.0</v>
      </c>
      <c r="T60" s="5">
        <v>90.0</v>
      </c>
      <c r="U60" s="1" t="s">
        <v>65</v>
      </c>
      <c r="V60" s="1"/>
      <c r="W60" s="1" t="s">
        <v>65</v>
      </c>
      <c r="X60" s="1"/>
      <c r="Y60" s="1"/>
      <c r="Z60" s="1"/>
      <c r="AA60" s="1"/>
      <c r="AB60" s="1"/>
      <c r="AC60" s="1" t="s">
        <v>65</v>
      </c>
      <c r="AD60" s="1" t="s">
        <v>65</v>
      </c>
      <c r="AE60" s="1"/>
      <c r="AF60" s="1" t="s">
        <v>65</v>
      </c>
      <c r="AG60" s="1" t="s">
        <v>1661</v>
      </c>
      <c r="AH60" s="7" t="s">
        <v>1664</v>
      </c>
      <c r="AI60" s="1"/>
      <c r="AJ60" s="1"/>
      <c r="AK60" s="1" t="s">
        <v>1613</v>
      </c>
      <c r="AL60" s="1"/>
      <c r="AM60" s="1"/>
      <c r="AN60" s="1"/>
    </row>
    <row r="61">
      <c r="A61" s="1" t="s">
        <v>1676</v>
      </c>
      <c r="B61" s="1" t="s">
        <v>1676</v>
      </c>
      <c r="C61" s="4">
        <v>45440.69474537037</v>
      </c>
      <c r="D61" s="5">
        <v>1.716914426E9</v>
      </c>
      <c r="E61" s="7" t="s">
        <v>1680</v>
      </c>
      <c r="F61" s="1" t="s">
        <v>1682</v>
      </c>
      <c r="G61" s="1" t="s">
        <v>1684</v>
      </c>
      <c r="H61" s="1" t="s">
        <v>1686</v>
      </c>
      <c r="I61" s="1" t="s">
        <v>1688</v>
      </c>
      <c r="J61" s="7" t="s">
        <v>1691</v>
      </c>
      <c r="K61" s="1"/>
      <c r="L61" s="9" t="b">
        <v>0</v>
      </c>
      <c r="M61" s="1" t="s">
        <v>67</v>
      </c>
      <c r="N61" s="1" t="s">
        <v>64</v>
      </c>
      <c r="O61" s="1" t="s">
        <v>65</v>
      </c>
      <c r="P61" s="5">
        <v>0.0</v>
      </c>
      <c r="Q61" s="5">
        <v>0.0</v>
      </c>
      <c r="R61" s="5">
        <v>0.0</v>
      </c>
      <c r="S61" s="5">
        <v>0.0</v>
      </c>
      <c r="T61" s="5">
        <v>27.0</v>
      </c>
      <c r="U61" s="1" t="s">
        <v>65</v>
      </c>
      <c r="V61" s="1"/>
      <c r="W61" s="1" t="s">
        <v>65</v>
      </c>
      <c r="X61" s="1"/>
      <c r="Y61" s="1"/>
      <c r="Z61" s="1"/>
      <c r="AA61" s="1"/>
      <c r="AB61" s="1"/>
      <c r="AC61" s="1" t="s">
        <v>65</v>
      </c>
      <c r="AD61" s="1" t="s">
        <v>65</v>
      </c>
      <c r="AE61" s="1"/>
      <c r="AF61" s="1" t="s">
        <v>65</v>
      </c>
      <c r="AG61" s="1" t="s">
        <v>1697</v>
      </c>
      <c r="AH61" s="7" t="s">
        <v>1698</v>
      </c>
      <c r="AI61" s="1"/>
      <c r="AJ61" s="1"/>
      <c r="AK61" s="1"/>
      <c r="AL61" s="1" t="s">
        <v>1704</v>
      </c>
      <c r="AM61" s="1" t="s">
        <v>1705</v>
      </c>
      <c r="AN61" s="1"/>
    </row>
    <row r="62">
      <c r="A62" s="1" t="s">
        <v>1706</v>
      </c>
      <c r="B62" s="1" t="s">
        <v>1706</v>
      </c>
      <c r="C62" s="4">
        <v>45404.519224537034</v>
      </c>
      <c r="D62" s="5">
        <v>1.713788861E9</v>
      </c>
      <c r="E62" s="7" t="s">
        <v>1707</v>
      </c>
      <c r="F62" s="1" t="s">
        <v>1711</v>
      </c>
      <c r="G62" s="1" t="s">
        <v>959</v>
      </c>
      <c r="H62" s="1" t="s">
        <v>1712</v>
      </c>
      <c r="I62" s="5">
        <v>5.18324519E8</v>
      </c>
      <c r="J62" s="7" t="s">
        <v>1713</v>
      </c>
      <c r="K62" s="7" t="s">
        <v>1722</v>
      </c>
      <c r="L62" s="9" t="b">
        <v>0</v>
      </c>
      <c r="M62" s="1" t="s">
        <v>66</v>
      </c>
      <c r="N62" s="1" t="s">
        <v>64</v>
      </c>
      <c r="O62" s="1" t="s">
        <v>65</v>
      </c>
      <c r="P62" s="5">
        <v>1.0</v>
      </c>
      <c r="Q62" s="5">
        <v>1.0</v>
      </c>
      <c r="R62" s="5">
        <v>4.0</v>
      </c>
      <c r="S62" s="5">
        <v>1.0</v>
      </c>
      <c r="T62" s="5">
        <v>346.0</v>
      </c>
      <c r="U62" s="1" t="s">
        <v>65</v>
      </c>
      <c r="V62" s="1"/>
      <c r="W62" s="1" t="s">
        <v>71</v>
      </c>
      <c r="X62" s="1" t="s">
        <v>1729</v>
      </c>
      <c r="Y62" s="1" t="s">
        <v>1730</v>
      </c>
      <c r="Z62" s="1" t="s">
        <v>1731</v>
      </c>
      <c r="AA62" s="1"/>
      <c r="AB62" s="7" t="s">
        <v>1732</v>
      </c>
      <c r="AC62" s="1" t="s">
        <v>65</v>
      </c>
      <c r="AD62" s="1" t="s">
        <v>65</v>
      </c>
      <c r="AE62" s="1"/>
      <c r="AF62" s="1" t="s">
        <v>65</v>
      </c>
      <c r="AG62" s="1" t="s">
        <v>1739</v>
      </c>
      <c r="AH62" s="1"/>
      <c r="AI62" s="1"/>
      <c r="AJ62" s="1"/>
      <c r="AK62" s="1" t="s">
        <v>1730</v>
      </c>
      <c r="AL62" s="1"/>
      <c r="AM62" s="1"/>
      <c r="AN62" s="1"/>
    </row>
    <row r="63" hidden="1">
      <c r="A63" s="1" t="s">
        <v>1742</v>
      </c>
      <c r="B63" s="1" t="s">
        <v>1742</v>
      </c>
      <c r="C63" s="4">
        <v>45387.680185185185</v>
      </c>
      <c r="D63" s="5">
        <v>1.712333968E9</v>
      </c>
      <c r="E63" s="7" t="s">
        <v>1745</v>
      </c>
      <c r="F63" s="1" t="s">
        <v>1755</v>
      </c>
      <c r="G63" s="1" t="s">
        <v>1510</v>
      </c>
      <c r="H63" s="1" t="s">
        <v>1511</v>
      </c>
      <c r="I63" s="1" t="s">
        <v>1513</v>
      </c>
      <c r="J63" s="7" t="s">
        <v>1514</v>
      </c>
      <c r="K63" s="7" t="s">
        <v>1519</v>
      </c>
      <c r="L63" s="9" t="b">
        <v>0</v>
      </c>
      <c r="M63" s="1" t="s">
        <v>85</v>
      </c>
      <c r="N63" s="1" t="s">
        <v>824</v>
      </c>
      <c r="O63" s="1" t="s">
        <v>65</v>
      </c>
      <c r="P63" s="5">
        <v>0.0</v>
      </c>
      <c r="Q63" s="5">
        <v>0.0</v>
      </c>
      <c r="R63" s="5">
        <v>1.0</v>
      </c>
      <c r="S63" s="5">
        <v>0.0</v>
      </c>
      <c r="T63" s="5">
        <v>180.0</v>
      </c>
      <c r="U63" s="1" t="s">
        <v>65</v>
      </c>
      <c r="V63" s="1"/>
      <c r="W63" s="1" t="s">
        <v>65</v>
      </c>
      <c r="X63" s="1"/>
      <c r="Y63" s="1"/>
      <c r="Z63" s="1"/>
      <c r="AA63" s="1"/>
      <c r="AB63" s="1"/>
      <c r="AC63" s="1" t="s">
        <v>65</v>
      </c>
      <c r="AD63" s="1" t="s">
        <v>65</v>
      </c>
      <c r="AE63" s="1"/>
      <c r="AF63" s="1" t="s">
        <v>65</v>
      </c>
      <c r="AG63" s="1" t="s">
        <v>1758</v>
      </c>
      <c r="AH63" s="1"/>
      <c r="AI63" s="7" t="s">
        <v>1759</v>
      </c>
      <c r="AJ63" s="1"/>
      <c r="AK63" s="1"/>
      <c r="AL63" s="1"/>
      <c r="AM63" s="1"/>
      <c r="AN63" s="1"/>
    </row>
    <row r="64" hidden="1">
      <c r="A64" s="1" t="s">
        <v>1767</v>
      </c>
      <c r="B64" s="1" t="s">
        <v>1767</v>
      </c>
      <c r="C64" s="4">
        <v>45385.70884259259</v>
      </c>
      <c r="D64" s="5">
        <v>1.712163644E9</v>
      </c>
      <c r="E64" s="7" t="s">
        <v>1769</v>
      </c>
      <c r="F64" s="1" t="s">
        <v>1775</v>
      </c>
      <c r="G64" s="1" t="s">
        <v>1510</v>
      </c>
      <c r="H64" s="1" t="s">
        <v>1511</v>
      </c>
      <c r="I64" s="1" t="s">
        <v>1513</v>
      </c>
      <c r="J64" s="7" t="s">
        <v>1514</v>
      </c>
      <c r="K64" s="7" t="s">
        <v>1519</v>
      </c>
      <c r="L64" s="9" t="b">
        <v>0</v>
      </c>
      <c r="M64" s="1" t="s">
        <v>85</v>
      </c>
      <c r="N64" s="1" t="s">
        <v>824</v>
      </c>
      <c r="O64" s="1" t="s">
        <v>65</v>
      </c>
      <c r="P64" s="5">
        <v>2.0</v>
      </c>
      <c r="Q64" s="5">
        <v>0.0</v>
      </c>
      <c r="R64" s="5">
        <v>11.0</v>
      </c>
      <c r="S64" s="5">
        <v>0.0</v>
      </c>
      <c r="T64" s="5">
        <v>381.0</v>
      </c>
      <c r="U64" s="1" t="s">
        <v>65</v>
      </c>
      <c r="V64" s="1"/>
      <c r="W64" s="1" t="s">
        <v>65</v>
      </c>
      <c r="X64" s="1"/>
      <c r="Y64" s="1"/>
      <c r="Z64" s="1"/>
      <c r="AA64" s="1"/>
      <c r="AB64" s="1"/>
      <c r="AC64" s="1" t="s">
        <v>65</v>
      </c>
      <c r="AD64" s="1" t="s">
        <v>65</v>
      </c>
      <c r="AE64" s="1"/>
      <c r="AF64" s="1" t="s">
        <v>65</v>
      </c>
      <c r="AG64" s="1" t="s">
        <v>1758</v>
      </c>
      <c r="AH64" s="1"/>
      <c r="AI64" s="7" t="s">
        <v>1778</v>
      </c>
      <c r="AJ64" s="1"/>
      <c r="AK64" s="1"/>
      <c r="AL64" s="1"/>
      <c r="AM64" s="1"/>
      <c r="AN64" s="1"/>
    </row>
    <row r="65" hidden="1">
      <c r="A65" s="1" t="s">
        <v>1780</v>
      </c>
      <c r="B65" s="1" t="s">
        <v>1780</v>
      </c>
      <c r="C65" s="4">
        <v>45384.62082175926</v>
      </c>
      <c r="D65" s="5">
        <v>1.712069639E9</v>
      </c>
      <c r="E65" s="7" t="s">
        <v>1782</v>
      </c>
      <c r="F65" s="1" t="s">
        <v>1788</v>
      </c>
      <c r="G65" s="1" t="s">
        <v>1510</v>
      </c>
      <c r="H65" s="1" t="s">
        <v>1511</v>
      </c>
      <c r="I65" s="1" t="s">
        <v>1513</v>
      </c>
      <c r="J65" s="7" t="s">
        <v>1514</v>
      </c>
      <c r="K65" s="7" t="s">
        <v>1519</v>
      </c>
      <c r="L65" s="9" t="b">
        <v>0</v>
      </c>
      <c r="M65" s="1" t="s">
        <v>85</v>
      </c>
      <c r="N65" s="1" t="s">
        <v>824</v>
      </c>
      <c r="O65" s="1" t="s">
        <v>65</v>
      </c>
      <c r="P65" s="5">
        <v>0.0</v>
      </c>
      <c r="Q65" s="5">
        <v>0.0</v>
      </c>
      <c r="R65" s="5">
        <v>1.0</v>
      </c>
      <c r="S65" s="5">
        <v>0.0</v>
      </c>
      <c r="T65" s="5">
        <v>163.0</v>
      </c>
      <c r="U65" s="1" t="s">
        <v>65</v>
      </c>
      <c r="V65" s="1"/>
      <c r="W65" s="1" t="s">
        <v>65</v>
      </c>
      <c r="X65" s="1"/>
      <c r="Y65" s="1"/>
      <c r="Z65" s="1"/>
      <c r="AA65" s="1"/>
      <c r="AB65" s="1"/>
      <c r="AC65" s="1" t="s">
        <v>65</v>
      </c>
      <c r="AD65" s="1" t="s">
        <v>65</v>
      </c>
      <c r="AE65" s="1"/>
      <c r="AF65" s="1" t="s">
        <v>65</v>
      </c>
      <c r="AG65" s="1" t="s">
        <v>1758</v>
      </c>
      <c r="AH65" s="1"/>
      <c r="AI65" s="7" t="s">
        <v>1791</v>
      </c>
      <c r="AJ65" s="1"/>
      <c r="AK65" s="1"/>
      <c r="AL65" s="1"/>
      <c r="AM65" s="1"/>
      <c r="AN65" s="1"/>
    </row>
    <row r="66">
      <c r="A66" s="1" t="s">
        <v>1798</v>
      </c>
      <c r="B66" s="1" t="s">
        <v>1798</v>
      </c>
      <c r="C66" s="4">
        <v>45380.00136574074</v>
      </c>
      <c r="D66" s="5">
        <v>1.711670518E9</v>
      </c>
      <c r="E66" s="7" t="s">
        <v>1799</v>
      </c>
      <c r="F66" s="1" t="s">
        <v>1802</v>
      </c>
      <c r="G66" s="1" t="s">
        <v>1803</v>
      </c>
      <c r="H66" s="1" t="s">
        <v>1804</v>
      </c>
      <c r="I66" s="1" t="s">
        <v>1805</v>
      </c>
      <c r="J66" s="7" t="s">
        <v>1806</v>
      </c>
      <c r="K66" s="7" t="s">
        <v>1811</v>
      </c>
      <c r="L66" s="9" t="b">
        <v>0</v>
      </c>
      <c r="M66" s="1" t="s">
        <v>66</v>
      </c>
      <c r="N66" s="1" t="s">
        <v>64</v>
      </c>
      <c r="O66" s="1" t="s">
        <v>65</v>
      </c>
      <c r="P66" s="5">
        <v>0.0</v>
      </c>
      <c r="Q66" s="5">
        <v>0.0</v>
      </c>
      <c r="R66" s="5">
        <v>2.0</v>
      </c>
      <c r="S66" s="5">
        <v>0.0</v>
      </c>
      <c r="T66" s="5">
        <v>32.0</v>
      </c>
      <c r="U66" s="1" t="s">
        <v>65</v>
      </c>
      <c r="V66" s="1"/>
      <c r="W66" s="1" t="s">
        <v>65</v>
      </c>
      <c r="X66" s="1"/>
      <c r="Y66" s="1"/>
      <c r="Z66" s="1"/>
      <c r="AA66" s="1"/>
      <c r="AB66" s="1"/>
      <c r="AC66" s="1" t="s">
        <v>65</v>
      </c>
      <c r="AD66" s="1" t="s">
        <v>65</v>
      </c>
      <c r="AE66" s="1"/>
      <c r="AF66" s="1" t="s">
        <v>65</v>
      </c>
      <c r="AG66" s="1" t="s">
        <v>1817</v>
      </c>
      <c r="AH66" s="1"/>
      <c r="AI66" s="7" t="s">
        <v>1818</v>
      </c>
      <c r="AJ66" s="1"/>
      <c r="AK66" s="1"/>
      <c r="AL66" s="1"/>
      <c r="AM66" s="1"/>
      <c r="AN66" s="1"/>
    </row>
    <row r="67" hidden="1">
      <c r="A67" s="1" t="s">
        <v>1822</v>
      </c>
      <c r="B67" s="1" t="s">
        <v>1822</v>
      </c>
      <c r="C67" s="4">
        <v>45373.63863425926</v>
      </c>
      <c r="D67" s="5">
        <v>1.711120778E9</v>
      </c>
      <c r="E67" s="7" t="s">
        <v>1823</v>
      </c>
      <c r="F67" s="1" t="s">
        <v>1831</v>
      </c>
      <c r="G67" s="1" t="s">
        <v>1510</v>
      </c>
      <c r="H67" s="1" t="s">
        <v>1511</v>
      </c>
      <c r="I67" s="1" t="s">
        <v>1513</v>
      </c>
      <c r="J67" s="7" t="s">
        <v>1514</v>
      </c>
      <c r="K67" s="7" t="s">
        <v>1519</v>
      </c>
      <c r="L67" s="9" t="b">
        <v>0</v>
      </c>
      <c r="M67" s="1" t="s">
        <v>85</v>
      </c>
      <c r="N67" s="1" t="s">
        <v>824</v>
      </c>
      <c r="O67" s="1" t="s">
        <v>65</v>
      </c>
      <c r="P67" s="5">
        <v>0.0</v>
      </c>
      <c r="Q67" s="5">
        <v>0.0</v>
      </c>
      <c r="R67" s="5">
        <v>2.0</v>
      </c>
      <c r="S67" s="5">
        <v>0.0</v>
      </c>
      <c r="T67" s="5">
        <v>115.0</v>
      </c>
      <c r="U67" s="1" t="s">
        <v>65</v>
      </c>
      <c r="V67" s="1"/>
      <c r="W67" s="1" t="s">
        <v>65</v>
      </c>
      <c r="X67" s="1"/>
      <c r="Y67" s="1"/>
      <c r="Z67" s="1"/>
      <c r="AA67" s="1"/>
      <c r="AB67" s="1"/>
      <c r="AC67" s="1" t="s">
        <v>65</v>
      </c>
      <c r="AD67" s="1" t="s">
        <v>65</v>
      </c>
      <c r="AE67" s="1"/>
      <c r="AF67" s="1" t="s">
        <v>65</v>
      </c>
      <c r="AG67" s="1" t="s">
        <v>1758</v>
      </c>
      <c r="AH67" s="1"/>
      <c r="AI67" s="7" t="s">
        <v>1835</v>
      </c>
      <c r="AJ67" s="1"/>
      <c r="AK67" s="1"/>
      <c r="AL67" s="1"/>
      <c r="AM67" s="1"/>
      <c r="AN67" s="1"/>
    </row>
    <row r="68" hidden="1">
      <c r="A68" s="1" t="s">
        <v>1837</v>
      </c>
      <c r="B68" s="1" t="s">
        <v>1837</v>
      </c>
      <c r="C68" s="4">
        <v>45371.76578703704</v>
      </c>
      <c r="D68" s="5">
        <v>1.710958964E9</v>
      </c>
      <c r="E68" s="7" t="s">
        <v>1838</v>
      </c>
      <c r="F68" s="1" t="s">
        <v>1841</v>
      </c>
      <c r="G68" s="1" t="s">
        <v>1510</v>
      </c>
      <c r="H68" s="1" t="s">
        <v>1511</v>
      </c>
      <c r="I68" s="1" t="s">
        <v>1513</v>
      </c>
      <c r="J68" s="7" t="s">
        <v>1514</v>
      </c>
      <c r="K68" s="7" t="s">
        <v>1519</v>
      </c>
      <c r="L68" s="9" t="b">
        <v>0</v>
      </c>
      <c r="M68" s="1" t="s">
        <v>85</v>
      </c>
      <c r="N68" s="1" t="s">
        <v>824</v>
      </c>
      <c r="O68" s="1" t="s">
        <v>65</v>
      </c>
      <c r="P68" s="5">
        <v>0.0</v>
      </c>
      <c r="Q68" s="5">
        <v>0.0</v>
      </c>
      <c r="R68" s="5">
        <v>0.0</v>
      </c>
      <c r="S68" s="5">
        <v>0.0</v>
      </c>
      <c r="T68" s="5">
        <v>112.0</v>
      </c>
      <c r="U68" s="1" t="s">
        <v>65</v>
      </c>
      <c r="V68" s="1"/>
      <c r="W68" s="1" t="s">
        <v>65</v>
      </c>
      <c r="X68" s="1"/>
      <c r="Y68" s="1"/>
      <c r="Z68" s="1"/>
      <c r="AA68" s="1"/>
      <c r="AB68" s="1"/>
      <c r="AC68" s="1" t="s">
        <v>65</v>
      </c>
      <c r="AD68" s="1" t="s">
        <v>65</v>
      </c>
      <c r="AE68" s="1"/>
      <c r="AF68" s="1" t="s">
        <v>65</v>
      </c>
      <c r="AG68" s="1" t="s">
        <v>1758</v>
      </c>
      <c r="AH68" s="1"/>
      <c r="AI68" s="7" t="s">
        <v>1847</v>
      </c>
      <c r="AJ68" s="1"/>
      <c r="AK68" s="1"/>
      <c r="AL68" s="1"/>
      <c r="AM68" s="1"/>
      <c r="AN68" s="1"/>
    </row>
    <row r="69" hidden="1">
      <c r="A69" s="1" t="s">
        <v>1849</v>
      </c>
      <c r="B69" s="1" t="s">
        <v>1849</v>
      </c>
      <c r="C69" s="4">
        <v>45370.7091087963</v>
      </c>
      <c r="D69" s="5">
        <v>1.710867667E9</v>
      </c>
      <c r="E69" s="7" t="s">
        <v>1850</v>
      </c>
      <c r="F69" s="1" t="s">
        <v>1851</v>
      </c>
      <c r="G69" s="1" t="s">
        <v>1510</v>
      </c>
      <c r="H69" s="1" t="s">
        <v>1511</v>
      </c>
      <c r="I69" s="1" t="s">
        <v>1513</v>
      </c>
      <c r="J69" s="7" t="s">
        <v>1514</v>
      </c>
      <c r="K69" s="7" t="s">
        <v>1519</v>
      </c>
      <c r="L69" s="9" t="b">
        <v>0</v>
      </c>
      <c r="M69" s="1" t="s">
        <v>85</v>
      </c>
      <c r="N69" s="1" t="s">
        <v>824</v>
      </c>
      <c r="O69" s="1" t="s">
        <v>65</v>
      </c>
      <c r="P69" s="5">
        <v>1.0</v>
      </c>
      <c r="Q69" s="5">
        <v>1.0</v>
      </c>
      <c r="R69" s="5">
        <v>11.0</v>
      </c>
      <c r="S69" s="5">
        <v>0.0</v>
      </c>
      <c r="T69" s="5">
        <v>411.0</v>
      </c>
      <c r="U69" s="1" t="s">
        <v>65</v>
      </c>
      <c r="V69" s="1"/>
      <c r="W69" s="1" t="s">
        <v>65</v>
      </c>
      <c r="X69" s="1"/>
      <c r="Y69" s="1"/>
      <c r="Z69" s="1"/>
      <c r="AA69" s="1"/>
      <c r="AB69" s="1"/>
      <c r="AC69" s="1" t="s">
        <v>65</v>
      </c>
      <c r="AD69" s="1" t="s">
        <v>65</v>
      </c>
      <c r="AE69" s="1"/>
      <c r="AF69" s="1" t="s">
        <v>65</v>
      </c>
      <c r="AG69" s="1" t="s">
        <v>1758</v>
      </c>
      <c r="AH69" s="1"/>
      <c r="AI69" s="7" t="s">
        <v>1852</v>
      </c>
      <c r="AJ69" s="1"/>
      <c r="AK69" s="1"/>
      <c r="AL69" s="1"/>
      <c r="AM69" s="1"/>
      <c r="AN69" s="1"/>
    </row>
    <row r="70" hidden="1">
      <c r="A70" s="1" t="s">
        <v>1856</v>
      </c>
      <c r="B70" s="1" t="s">
        <v>1856</v>
      </c>
      <c r="C70" s="4">
        <v>45367.77112268518</v>
      </c>
      <c r="D70" s="5">
        <v>1.710613825E9</v>
      </c>
      <c r="E70" s="7" t="s">
        <v>1857</v>
      </c>
      <c r="F70" s="1" t="s">
        <v>1863</v>
      </c>
      <c r="G70" s="1" t="s">
        <v>1864</v>
      </c>
      <c r="H70" s="1" t="s">
        <v>1865</v>
      </c>
      <c r="I70" s="1" t="s">
        <v>1866</v>
      </c>
      <c r="J70" s="7" t="s">
        <v>1867</v>
      </c>
      <c r="K70" s="7" t="s">
        <v>1871</v>
      </c>
      <c r="L70" s="9" t="b">
        <v>0</v>
      </c>
      <c r="M70" s="1" t="s">
        <v>66</v>
      </c>
      <c r="N70" s="1" t="s">
        <v>68</v>
      </c>
      <c r="O70" s="1" t="s">
        <v>65</v>
      </c>
      <c r="P70" s="5">
        <v>0.0</v>
      </c>
      <c r="Q70" s="5">
        <v>0.0</v>
      </c>
      <c r="R70" s="5">
        <v>0.0</v>
      </c>
      <c r="S70" s="5">
        <v>0.0</v>
      </c>
      <c r="T70" s="5">
        <v>49.0</v>
      </c>
      <c r="U70" s="1" t="s">
        <v>65</v>
      </c>
      <c r="V70" s="1"/>
      <c r="W70" s="1" t="s">
        <v>65</v>
      </c>
      <c r="X70" s="1"/>
      <c r="Y70" s="1"/>
      <c r="Z70" s="1"/>
      <c r="AA70" s="1"/>
      <c r="AB70" s="1"/>
      <c r="AC70" s="1" t="s">
        <v>65</v>
      </c>
      <c r="AD70" s="1" t="s">
        <v>65</v>
      </c>
      <c r="AE70" s="1"/>
      <c r="AF70" s="1" t="s">
        <v>65</v>
      </c>
      <c r="AG70" s="1" t="s">
        <v>1881</v>
      </c>
      <c r="AH70" s="1"/>
      <c r="AI70" s="7" t="s">
        <v>1882</v>
      </c>
      <c r="AJ70" s="7" t="s">
        <v>1888</v>
      </c>
      <c r="AK70" s="1"/>
      <c r="AL70" s="1"/>
      <c r="AM70" s="1"/>
      <c r="AN70" s="1"/>
    </row>
    <row r="71" hidden="1">
      <c r="A71" s="1" t="s">
        <v>1892</v>
      </c>
      <c r="B71" s="1" t="s">
        <v>1892</v>
      </c>
      <c r="C71" s="4">
        <v>45366.6684375</v>
      </c>
      <c r="D71" s="5">
        <v>1.710518553E9</v>
      </c>
      <c r="E71" s="7" t="s">
        <v>1893</v>
      </c>
      <c r="F71" s="1" t="s">
        <v>1900</v>
      </c>
      <c r="G71" s="1" t="s">
        <v>1510</v>
      </c>
      <c r="H71" s="1" t="s">
        <v>1511</v>
      </c>
      <c r="I71" s="1" t="s">
        <v>1513</v>
      </c>
      <c r="J71" s="7" t="s">
        <v>1514</v>
      </c>
      <c r="K71" s="7" t="s">
        <v>1519</v>
      </c>
      <c r="L71" s="9" t="b">
        <v>0</v>
      </c>
      <c r="M71" s="1" t="s">
        <v>85</v>
      </c>
      <c r="N71" s="1" t="s">
        <v>824</v>
      </c>
      <c r="O71" s="1" t="s">
        <v>65</v>
      </c>
      <c r="P71" s="5">
        <v>0.0</v>
      </c>
      <c r="Q71" s="5">
        <v>1.0</v>
      </c>
      <c r="R71" s="5">
        <v>6.0</v>
      </c>
      <c r="S71" s="5">
        <v>0.0</v>
      </c>
      <c r="T71" s="5">
        <v>194.0</v>
      </c>
      <c r="U71" s="1" t="s">
        <v>65</v>
      </c>
      <c r="V71" s="1"/>
      <c r="W71" s="1" t="s">
        <v>65</v>
      </c>
      <c r="X71" s="1"/>
      <c r="Y71" s="1"/>
      <c r="Z71" s="1"/>
      <c r="AA71" s="1"/>
      <c r="AB71" s="1"/>
      <c r="AC71" s="1" t="s">
        <v>65</v>
      </c>
      <c r="AD71" s="1" t="s">
        <v>65</v>
      </c>
      <c r="AE71" s="1"/>
      <c r="AF71" s="1" t="s">
        <v>65</v>
      </c>
      <c r="AG71" s="1" t="s">
        <v>1758</v>
      </c>
      <c r="AH71" s="1"/>
      <c r="AI71" s="7" t="s">
        <v>1905</v>
      </c>
      <c r="AJ71" s="1"/>
      <c r="AK71" s="1"/>
      <c r="AL71" s="1"/>
      <c r="AM71" s="1"/>
      <c r="AN71" s="1"/>
    </row>
    <row r="72">
      <c r="A72" s="1" t="s">
        <v>1911</v>
      </c>
      <c r="B72" s="1" t="s">
        <v>1911</v>
      </c>
      <c r="C72" s="4">
        <v>45364.05327546296</v>
      </c>
      <c r="D72" s="5">
        <v>1.710292603E9</v>
      </c>
      <c r="E72" s="7" t="s">
        <v>1913</v>
      </c>
      <c r="F72" s="1" t="s">
        <v>1916</v>
      </c>
      <c r="G72" s="1" t="s">
        <v>370</v>
      </c>
      <c r="H72" s="1" t="s">
        <v>372</v>
      </c>
      <c r="I72" s="1" t="s">
        <v>374</v>
      </c>
      <c r="J72" s="7" t="s">
        <v>377</v>
      </c>
      <c r="K72" s="1"/>
      <c r="L72" s="9" t="b">
        <v>0</v>
      </c>
      <c r="M72" s="1" t="s">
        <v>63</v>
      </c>
      <c r="N72" s="1" t="s">
        <v>64</v>
      </c>
      <c r="O72" s="1" t="s">
        <v>65</v>
      </c>
      <c r="P72" s="5">
        <v>0.0</v>
      </c>
      <c r="Q72" s="5">
        <v>0.0</v>
      </c>
      <c r="R72" s="5">
        <v>1.0</v>
      </c>
      <c r="S72" s="5">
        <v>0.0</v>
      </c>
      <c r="T72" s="5">
        <v>38.0</v>
      </c>
      <c r="U72" s="1" t="s">
        <v>65</v>
      </c>
      <c r="V72" s="1"/>
      <c r="W72" s="1" t="s">
        <v>65</v>
      </c>
      <c r="X72" s="1"/>
      <c r="Y72" s="1"/>
      <c r="Z72" s="1"/>
      <c r="AA72" s="1"/>
      <c r="AB72" s="1"/>
      <c r="AC72" s="1" t="s">
        <v>65</v>
      </c>
      <c r="AD72" s="1" t="s">
        <v>65</v>
      </c>
      <c r="AE72" s="1"/>
      <c r="AF72" s="1" t="s">
        <v>65</v>
      </c>
      <c r="AG72" s="1" t="s">
        <v>1920</v>
      </c>
      <c r="AH72" s="1"/>
      <c r="AI72" s="7" t="s">
        <v>1921</v>
      </c>
      <c r="AJ72" s="7" t="s">
        <v>1923</v>
      </c>
      <c r="AK72" s="1"/>
      <c r="AL72" s="1"/>
      <c r="AM72" s="1"/>
      <c r="AN72" s="1"/>
    </row>
    <row r="73">
      <c r="A73" s="1" t="s">
        <v>1926</v>
      </c>
      <c r="B73" s="1" t="s">
        <v>1926</v>
      </c>
      <c r="C73" s="4">
        <v>45360.05268518518</v>
      </c>
      <c r="D73" s="5">
        <v>1.709946952E9</v>
      </c>
      <c r="E73" s="7" t="s">
        <v>1927</v>
      </c>
      <c r="F73" s="1" t="s">
        <v>1929</v>
      </c>
      <c r="G73" s="1" t="s">
        <v>370</v>
      </c>
      <c r="H73" s="1" t="s">
        <v>372</v>
      </c>
      <c r="I73" s="1" t="s">
        <v>374</v>
      </c>
      <c r="J73" s="7" t="s">
        <v>377</v>
      </c>
      <c r="K73" s="1"/>
      <c r="L73" s="9" t="b">
        <v>0</v>
      </c>
      <c r="M73" s="1" t="s">
        <v>63</v>
      </c>
      <c r="N73" s="1" t="s">
        <v>64</v>
      </c>
      <c r="O73" s="1" t="s">
        <v>65</v>
      </c>
      <c r="P73" s="5">
        <v>0.0</v>
      </c>
      <c r="Q73" s="5">
        <v>0.0</v>
      </c>
      <c r="R73" s="5">
        <v>4.0</v>
      </c>
      <c r="S73" s="5">
        <v>0.0</v>
      </c>
      <c r="T73" s="5">
        <v>924.0</v>
      </c>
      <c r="U73" s="1" t="s">
        <v>65</v>
      </c>
      <c r="V73" s="1"/>
      <c r="W73" s="1" t="s">
        <v>65</v>
      </c>
      <c r="X73" s="1"/>
      <c r="Y73" s="1"/>
      <c r="Z73" s="1"/>
      <c r="AA73" s="1"/>
      <c r="AB73" s="1"/>
      <c r="AC73" s="1" t="s">
        <v>65</v>
      </c>
      <c r="AD73" s="1" t="s">
        <v>65</v>
      </c>
      <c r="AE73" s="1"/>
      <c r="AF73" s="1" t="s">
        <v>65</v>
      </c>
      <c r="AG73" s="1" t="s">
        <v>1932</v>
      </c>
      <c r="AH73" s="1"/>
      <c r="AI73" s="7" t="s">
        <v>1934</v>
      </c>
      <c r="AJ73" s="7" t="s">
        <v>1941</v>
      </c>
      <c r="AK73" s="1"/>
      <c r="AL73" s="1"/>
      <c r="AM73" s="1"/>
      <c r="AN73" s="1"/>
    </row>
    <row r="74">
      <c r="A74" s="1" t="s">
        <v>1946</v>
      </c>
      <c r="B74" s="1" t="s">
        <v>1946</v>
      </c>
      <c r="C74" s="4">
        <v>45357.06306712963</v>
      </c>
      <c r="D74" s="5">
        <v>1.709688649E9</v>
      </c>
      <c r="E74" s="7" t="s">
        <v>1947</v>
      </c>
      <c r="F74" s="1" t="s">
        <v>1949</v>
      </c>
      <c r="G74" s="1" t="s">
        <v>370</v>
      </c>
      <c r="H74" s="1" t="s">
        <v>372</v>
      </c>
      <c r="I74" s="1" t="s">
        <v>374</v>
      </c>
      <c r="J74" s="7" t="s">
        <v>377</v>
      </c>
      <c r="K74" s="1"/>
      <c r="L74" s="9" t="b">
        <v>0</v>
      </c>
      <c r="M74" s="1" t="s">
        <v>63</v>
      </c>
      <c r="N74" s="1" t="s">
        <v>64</v>
      </c>
      <c r="O74" s="1" t="s">
        <v>65</v>
      </c>
      <c r="P74" s="5">
        <v>3.0</v>
      </c>
      <c r="Q74" s="5">
        <v>2.0</v>
      </c>
      <c r="R74" s="5">
        <v>16.0</v>
      </c>
      <c r="S74" s="5">
        <v>0.0</v>
      </c>
      <c r="T74" s="5">
        <v>3185.0</v>
      </c>
      <c r="U74" s="1" t="s">
        <v>65</v>
      </c>
      <c r="V74" s="1"/>
      <c r="W74" s="1" t="s">
        <v>65</v>
      </c>
      <c r="X74" s="1"/>
      <c r="Y74" s="1"/>
      <c r="Z74" s="1"/>
      <c r="AA74" s="1"/>
      <c r="AB74" s="1"/>
      <c r="AC74" s="1" t="s">
        <v>65</v>
      </c>
      <c r="AD74" s="1" t="s">
        <v>65</v>
      </c>
      <c r="AE74" s="1"/>
      <c r="AF74" s="1" t="s">
        <v>65</v>
      </c>
      <c r="AG74" s="1" t="s">
        <v>1956</v>
      </c>
      <c r="AH74" s="1"/>
      <c r="AI74" s="7" t="s">
        <v>1957</v>
      </c>
      <c r="AJ74" s="7" t="s">
        <v>1960</v>
      </c>
      <c r="AK74" s="1"/>
      <c r="AL74" s="1"/>
      <c r="AM74" s="1"/>
      <c r="AN74" s="1"/>
    </row>
    <row r="75">
      <c r="A75" s="1" t="s">
        <v>646</v>
      </c>
      <c r="B75" s="1" t="s">
        <v>646</v>
      </c>
      <c r="C75" s="4">
        <v>45351.67741898148</v>
      </c>
      <c r="D75" s="5">
        <v>1.709223329E9</v>
      </c>
      <c r="E75" s="7" t="s">
        <v>1961</v>
      </c>
      <c r="F75" s="1" t="s">
        <v>647</v>
      </c>
      <c r="G75" s="1" t="s">
        <v>370</v>
      </c>
      <c r="H75" s="1" t="s">
        <v>372</v>
      </c>
      <c r="I75" s="1" t="s">
        <v>374</v>
      </c>
      <c r="J75" s="7" t="s">
        <v>377</v>
      </c>
      <c r="K75" s="1"/>
      <c r="L75" s="9" t="b">
        <v>0</v>
      </c>
      <c r="M75" s="1" t="s">
        <v>63</v>
      </c>
      <c r="N75" s="1" t="s">
        <v>64</v>
      </c>
      <c r="O75" s="1" t="s">
        <v>65</v>
      </c>
      <c r="P75" s="5">
        <v>0.0</v>
      </c>
      <c r="Q75" s="5">
        <v>0.0</v>
      </c>
      <c r="R75" s="5">
        <v>1.0</v>
      </c>
      <c r="S75" s="5">
        <v>1.0</v>
      </c>
      <c r="T75" s="5">
        <v>57.0</v>
      </c>
      <c r="U75" s="1" t="s">
        <v>65</v>
      </c>
      <c r="V75" s="1"/>
      <c r="W75" s="1" t="s">
        <v>65</v>
      </c>
      <c r="X75" s="1"/>
      <c r="Y75" s="1"/>
      <c r="Z75" s="1"/>
      <c r="AA75" s="1"/>
      <c r="AB75" s="1"/>
      <c r="AC75" s="1" t="s">
        <v>65</v>
      </c>
      <c r="AD75" s="1" t="s">
        <v>65</v>
      </c>
      <c r="AE75" s="1"/>
      <c r="AF75" s="1" t="s">
        <v>65</v>
      </c>
      <c r="AG75" s="1" t="s">
        <v>1962</v>
      </c>
      <c r="AH75" s="1"/>
      <c r="AI75" s="7" t="s">
        <v>648</v>
      </c>
      <c r="AJ75" s="7" t="s">
        <v>1963</v>
      </c>
      <c r="AK75" s="1"/>
      <c r="AL75" s="1"/>
      <c r="AM75" s="1"/>
      <c r="AN75" s="1"/>
    </row>
    <row r="76">
      <c r="A76" s="1" t="s">
        <v>1964</v>
      </c>
      <c r="B76" s="1" t="s">
        <v>1964</v>
      </c>
      <c r="C76" s="4">
        <v>45349.72353009259</v>
      </c>
      <c r="D76" s="5">
        <v>1.709054513E9</v>
      </c>
      <c r="E76" s="7" t="s">
        <v>1965</v>
      </c>
      <c r="F76" s="1" t="s">
        <v>1966</v>
      </c>
      <c r="G76" s="1" t="s">
        <v>370</v>
      </c>
      <c r="H76" s="1" t="s">
        <v>372</v>
      </c>
      <c r="I76" s="1" t="s">
        <v>374</v>
      </c>
      <c r="J76" s="7" t="s">
        <v>377</v>
      </c>
      <c r="K76" s="1"/>
      <c r="L76" s="9" t="b">
        <v>0</v>
      </c>
      <c r="M76" s="1" t="s">
        <v>63</v>
      </c>
      <c r="N76" s="1" t="s">
        <v>64</v>
      </c>
      <c r="O76" s="1" t="s">
        <v>65</v>
      </c>
      <c r="P76" s="5">
        <v>0.0</v>
      </c>
      <c r="Q76" s="5">
        <v>0.0</v>
      </c>
      <c r="R76" s="5">
        <v>1.0</v>
      </c>
      <c r="S76" s="5">
        <v>0.0</v>
      </c>
      <c r="T76" s="5">
        <v>32.0</v>
      </c>
      <c r="U76" s="1" t="s">
        <v>65</v>
      </c>
      <c r="V76" s="1"/>
      <c r="W76" s="1" t="s">
        <v>65</v>
      </c>
      <c r="X76" s="1"/>
      <c r="Y76" s="1"/>
      <c r="Z76" s="1"/>
      <c r="AA76" s="1"/>
      <c r="AB76" s="1"/>
      <c r="AC76" s="1" t="s">
        <v>65</v>
      </c>
      <c r="AD76" s="1" t="s">
        <v>65</v>
      </c>
      <c r="AE76" s="1"/>
      <c r="AF76" s="1" t="s">
        <v>65</v>
      </c>
      <c r="AG76" s="1" t="s">
        <v>1967</v>
      </c>
      <c r="AH76" s="1"/>
      <c r="AI76" s="7" t="s">
        <v>1968</v>
      </c>
      <c r="AJ76" s="7" t="s">
        <v>1969</v>
      </c>
      <c r="AK76" s="1"/>
      <c r="AL76" s="1"/>
      <c r="AM76" s="1"/>
      <c r="AN76" s="1"/>
    </row>
    <row r="77" hidden="1">
      <c r="A77" s="1" t="s">
        <v>1972</v>
      </c>
      <c r="B77" s="1" t="s">
        <v>1972</v>
      </c>
      <c r="C77" s="4">
        <v>45340.474270833336</v>
      </c>
      <c r="D77" s="5">
        <v>1.708255377E9</v>
      </c>
      <c r="E77" s="7" t="s">
        <v>1973</v>
      </c>
      <c r="F77" s="1" t="s">
        <v>1975</v>
      </c>
      <c r="G77" s="1" t="s">
        <v>1976</v>
      </c>
      <c r="H77" s="1" t="s">
        <v>1977</v>
      </c>
      <c r="I77" s="1" t="s">
        <v>1978</v>
      </c>
      <c r="J77" s="7" t="s">
        <v>1979</v>
      </c>
      <c r="K77" s="7" t="s">
        <v>1982</v>
      </c>
      <c r="L77" s="9" t="b">
        <v>0</v>
      </c>
      <c r="M77" s="1" t="s">
        <v>67</v>
      </c>
      <c r="N77" s="1" t="s">
        <v>68</v>
      </c>
      <c r="O77" s="1" t="s">
        <v>65</v>
      </c>
      <c r="P77" s="5">
        <v>0.0</v>
      </c>
      <c r="Q77" s="5">
        <v>0.0</v>
      </c>
      <c r="R77" s="5">
        <v>0.0</v>
      </c>
      <c r="S77" s="5">
        <v>0.0</v>
      </c>
      <c r="T77" s="5">
        <v>11.0</v>
      </c>
      <c r="U77" s="1" t="s">
        <v>65</v>
      </c>
      <c r="V77" s="1"/>
      <c r="W77" s="1" t="s">
        <v>65</v>
      </c>
      <c r="X77" s="1"/>
      <c r="Y77" s="1"/>
      <c r="Z77" s="1"/>
      <c r="AA77" s="1"/>
      <c r="AB77" s="1"/>
      <c r="AC77" s="1" t="s">
        <v>65</v>
      </c>
      <c r="AD77" s="1" t="s">
        <v>65</v>
      </c>
      <c r="AE77" s="1"/>
      <c r="AF77" s="1" t="s">
        <v>65</v>
      </c>
      <c r="AG77" s="1" t="s">
        <v>1984</v>
      </c>
      <c r="AH77" s="1"/>
      <c r="AI77" s="7" t="s">
        <v>1985</v>
      </c>
      <c r="AJ77" s="7" t="s">
        <v>1988</v>
      </c>
      <c r="AK77" s="1"/>
      <c r="AL77" s="1" t="s">
        <v>1999</v>
      </c>
      <c r="AM77" s="1" t="s">
        <v>2000</v>
      </c>
      <c r="AN77" s="1"/>
    </row>
    <row r="78">
      <c r="A78" s="1" t="s">
        <v>2002</v>
      </c>
      <c r="B78" s="1" t="s">
        <v>2002</v>
      </c>
      <c r="C78" s="4">
        <v>45339.062581018516</v>
      </c>
      <c r="D78" s="5">
        <v>1.708133407E9</v>
      </c>
      <c r="E78" s="7" t="s">
        <v>2003</v>
      </c>
      <c r="F78" s="1" t="s">
        <v>2005</v>
      </c>
      <c r="G78" s="1" t="s">
        <v>370</v>
      </c>
      <c r="H78" s="1" t="s">
        <v>372</v>
      </c>
      <c r="I78" s="1" t="s">
        <v>374</v>
      </c>
      <c r="J78" s="7" t="s">
        <v>377</v>
      </c>
      <c r="K78" s="1"/>
      <c r="L78" s="9" t="b">
        <v>0</v>
      </c>
      <c r="M78" s="1" t="s">
        <v>63</v>
      </c>
      <c r="N78" s="1" t="s">
        <v>64</v>
      </c>
      <c r="O78" s="1" t="s">
        <v>65</v>
      </c>
      <c r="P78" s="5">
        <v>0.0</v>
      </c>
      <c r="Q78" s="5">
        <v>0.0</v>
      </c>
      <c r="R78" s="5">
        <v>2.0</v>
      </c>
      <c r="S78" s="5">
        <v>0.0</v>
      </c>
      <c r="T78" s="5">
        <v>114.0</v>
      </c>
      <c r="U78" s="1" t="s">
        <v>65</v>
      </c>
      <c r="V78" s="1"/>
      <c r="W78" s="1" t="s">
        <v>65</v>
      </c>
      <c r="X78" s="1"/>
      <c r="Y78" s="1"/>
      <c r="Z78" s="1"/>
      <c r="AA78" s="1"/>
      <c r="AB78" s="1"/>
      <c r="AC78" s="1" t="s">
        <v>65</v>
      </c>
      <c r="AD78" s="1" t="s">
        <v>65</v>
      </c>
      <c r="AE78" s="1"/>
      <c r="AF78" s="1" t="s">
        <v>65</v>
      </c>
      <c r="AG78" s="1" t="s">
        <v>414</v>
      </c>
      <c r="AH78" s="1"/>
      <c r="AI78" s="7" t="s">
        <v>2011</v>
      </c>
      <c r="AJ78" s="7" t="s">
        <v>2013</v>
      </c>
      <c r="AK78" s="1"/>
      <c r="AL78" s="1"/>
      <c r="AM78" s="1"/>
      <c r="AN78" s="1"/>
    </row>
    <row r="79" hidden="1">
      <c r="A79" s="1" t="s">
        <v>2015</v>
      </c>
      <c r="B79" s="1" t="s">
        <v>2015</v>
      </c>
      <c r="C79" s="4">
        <v>45330.09353009259</v>
      </c>
      <c r="D79" s="5">
        <v>1.707358481E9</v>
      </c>
      <c r="E79" s="7" t="s">
        <v>2016</v>
      </c>
      <c r="F79" s="1" t="s">
        <v>2018</v>
      </c>
      <c r="G79" s="1" t="s">
        <v>370</v>
      </c>
      <c r="H79" s="1" t="s">
        <v>372</v>
      </c>
      <c r="I79" s="1" t="s">
        <v>374</v>
      </c>
      <c r="J79" s="7" t="s">
        <v>377</v>
      </c>
      <c r="K79" s="1"/>
      <c r="L79" s="9" t="b">
        <v>0</v>
      </c>
      <c r="M79" s="1" t="s">
        <v>63</v>
      </c>
      <c r="N79" s="1" t="s">
        <v>2012</v>
      </c>
      <c r="O79" s="1" t="s">
        <v>65</v>
      </c>
      <c r="P79" s="5">
        <v>0.0</v>
      </c>
      <c r="Q79" s="5">
        <v>0.0</v>
      </c>
      <c r="R79" s="5">
        <v>1.0</v>
      </c>
      <c r="S79" s="5">
        <v>0.0</v>
      </c>
      <c r="T79" s="5">
        <v>29.0</v>
      </c>
      <c r="U79" s="1" t="s">
        <v>65</v>
      </c>
      <c r="V79" s="1"/>
      <c r="W79" s="1" t="s">
        <v>65</v>
      </c>
      <c r="X79" s="1"/>
      <c r="Y79" s="1"/>
      <c r="Z79" s="1"/>
      <c r="AA79" s="1"/>
      <c r="AB79" s="1"/>
      <c r="AC79" s="1" t="s">
        <v>65</v>
      </c>
      <c r="AD79" s="1" t="s">
        <v>65</v>
      </c>
      <c r="AE79" s="1"/>
      <c r="AF79" s="1" t="s">
        <v>65</v>
      </c>
      <c r="AG79" s="1" t="s">
        <v>2020</v>
      </c>
      <c r="AH79" s="1"/>
      <c r="AI79" s="7" t="s">
        <v>2021</v>
      </c>
      <c r="AJ79" s="7" t="s">
        <v>2024</v>
      </c>
      <c r="AK79" s="1"/>
      <c r="AL79" s="1"/>
      <c r="AM79" s="1"/>
      <c r="AN79" s="1"/>
    </row>
    <row r="80">
      <c r="A80" s="1" t="s">
        <v>2025</v>
      </c>
      <c r="B80" s="1" t="s">
        <v>2025</v>
      </c>
      <c r="C80" s="4">
        <v>45328.09289351852</v>
      </c>
      <c r="D80" s="5">
        <v>1.707185626E9</v>
      </c>
      <c r="E80" s="7" t="s">
        <v>2026</v>
      </c>
      <c r="F80" s="1" t="s">
        <v>2027</v>
      </c>
      <c r="G80" s="1" t="s">
        <v>370</v>
      </c>
      <c r="H80" s="1" t="s">
        <v>372</v>
      </c>
      <c r="I80" s="1" t="s">
        <v>374</v>
      </c>
      <c r="J80" s="7" t="s">
        <v>377</v>
      </c>
      <c r="K80" s="1"/>
      <c r="L80" s="9" t="b">
        <v>0</v>
      </c>
      <c r="M80" s="1" t="s">
        <v>63</v>
      </c>
      <c r="N80" s="1" t="s">
        <v>64</v>
      </c>
      <c r="O80" s="1" t="s">
        <v>65</v>
      </c>
      <c r="P80" s="5">
        <v>0.0</v>
      </c>
      <c r="Q80" s="5">
        <v>0.0</v>
      </c>
      <c r="R80" s="5">
        <v>1.0</v>
      </c>
      <c r="S80" s="5">
        <v>0.0</v>
      </c>
      <c r="T80" s="5">
        <v>80.0</v>
      </c>
      <c r="U80" s="1" t="s">
        <v>65</v>
      </c>
      <c r="V80" s="1"/>
      <c r="W80" s="1" t="s">
        <v>65</v>
      </c>
      <c r="X80" s="1"/>
      <c r="Y80" s="1"/>
      <c r="Z80" s="1"/>
      <c r="AA80" s="1"/>
      <c r="AB80" s="1"/>
      <c r="AC80" s="1" t="s">
        <v>65</v>
      </c>
      <c r="AD80" s="1" t="s">
        <v>65</v>
      </c>
      <c r="AE80" s="1"/>
      <c r="AF80" s="1" t="s">
        <v>65</v>
      </c>
      <c r="AG80" s="1" t="s">
        <v>1920</v>
      </c>
      <c r="AH80" s="1"/>
      <c r="AI80" s="7" t="s">
        <v>2028</v>
      </c>
      <c r="AJ80" s="7" t="s">
        <v>2029</v>
      </c>
      <c r="AK80" s="1"/>
      <c r="AL80" s="1"/>
      <c r="AM80" s="1"/>
      <c r="AN80" s="1"/>
    </row>
    <row r="81">
      <c r="A81" s="1" t="s">
        <v>2032</v>
      </c>
      <c r="B81" s="1" t="s">
        <v>2032</v>
      </c>
      <c r="C81" s="4">
        <v>45281.41409722222</v>
      </c>
      <c r="D81" s="5">
        <v>1.703152578E9</v>
      </c>
      <c r="E81" s="7" t="s">
        <v>2033</v>
      </c>
      <c r="F81" s="1" t="s">
        <v>2037</v>
      </c>
      <c r="G81" s="1" t="s">
        <v>2038</v>
      </c>
      <c r="H81" s="1" t="s">
        <v>2039</v>
      </c>
      <c r="I81" s="1" t="s">
        <v>2040</v>
      </c>
      <c r="J81" s="7" t="s">
        <v>2041</v>
      </c>
      <c r="K81" s="7" t="s">
        <v>2044</v>
      </c>
      <c r="L81" s="9" t="b">
        <v>0</v>
      </c>
      <c r="M81" s="1" t="s">
        <v>85</v>
      </c>
      <c r="N81" s="1" t="s">
        <v>64</v>
      </c>
      <c r="O81" s="1" t="s">
        <v>65</v>
      </c>
      <c r="P81" s="5">
        <v>1.0</v>
      </c>
      <c r="Q81" s="5">
        <v>0.0</v>
      </c>
      <c r="R81" s="5">
        <v>3.0</v>
      </c>
      <c r="S81" s="5">
        <v>0.0</v>
      </c>
      <c r="T81" s="5">
        <v>71.0</v>
      </c>
      <c r="U81" s="1" t="s">
        <v>65</v>
      </c>
      <c r="V81" s="1"/>
      <c r="W81" s="1" t="s">
        <v>65</v>
      </c>
      <c r="X81" s="1"/>
      <c r="Y81" s="1"/>
      <c r="Z81" s="1"/>
      <c r="AA81" s="1"/>
      <c r="AB81" s="1"/>
      <c r="AC81" s="1" t="s">
        <v>65</v>
      </c>
      <c r="AD81" s="1" t="s">
        <v>65</v>
      </c>
      <c r="AE81" s="1"/>
      <c r="AF81" s="1" t="s">
        <v>65</v>
      </c>
      <c r="AG81" s="1" t="s">
        <v>2051</v>
      </c>
      <c r="AH81" s="1"/>
      <c r="AI81" s="7" t="s">
        <v>2055</v>
      </c>
      <c r="AJ81" s="1"/>
      <c r="AK81" s="1"/>
      <c r="AL81" s="1"/>
      <c r="AM81" s="1"/>
      <c r="AN81" s="1"/>
    </row>
    <row r="82">
      <c r="A82" s="1" t="s">
        <v>2057</v>
      </c>
      <c r="B82" s="1" t="s">
        <v>2057</v>
      </c>
      <c r="C82" s="4">
        <v>45273.670023148145</v>
      </c>
      <c r="D82" s="5">
        <v>1.70248349E9</v>
      </c>
      <c r="E82" s="7" t="s">
        <v>2058</v>
      </c>
      <c r="F82" s="1" t="s">
        <v>2061</v>
      </c>
      <c r="G82" s="1" t="s">
        <v>2062</v>
      </c>
      <c r="H82" s="1" t="s">
        <v>2064</v>
      </c>
      <c r="I82" s="5">
        <v>1.3611946E8</v>
      </c>
      <c r="J82" s="7" t="s">
        <v>2065</v>
      </c>
      <c r="K82" s="7" t="s">
        <v>2069</v>
      </c>
      <c r="L82" s="9" t="b">
        <v>0</v>
      </c>
      <c r="M82" s="1" t="s">
        <v>67</v>
      </c>
      <c r="N82" s="1" t="s">
        <v>64</v>
      </c>
      <c r="O82" s="1" t="s">
        <v>65</v>
      </c>
      <c r="P82" s="5">
        <v>0.0</v>
      </c>
      <c r="Q82" s="5">
        <v>0.0</v>
      </c>
      <c r="R82" s="5">
        <v>1.0</v>
      </c>
      <c r="S82" s="5">
        <v>0.0</v>
      </c>
      <c r="T82" s="5">
        <v>39.0</v>
      </c>
      <c r="U82" s="1" t="s">
        <v>65</v>
      </c>
      <c r="V82" s="1"/>
      <c r="W82" s="1" t="s">
        <v>65</v>
      </c>
      <c r="X82" s="1"/>
      <c r="Y82" s="1"/>
      <c r="Z82" s="1"/>
      <c r="AA82" s="1"/>
      <c r="AB82" s="1"/>
      <c r="AC82" s="1" t="s">
        <v>65</v>
      </c>
      <c r="AD82" s="1" t="s">
        <v>65</v>
      </c>
      <c r="AE82" s="1"/>
      <c r="AF82" s="1" t="s">
        <v>65</v>
      </c>
      <c r="AG82" s="1" t="s">
        <v>2073</v>
      </c>
      <c r="AH82" s="1"/>
      <c r="AI82" s="7" t="s">
        <v>2074</v>
      </c>
      <c r="AJ82" s="1"/>
      <c r="AK82" s="1"/>
      <c r="AL82" s="1"/>
      <c r="AM82" s="1"/>
      <c r="AN82" s="1"/>
    </row>
    <row r="83">
      <c r="A83" s="1" t="s">
        <v>2077</v>
      </c>
      <c r="B83" s="1" t="s">
        <v>2077</v>
      </c>
      <c r="C83" s="4">
        <v>45234.691608796296</v>
      </c>
      <c r="D83" s="5">
        <v>1.699115755E9</v>
      </c>
      <c r="E83" s="7" t="s">
        <v>2078</v>
      </c>
      <c r="F83" s="1" t="s">
        <v>2080</v>
      </c>
      <c r="G83" s="1" t="s">
        <v>2081</v>
      </c>
      <c r="H83" s="1" t="s">
        <v>2081</v>
      </c>
      <c r="I83" s="5">
        <v>2.31436622E8</v>
      </c>
      <c r="J83" s="7" t="s">
        <v>2082</v>
      </c>
      <c r="K83" s="7" t="s">
        <v>2086</v>
      </c>
      <c r="L83" s="9" t="b">
        <v>0</v>
      </c>
      <c r="M83" s="1" t="s">
        <v>85</v>
      </c>
      <c r="N83" s="1" t="s">
        <v>64</v>
      </c>
      <c r="O83" s="1" t="s">
        <v>65</v>
      </c>
      <c r="P83" s="5">
        <v>0.0</v>
      </c>
      <c r="Q83" s="5">
        <v>0.0</v>
      </c>
      <c r="R83" s="5">
        <v>2.0</v>
      </c>
      <c r="S83" s="5">
        <v>0.0</v>
      </c>
      <c r="T83" s="5">
        <v>30.0</v>
      </c>
      <c r="U83" s="1" t="s">
        <v>65</v>
      </c>
      <c r="V83" s="1"/>
      <c r="W83" s="1" t="s">
        <v>65</v>
      </c>
      <c r="X83" s="1"/>
      <c r="Y83" s="1"/>
      <c r="Z83" s="1"/>
      <c r="AA83" s="1"/>
      <c r="AB83" s="1"/>
      <c r="AC83" s="1" t="s">
        <v>65</v>
      </c>
      <c r="AD83" s="1" t="s">
        <v>65</v>
      </c>
      <c r="AE83" s="1"/>
      <c r="AF83" s="1" t="s">
        <v>65</v>
      </c>
      <c r="AG83" s="1" t="s">
        <v>2095</v>
      </c>
      <c r="AH83" s="1"/>
      <c r="AI83" s="7" t="s">
        <v>2096</v>
      </c>
      <c r="AJ83" s="1"/>
      <c r="AK83" s="1"/>
      <c r="AL83" s="1"/>
      <c r="AM83" s="1"/>
      <c r="AN83" s="1"/>
    </row>
    <row r="84" hidden="1">
      <c r="A84" s="1" t="s">
        <v>2099</v>
      </c>
      <c r="B84" s="1" t="s">
        <v>2099</v>
      </c>
      <c r="C84" s="4">
        <v>45209.02767361111</v>
      </c>
      <c r="D84" s="5">
        <v>1.696898391E9</v>
      </c>
      <c r="E84" s="7" t="s">
        <v>2100</v>
      </c>
      <c r="F84" s="1" t="s">
        <v>2103</v>
      </c>
      <c r="G84" s="1" t="s">
        <v>2104</v>
      </c>
      <c r="H84" s="1" t="s">
        <v>2105</v>
      </c>
      <c r="I84" s="5">
        <v>1.707652002E9</v>
      </c>
      <c r="J84" s="7" t="s">
        <v>2106</v>
      </c>
      <c r="K84" s="7" t="s">
        <v>2108</v>
      </c>
      <c r="L84" s="9" t="b">
        <v>0</v>
      </c>
      <c r="M84" s="1" t="s">
        <v>66</v>
      </c>
      <c r="N84" s="1" t="s">
        <v>824</v>
      </c>
      <c r="O84" s="1" t="s">
        <v>65</v>
      </c>
      <c r="P84" s="5">
        <v>0.0</v>
      </c>
      <c r="Q84" s="5">
        <v>1.0</v>
      </c>
      <c r="R84" s="5">
        <v>0.0</v>
      </c>
      <c r="S84" s="5">
        <v>0.0</v>
      </c>
      <c r="T84" s="5">
        <v>132.0</v>
      </c>
      <c r="U84" s="1" t="s">
        <v>65</v>
      </c>
      <c r="V84" s="1"/>
      <c r="W84" s="1" t="s">
        <v>65</v>
      </c>
      <c r="X84" s="1"/>
      <c r="Y84" s="1"/>
      <c r="Z84" s="1"/>
      <c r="AA84" s="1"/>
      <c r="AB84" s="1"/>
      <c r="AC84" s="1" t="s">
        <v>65</v>
      </c>
      <c r="AD84" s="1" t="s">
        <v>65</v>
      </c>
      <c r="AE84" s="1"/>
      <c r="AF84" s="1" t="s">
        <v>65</v>
      </c>
      <c r="AG84" s="1" t="s">
        <v>2114</v>
      </c>
      <c r="AH84" s="1"/>
      <c r="AI84" s="7" t="s">
        <v>2116</v>
      </c>
      <c r="AJ84" s="1"/>
      <c r="AK84" s="1"/>
      <c r="AL84" s="1"/>
      <c r="AM84" s="1"/>
      <c r="AN84" s="1"/>
    </row>
    <row r="85" hidden="1">
      <c r="A85" s="1" t="s">
        <v>2118</v>
      </c>
      <c r="B85" s="1" t="s">
        <v>2119</v>
      </c>
      <c r="C85" s="4">
        <v>45207.76775462963</v>
      </c>
      <c r="D85" s="5">
        <v>1.696789534E9</v>
      </c>
      <c r="E85" s="7" t="s">
        <v>2120</v>
      </c>
      <c r="F85" s="1" t="s">
        <v>2122</v>
      </c>
      <c r="G85" s="1" t="s">
        <v>2123</v>
      </c>
      <c r="H85" s="1" t="s">
        <v>2125</v>
      </c>
      <c r="I85" s="1" t="s">
        <v>2126</v>
      </c>
      <c r="J85" s="7" t="s">
        <v>2127</v>
      </c>
      <c r="K85" s="7" t="s">
        <v>2135</v>
      </c>
      <c r="L85" s="9" t="b">
        <v>0</v>
      </c>
      <c r="M85" s="1" t="s">
        <v>85</v>
      </c>
      <c r="N85" s="1" t="s">
        <v>2138</v>
      </c>
      <c r="O85" s="1" t="s">
        <v>65</v>
      </c>
      <c r="P85" s="5">
        <v>0.0</v>
      </c>
      <c r="Q85" s="5">
        <v>0.0</v>
      </c>
      <c r="R85" s="5">
        <v>0.0</v>
      </c>
      <c r="S85" s="5">
        <v>0.0</v>
      </c>
      <c r="T85" s="5">
        <v>24.0</v>
      </c>
      <c r="U85" s="1" t="s">
        <v>65</v>
      </c>
      <c r="V85" s="1"/>
      <c r="W85" s="1" t="s">
        <v>65</v>
      </c>
      <c r="X85" s="1"/>
      <c r="Y85" s="1"/>
      <c r="Z85" s="1"/>
      <c r="AA85" s="1"/>
      <c r="AB85" s="1"/>
      <c r="AC85" s="1" t="s">
        <v>65</v>
      </c>
      <c r="AD85" s="1" t="s">
        <v>71</v>
      </c>
      <c r="AE85" s="1" t="s">
        <v>2123</v>
      </c>
      <c r="AF85" s="1" t="s">
        <v>65</v>
      </c>
      <c r="AG85" s="1" t="s">
        <v>2140</v>
      </c>
      <c r="AH85" s="1"/>
      <c r="AI85" s="1"/>
      <c r="AJ85" s="1"/>
      <c r="AK85" s="1"/>
      <c r="AL85" s="1"/>
      <c r="AM85" s="1"/>
      <c r="AN85" s="1"/>
    </row>
    <row r="86" hidden="1">
      <c r="A86" s="1" t="s">
        <v>2141</v>
      </c>
      <c r="B86" s="1" t="s">
        <v>2141</v>
      </c>
      <c r="C86" s="4">
        <v>45166.47765046296</v>
      </c>
      <c r="D86" s="5">
        <v>1.693222069E9</v>
      </c>
      <c r="E86" s="7" t="s">
        <v>2143</v>
      </c>
      <c r="F86" s="1" t="s">
        <v>2145</v>
      </c>
      <c r="G86" s="1" t="s">
        <v>2146</v>
      </c>
      <c r="H86" s="1" t="s">
        <v>2147</v>
      </c>
      <c r="I86" s="1" t="s">
        <v>2148</v>
      </c>
      <c r="J86" s="7" t="s">
        <v>2149</v>
      </c>
      <c r="K86" s="7" t="s">
        <v>2155</v>
      </c>
      <c r="L86" s="9" t="b">
        <v>0</v>
      </c>
      <c r="M86" s="1" t="s">
        <v>67</v>
      </c>
      <c r="N86" s="1" t="s">
        <v>68</v>
      </c>
      <c r="O86" s="1" t="s">
        <v>65</v>
      </c>
      <c r="P86" s="5">
        <v>0.0</v>
      </c>
      <c r="Q86" s="5">
        <v>0.0</v>
      </c>
      <c r="R86" s="5">
        <v>0.0</v>
      </c>
      <c r="S86" s="5">
        <v>0.0</v>
      </c>
      <c r="T86" s="5">
        <v>93.0</v>
      </c>
      <c r="U86" s="1" t="s">
        <v>65</v>
      </c>
      <c r="V86" s="1"/>
      <c r="W86" s="1" t="s">
        <v>65</v>
      </c>
      <c r="X86" s="1"/>
      <c r="Y86" s="1"/>
      <c r="Z86" s="1"/>
      <c r="AA86" s="1"/>
      <c r="AB86" s="1"/>
      <c r="AC86" s="1" t="s">
        <v>65</v>
      </c>
      <c r="AD86" s="1" t="s">
        <v>65</v>
      </c>
      <c r="AE86" s="1"/>
      <c r="AF86" s="1" t="s">
        <v>65</v>
      </c>
      <c r="AG86" s="1" t="s">
        <v>2166</v>
      </c>
      <c r="AH86" s="1"/>
      <c r="AI86" s="7" t="s">
        <v>2167</v>
      </c>
      <c r="AJ86" s="7" t="s">
        <v>2168</v>
      </c>
      <c r="AK86" s="1"/>
      <c r="AL86" s="1"/>
      <c r="AM86" s="1"/>
      <c r="AN86" s="1"/>
    </row>
    <row r="87">
      <c r="A87" s="1" t="s">
        <v>2170</v>
      </c>
      <c r="B87" s="1" t="s">
        <v>2170</v>
      </c>
      <c r="C87" s="4">
        <v>45163.52179398148</v>
      </c>
      <c r="D87" s="5">
        <v>1.692966683E9</v>
      </c>
      <c r="E87" s="7" t="s">
        <v>2171</v>
      </c>
      <c r="F87" s="1" t="s">
        <v>2175</v>
      </c>
      <c r="G87" s="1" t="s">
        <v>2176</v>
      </c>
      <c r="H87" s="1" t="s">
        <v>2177</v>
      </c>
      <c r="I87" s="1" t="s">
        <v>2178</v>
      </c>
      <c r="J87" s="7" t="s">
        <v>2179</v>
      </c>
      <c r="K87" s="7" t="s">
        <v>2182</v>
      </c>
      <c r="L87" s="9" t="b">
        <v>0</v>
      </c>
      <c r="M87" s="1" t="s">
        <v>66</v>
      </c>
      <c r="N87" s="1" t="s">
        <v>64</v>
      </c>
      <c r="O87" s="1" t="s">
        <v>65</v>
      </c>
      <c r="P87" s="5">
        <v>0.0</v>
      </c>
      <c r="Q87" s="5">
        <v>0.0</v>
      </c>
      <c r="R87" s="5">
        <v>2.0</v>
      </c>
      <c r="S87" s="5">
        <v>0.0</v>
      </c>
      <c r="T87" s="5">
        <v>27.0</v>
      </c>
      <c r="U87" s="1" t="s">
        <v>65</v>
      </c>
      <c r="V87" s="1"/>
      <c r="W87" s="1" t="s">
        <v>65</v>
      </c>
      <c r="X87" s="1"/>
      <c r="Y87" s="1"/>
      <c r="Z87" s="1"/>
      <c r="AA87" s="1"/>
      <c r="AB87" s="1"/>
      <c r="AC87" s="1" t="s">
        <v>65</v>
      </c>
      <c r="AD87" s="1" t="s">
        <v>65</v>
      </c>
      <c r="AE87" s="1"/>
      <c r="AF87" s="1" t="s">
        <v>65</v>
      </c>
      <c r="AG87" s="1" t="s">
        <v>2189</v>
      </c>
      <c r="AH87" s="1"/>
      <c r="AI87" s="7" t="s">
        <v>2190</v>
      </c>
      <c r="AJ87" s="1"/>
      <c r="AK87" s="1"/>
      <c r="AL87" s="1"/>
      <c r="AM87" s="1"/>
      <c r="AN87" s="1"/>
    </row>
    <row r="88">
      <c r="A88" s="1" t="s">
        <v>2192</v>
      </c>
      <c r="B88" s="1" t="s">
        <v>2192</v>
      </c>
      <c r="C88" s="4">
        <v>45131.378599537034</v>
      </c>
      <c r="D88" s="5">
        <v>1.690189511E9</v>
      </c>
      <c r="E88" s="7" t="s">
        <v>2194</v>
      </c>
      <c r="F88" s="1" t="s">
        <v>2196</v>
      </c>
      <c r="G88" s="1" t="s">
        <v>2197</v>
      </c>
      <c r="H88" s="1" t="s">
        <v>2198</v>
      </c>
      <c r="I88" s="5">
        <v>4.017379276E9</v>
      </c>
      <c r="J88" s="7" t="s">
        <v>2199</v>
      </c>
      <c r="K88" s="7" t="s">
        <v>2205</v>
      </c>
      <c r="L88" s="9" t="b">
        <v>0</v>
      </c>
      <c r="M88" s="7" t="s">
        <v>2210</v>
      </c>
      <c r="N88" s="1" t="s">
        <v>64</v>
      </c>
      <c r="O88" s="1" t="s">
        <v>65</v>
      </c>
      <c r="P88" s="5">
        <v>1.0</v>
      </c>
      <c r="Q88" s="5">
        <v>0.0</v>
      </c>
      <c r="R88" s="5">
        <v>0.0</v>
      </c>
      <c r="S88" s="5">
        <v>1.0</v>
      </c>
      <c r="T88" s="5">
        <v>161.0</v>
      </c>
      <c r="U88" s="1" t="s">
        <v>65</v>
      </c>
      <c r="V88" s="1"/>
      <c r="W88" s="1" t="s">
        <v>65</v>
      </c>
      <c r="X88" s="1"/>
      <c r="Y88" s="1"/>
      <c r="Z88" s="1"/>
      <c r="AA88" s="1"/>
      <c r="AB88" s="1"/>
      <c r="AC88" s="1" t="s">
        <v>65</v>
      </c>
      <c r="AD88" s="1" t="s">
        <v>65</v>
      </c>
      <c r="AE88" s="1"/>
      <c r="AF88" s="1" t="s">
        <v>65</v>
      </c>
      <c r="AG88" s="1" t="s">
        <v>2214</v>
      </c>
      <c r="AH88" s="7" t="s">
        <v>2215</v>
      </c>
      <c r="AI88" s="7" t="s">
        <v>2221</v>
      </c>
      <c r="AJ88" s="1"/>
      <c r="AK88" s="1"/>
      <c r="AL88" s="1"/>
      <c r="AM88" s="1"/>
      <c r="AN88" s="1"/>
    </row>
    <row r="89">
      <c r="A89" s="1" t="s">
        <v>2224</v>
      </c>
      <c r="B89" s="1" t="s">
        <v>2224</v>
      </c>
      <c r="C89" s="4">
        <v>45125.96119212963</v>
      </c>
      <c r="D89" s="5">
        <v>1.689721447E9</v>
      </c>
      <c r="E89" s="7" t="s">
        <v>2225</v>
      </c>
      <c r="F89" s="1" t="s">
        <v>2231</v>
      </c>
      <c r="G89" s="1" t="s">
        <v>2232</v>
      </c>
      <c r="H89" s="1" t="s">
        <v>2233</v>
      </c>
      <c r="I89" s="5">
        <v>2.761247693E9</v>
      </c>
      <c r="J89" s="7" t="s">
        <v>2234</v>
      </c>
      <c r="K89" s="7" t="s">
        <v>2241</v>
      </c>
      <c r="L89" s="9" t="b">
        <v>0</v>
      </c>
      <c r="M89" s="1" t="s">
        <v>67</v>
      </c>
      <c r="N89" s="1" t="s">
        <v>64</v>
      </c>
      <c r="O89" s="1" t="s">
        <v>65</v>
      </c>
      <c r="P89" s="5">
        <v>1.0</v>
      </c>
      <c r="Q89" s="5">
        <v>0.0</v>
      </c>
      <c r="R89" s="5">
        <v>8.0</v>
      </c>
      <c r="S89" s="5">
        <v>0.0</v>
      </c>
      <c r="T89" s="5">
        <v>880.0</v>
      </c>
      <c r="U89" s="1" t="s">
        <v>65</v>
      </c>
      <c r="V89" s="1"/>
      <c r="W89" s="1" t="s">
        <v>71</v>
      </c>
      <c r="X89" s="1" t="s">
        <v>2247</v>
      </c>
      <c r="Y89" s="1" t="s">
        <v>2248</v>
      </c>
      <c r="Z89" s="1" t="s">
        <v>2249</v>
      </c>
      <c r="AA89" s="1"/>
      <c r="AB89" s="1"/>
      <c r="AC89" s="1" t="s">
        <v>65</v>
      </c>
      <c r="AD89" s="1" t="s">
        <v>65</v>
      </c>
      <c r="AE89" s="1"/>
      <c r="AF89" s="1" t="s">
        <v>65</v>
      </c>
      <c r="AG89" s="1" t="s">
        <v>2250</v>
      </c>
      <c r="AH89" s="1"/>
      <c r="AI89" s="1"/>
      <c r="AJ89" s="1"/>
      <c r="AK89" s="1"/>
      <c r="AL89" s="1"/>
      <c r="AM89" s="1"/>
      <c r="AN89" s="1"/>
    </row>
    <row r="90" hidden="1">
      <c r="A90" s="1" t="s">
        <v>2255</v>
      </c>
      <c r="B90" s="1" t="s">
        <v>2255</v>
      </c>
      <c r="C90" s="4">
        <v>45117.47059027778</v>
      </c>
      <c r="D90" s="5">
        <v>1.688987859E9</v>
      </c>
      <c r="E90" s="7" t="s">
        <v>2259</v>
      </c>
      <c r="F90" s="1" t="s">
        <v>2262</v>
      </c>
      <c r="G90" s="1" t="s">
        <v>2264</v>
      </c>
      <c r="H90" s="1" t="s">
        <v>2266</v>
      </c>
      <c r="I90" s="5">
        <v>6.7360043E7</v>
      </c>
      <c r="J90" s="7" t="s">
        <v>2268</v>
      </c>
      <c r="K90" s="7" t="s">
        <v>2270</v>
      </c>
      <c r="L90" s="9" t="b">
        <v>0</v>
      </c>
      <c r="M90" s="1" t="s">
        <v>67</v>
      </c>
      <c r="N90" s="1" t="s">
        <v>68</v>
      </c>
      <c r="O90" s="1" t="s">
        <v>65</v>
      </c>
      <c r="P90" s="5">
        <v>0.0</v>
      </c>
      <c r="Q90" s="5">
        <v>0.0</v>
      </c>
      <c r="R90" s="5">
        <v>0.0</v>
      </c>
      <c r="S90" s="5">
        <v>0.0</v>
      </c>
      <c r="T90" s="5">
        <v>72.0</v>
      </c>
      <c r="U90" s="1" t="s">
        <v>65</v>
      </c>
      <c r="V90" s="1"/>
      <c r="W90" s="1" t="s">
        <v>65</v>
      </c>
      <c r="X90" s="1"/>
      <c r="Y90" s="1"/>
      <c r="Z90" s="1"/>
      <c r="AA90" s="1"/>
      <c r="AB90" s="1"/>
      <c r="AC90" s="1" t="s">
        <v>65</v>
      </c>
      <c r="AD90" s="1" t="s">
        <v>65</v>
      </c>
      <c r="AE90" s="1"/>
      <c r="AF90" s="1" t="s">
        <v>65</v>
      </c>
      <c r="AG90" s="1" t="s">
        <v>2272</v>
      </c>
      <c r="AH90" s="1"/>
      <c r="AI90" s="7" t="s">
        <v>2273</v>
      </c>
      <c r="AJ90" s="1"/>
      <c r="AK90" s="1"/>
      <c r="AL90" s="1"/>
      <c r="AM90" s="1"/>
      <c r="AN90" s="1"/>
    </row>
    <row r="91" hidden="1">
      <c r="A91" s="1" t="s">
        <v>2274</v>
      </c>
      <c r="B91" s="1" t="s">
        <v>2274</v>
      </c>
      <c r="C91" s="4">
        <v>45114.58813657407</v>
      </c>
      <c r="D91" s="5">
        <v>1.688738815E9</v>
      </c>
      <c r="E91" s="7" t="s">
        <v>2276</v>
      </c>
      <c r="F91" s="1" t="s">
        <v>2281</v>
      </c>
      <c r="G91" s="1" t="s">
        <v>2282</v>
      </c>
      <c r="H91" s="1" t="s">
        <v>2283</v>
      </c>
      <c r="I91" s="5">
        <v>1.531681154E9</v>
      </c>
      <c r="J91" s="7" t="s">
        <v>2284</v>
      </c>
      <c r="K91" s="7" t="s">
        <v>2290</v>
      </c>
      <c r="L91" s="9" t="b">
        <v>0</v>
      </c>
      <c r="M91" s="1" t="s">
        <v>2295</v>
      </c>
      <c r="N91" s="1" t="s">
        <v>68</v>
      </c>
      <c r="O91" s="1" t="s">
        <v>65</v>
      </c>
      <c r="P91" s="5">
        <v>0.0</v>
      </c>
      <c r="Q91" s="5">
        <v>0.0</v>
      </c>
      <c r="R91" s="5">
        <v>0.0</v>
      </c>
      <c r="S91" s="5">
        <v>0.0</v>
      </c>
      <c r="T91" s="5">
        <v>36.0</v>
      </c>
      <c r="U91" s="1" t="s">
        <v>65</v>
      </c>
      <c r="V91" s="1"/>
      <c r="W91" s="1" t="s">
        <v>65</v>
      </c>
      <c r="X91" s="1"/>
      <c r="Y91" s="1"/>
      <c r="Z91" s="1"/>
      <c r="AA91" s="1"/>
      <c r="AB91" s="1"/>
      <c r="AC91" s="1" t="s">
        <v>65</v>
      </c>
      <c r="AD91" s="1" t="s">
        <v>65</v>
      </c>
      <c r="AE91" s="1"/>
      <c r="AF91" s="1" t="s">
        <v>65</v>
      </c>
      <c r="AG91" s="1" t="s">
        <v>2296</v>
      </c>
      <c r="AH91" s="7" t="s">
        <v>2297</v>
      </c>
      <c r="AI91" s="1"/>
      <c r="AJ91" s="1"/>
      <c r="AK91" s="1"/>
      <c r="AL91" s="1"/>
      <c r="AM91" s="1"/>
      <c r="AN91" s="1"/>
    </row>
    <row r="92" hidden="1">
      <c r="A92" s="1" t="s">
        <v>2300</v>
      </c>
      <c r="B92" s="1" t="s">
        <v>2300</v>
      </c>
      <c r="C92" s="4">
        <v>45103.907858796294</v>
      </c>
      <c r="D92" s="5">
        <v>1.687816039E9</v>
      </c>
      <c r="E92" s="7" t="s">
        <v>2301</v>
      </c>
      <c r="F92" s="1" t="s">
        <v>2302</v>
      </c>
      <c r="G92" s="1" t="s">
        <v>2303</v>
      </c>
      <c r="H92" s="1" t="s">
        <v>2304</v>
      </c>
      <c r="I92" s="5">
        <v>1.71665356E8</v>
      </c>
      <c r="J92" s="7" t="s">
        <v>2305</v>
      </c>
      <c r="K92" s="7" t="s">
        <v>2310</v>
      </c>
      <c r="L92" s="9" t="b">
        <v>0</v>
      </c>
      <c r="M92" s="1" t="s">
        <v>85</v>
      </c>
      <c r="N92" s="1" t="s">
        <v>824</v>
      </c>
      <c r="O92" s="1" t="s">
        <v>65</v>
      </c>
      <c r="P92" s="5">
        <v>0.0</v>
      </c>
      <c r="Q92" s="5">
        <v>0.0</v>
      </c>
      <c r="R92" s="5">
        <v>0.0</v>
      </c>
      <c r="S92" s="5">
        <v>0.0</v>
      </c>
      <c r="T92" s="5">
        <v>54.0</v>
      </c>
      <c r="U92" s="1" t="s">
        <v>65</v>
      </c>
      <c r="V92" s="1"/>
      <c r="W92" s="1" t="s">
        <v>65</v>
      </c>
      <c r="X92" s="1"/>
      <c r="Y92" s="1"/>
      <c r="Z92" s="1"/>
      <c r="AA92" s="1"/>
      <c r="AB92" s="1"/>
      <c r="AC92" s="1" t="s">
        <v>65</v>
      </c>
      <c r="AD92" s="1" t="s">
        <v>65</v>
      </c>
      <c r="AE92" s="1"/>
      <c r="AF92" s="1" t="s">
        <v>65</v>
      </c>
      <c r="AG92" s="1" t="s">
        <v>2318</v>
      </c>
      <c r="AH92" s="1"/>
      <c r="AI92" s="7" t="s">
        <v>2320</v>
      </c>
      <c r="AJ92" s="1"/>
      <c r="AK92" s="1" t="s">
        <v>2321</v>
      </c>
      <c r="AL92" s="1" t="s">
        <v>2323</v>
      </c>
      <c r="AM92" s="1" t="s">
        <v>2324</v>
      </c>
      <c r="AN92" s="1"/>
    </row>
    <row r="93">
      <c r="A93" s="1" t="s">
        <v>2325</v>
      </c>
      <c r="B93" s="1" t="s">
        <v>2326</v>
      </c>
      <c r="C93" s="4">
        <v>45099.61931712963</v>
      </c>
      <c r="D93" s="5">
        <v>1.687445509E9</v>
      </c>
      <c r="E93" s="7" t="s">
        <v>2327</v>
      </c>
      <c r="F93" s="1" t="s">
        <v>2329</v>
      </c>
      <c r="G93" s="1" t="s">
        <v>2330</v>
      </c>
      <c r="H93" s="1" t="s">
        <v>2331</v>
      </c>
      <c r="I93" s="1" t="s">
        <v>2332</v>
      </c>
      <c r="J93" s="7" t="s">
        <v>2334</v>
      </c>
      <c r="K93" s="7" t="s">
        <v>2338</v>
      </c>
      <c r="L93" s="9" t="b">
        <v>0</v>
      </c>
      <c r="M93" s="1" t="s">
        <v>67</v>
      </c>
      <c r="N93" s="1" t="s">
        <v>64</v>
      </c>
      <c r="O93" s="1" t="s">
        <v>65</v>
      </c>
      <c r="P93" s="5">
        <v>0.0</v>
      </c>
      <c r="Q93" s="5">
        <v>0.0</v>
      </c>
      <c r="R93" s="5">
        <v>1.0</v>
      </c>
      <c r="S93" s="5">
        <v>0.0</v>
      </c>
      <c r="T93" s="5">
        <v>143.0</v>
      </c>
      <c r="U93" s="1" t="s">
        <v>65</v>
      </c>
      <c r="V93" s="1"/>
      <c r="W93" s="1" t="s">
        <v>65</v>
      </c>
      <c r="X93" s="1"/>
      <c r="Y93" s="1"/>
      <c r="Z93" s="1"/>
      <c r="AA93" s="1"/>
      <c r="AB93" s="1"/>
      <c r="AC93" s="1" t="s">
        <v>65</v>
      </c>
      <c r="AD93" s="1" t="s">
        <v>71</v>
      </c>
      <c r="AE93" s="1" t="s">
        <v>2330</v>
      </c>
      <c r="AF93" s="1" t="s">
        <v>65</v>
      </c>
      <c r="AG93" s="1" t="s">
        <v>561</v>
      </c>
      <c r="AH93" s="1"/>
      <c r="AI93" s="1"/>
      <c r="AJ93" s="1"/>
      <c r="AK93" s="1"/>
      <c r="AL93" s="1"/>
      <c r="AM93" s="1"/>
      <c r="AN93" s="1"/>
    </row>
    <row r="94">
      <c r="A94" s="1" t="s">
        <v>2344</v>
      </c>
      <c r="B94" s="1" t="s">
        <v>2345</v>
      </c>
      <c r="C94" s="4">
        <v>45088.81675925926</v>
      </c>
      <c r="D94" s="5">
        <v>1.686512168E9</v>
      </c>
      <c r="E94" s="7" t="s">
        <v>2346</v>
      </c>
      <c r="F94" s="1" t="s">
        <v>2349</v>
      </c>
      <c r="G94" s="1" t="s">
        <v>2330</v>
      </c>
      <c r="H94" s="1" t="s">
        <v>2331</v>
      </c>
      <c r="I94" s="1" t="s">
        <v>2332</v>
      </c>
      <c r="J94" s="7" t="s">
        <v>2334</v>
      </c>
      <c r="K94" s="7" t="s">
        <v>2338</v>
      </c>
      <c r="L94" s="9" t="b">
        <v>0</v>
      </c>
      <c r="M94" s="1" t="s">
        <v>67</v>
      </c>
      <c r="N94" s="1" t="s">
        <v>64</v>
      </c>
      <c r="O94" s="1" t="s">
        <v>65</v>
      </c>
      <c r="P94" s="5">
        <v>0.0</v>
      </c>
      <c r="Q94" s="5">
        <v>0.0</v>
      </c>
      <c r="R94" s="5">
        <v>1.0</v>
      </c>
      <c r="S94" s="5">
        <v>0.0</v>
      </c>
      <c r="T94" s="5">
        <v>128.0</v>
      </c>
      <c r="U94" s="1" t="s">
        <v>65</v>
      </c>
      <c r="V94" s="1"/>
      <c r="W94" s="1" t="s">
        <v>65</v>
      </c>
      <c r="X94" s="1"/>
      <c r="Y94" s="1"/>
      <c r="Z94" s="1"/>
      <c r="AA94" s="1"/>
      <c r="AB94" s="1"/>
      <c r="AC94" s="1" t="s">
        <v>65</v>
      </c>
      <c r="AD94" s="1" t="s">
        <v>71</v>
      </c>
      <c r="AE94" s="1" t="s">
        <v>2330</v>
      </c>
      <c r="AF94" s="1" t="s">
        <v>65</v>
      </c>
      <c r="AG94" s="1" t="s">
        <v>2354</v>
      </c>
      <c r="AH94" s="1"/>
      <c r="AI94" s="1"/>
      <c r="AJ94" s="1"/>
      <c r="AK94" s="1"/>
      <c r="AL94" s="1"/>
      <c r="AM94" s="1"/>
      <c r="AN94" s="1"/>
    </row>
    <row r="95">
      <c r="A95" s="1" t="s">
        <v>2355</v>
      </c>
      <c r="B95" s="1" t="s">
        <v>2355</v>
      </c>
      <c r="C95" s="4">
        <v>45085.88532407407</v>
      </c>
      <c r="D95" s="5">
        <v>1.686258892E9</v>
      </c>
      <c r="E95" s="7" t="s">
        <v>2357</v>
      </c>
      <c r="F95" s="1" t="s">
        <v>2359</v>
      </c>
      <c r="G95" s="1" t="s">
        <v>391</v>
      </c>
      <c r="H95" s="1" t="s">
        <v>392</v>
      </c>
      <c r="I95" s="1" t="s">
        <v>394</v>
      </c>
      <c r="J95" s="7" t="s">
        <v>396</v>
      </c>
      <c r="K95" s="7" t="s">
        <v>1081</v>
      </c>
      <c r="L95" s="9" t="b">
        <v>0</v>
      </c>
      <c r="M95" s="1" t="s">
        <v>85</v>
      </c>
      <c r="N95" s="1" t="s">
        <v>64</v>
      </c>
      <c r="O95" s="1" t="s">
        <v>65</v>
      </c>
      <c r="P95" s="5">
        <v>2.0</v>
      </c>
      <c r="Q95" s="5">
        <v>1.0</v>
      </c>
      <c r="R95" s="5">
        <v>13.0</v>
      </c>
      <c r="S95" s="5">
        <v>1.0</v>
      </c>
      <c r="T95" s="5">
        <v>1139.0</v>
      </c>
      <c r="U95" s="1" t="s">
        <v>65</v>
      </c>
      <c r="V95" s="1"/>
      <c r="W95" s="1" t="s">
        <v>65</v>
      </c>
      <c r="X95" s="1"/>
      <c r="Y95" s="1"/>
      <c r="Z95" s="1"/>
      <c r="AA95" s="1"/>
      <c r="AB95" s="1"/>
      <c r="AC95" s="1" t="s">
        <v>65</v>
      </c>
      <c r="AD95" s="1" t="s">
        <v>65</v>
      </c>
      <c r="AE95" s="1"/>
      <c r="AF95" s="1" t="s">
        <v>65</v>
      </c>
      <c r="AG95" s="1" t="s">
        <v>2360</v>
      </c>
      <c r="AH95" s="1"/>
      <c r="AI95" s="7" t="s">
        <v>2361</v>
      </c>
      <c r="AJ95" s="7" t="s">
        <v>2365</v>
      </c>
      <c r="AK95" s="1" t="s">
        <v>2371</v>
      </c>
      <c r="AL95" s="1"/>
      <c r="AM95" s="1"/>
      <c r="AN95" s="1"/>
    </row>
    <row r="96">
      <c r="A96" s="1" t="s">
        <v>2373</v>
      </c>
      <c r="B96" s="1" t="s">
        <v>2374</v>
      </c>
      <c r="C96" s="4">
        <v>45085.68834490741</v>
      </c>
      <c r="D96" s="5">
        <v>1.686241873E9</v>
      </c>
      <c r="E96" s="7" t="s">
        <v>2375</v>
      </c>
      <c r="F96" s="1" t="s">
        <v>2377</v>
      </c>
      <c r="G96" s="1" t="s">
        <v>2378</v>
      </c>
      <c r="H96" s="1" t="s">
        <v>2379</v>
      </c>
      <c r="I96" s="5">
        <v>2.07630868E8</v>
      </c>
      <c r="J96" s="7" t="s">
        <v>2380</v>
      </c>
      <c r="K96" s="7" t="s">
        <v>2383</v>
      </c>
      <c r="L96" s="9" t="b">
        <v>0</v>
      </c>
      <c r="M96" s="1" t="s">
        <v>67</v>
      </c>
      <c r="N96" s="1" t="s">
        <v>64</v>
      </c>
      <c r="O96" s="1" t="s">
        <v>65</v>
      </c>
      <c r="P96" s="5">
        <v>0.0</v>
      </c>
      <c r="Q96" s="5">
        <v>0.0</v>
      </c>
      <c r="R96" s="5">
        <v>0.0</v>
      </c>
      <c r="S96" s="5">
        <v>0.0</v>
      </c>
      <c r="T96" s="5">
        <v>24.0</v>
      </c>
      <c r="U96" s="1" t="s">
        <v>65</v>
      </c>
      <c r="V96" s="1"/>
      <c r="W96" s="1" t="s">
        <v>65</v>
      </c>
      <c r="X96" s="1"/>
      <c r="Y96" s="1"/>
      <c r="Z96" s="1"/>
      <c r="AA96" s="1"/>
      <c r="AB96" s="1"/>
      <c r="AC96" s="1" t="s">
        <v>65</v>
      </c>
      <c r="AD96" s="1" t="s">
        <v>71</v>
      </c>
      <c r="AE96" s="1" t="s">
        <v>2392</v>
      </c>
      <c r="AF96" s="1" t="s">
        <v>65</v>
      </c>
      <c r="AG96" s="1" t="s">
        <v>561</v>
      </c>
      <c r="AH96" s="1"/>
      <c r="AI96" s="7" t="s">
        <v>2393</v>
      </c>
      <c r="AJ96" s="1"/>
      <c r="AK96" s="1" t="s">
        <v>2392</v>
      </c>
      <c r="AL96" s="1"/>
      <c r="AM96" s="1"/>
      <c r="AN96" s="1"/>
    </row>
    <row r="97" hidden="1">
      <c r="A97" s="1" t="s">
        <v>2396</v>
      </c>
      <c r="B97" s="1" t="s">
        <v>2396</v>
      </c>
      <c r="C97" s="4">
        <v>45081.69605324074</v>
      </c>
      <c r="D97" s="5">
        <v>1.685896939E9</v>
      </c>
      <c r="E97" s="7" t="s">
        <v>2399</v>
      </c>
      <c r="F97" s="1" t="s">
        <v>2408</v>
      </c>
      <c r="G97" s="1" t="s">
        <v>2409</v>
      </c>
      <c r="H97" s="1" t="s">
        <v>2410</v>
      </c>
      <c r="I97" s="1" t="s">
        <v>2411</v>
      </c>
      <c r="J97" s="7" t="s">
        <v>2412</v>
      </c>
      <c r="K97" s="7" t="s">
        <v>2414</v>
      </c>
      <c r="L97" s="9" t="b">
        <v>0</v>
      </c>
      <c r="M97" s="1" t="s">
        <v>66</v>
      </c>
      <c r="N97" s="1" t="s">
        <v>68</v>
      </c>
      <c r="O97" s="1" t="s">
        <v>65</v>
      </c>
      <c r="P97" s="5">
        <v>0.0</v>
      </c>
      <c r="Q97" s="5">
        <v>0.0</v>
      </c>
      <c r="R97" s="5">
        <v>0.0</v>
      </c>
      <c r="S97" s="5">
        <v>0.0</v>
      </c>
      <c r="T97" s="5">
        <v>34.0</v>
      </c>
      <c r="U97" s="1" t="s">
        <v>65</v>
      </c>
      <c r="V97" s="1"/>
      <c r="W97" s="1" t="s">
        <v>65</v>
      </c>
      <c r="X97" s="1"/>
      <c r="Y97" s="1"/>
      <c r="Z97" s="1"/>
      <c r="AA97" s="1"/>
      <c r="AB97" s="1"/>
      <c r="AC97" s="1" t="s">
        <v>65</v>
      </c>
      <c r="AD97" s="1" t="s">
        <v>65</v>
      </c>
      <c r="AE97" s="1"/>
      <c r="AF97" s="1" t="s">
        <v>65</v>
      </c>
      <c r="AG97" s="1" t="s">
        <v>414</v>
      </c>
      <c r="AH97" s="1"/>
      <c r="AI97" s="1"/>
      <c r="AJ97" s="1"/>
      <c r="AK97" s="1"/>
      <c r="AL97" s="1"/>
      <c r="AM97" s="1"/>
      <c r="AN97" s="1"/>
    </row>
    <row r="98" hidden="1">
      <c r="A98" s="1" t="s">
        <v>2419</v>
      </c>
      <c r="B98" s="1" t="s">
        <v>2419</v>
      </c>
      <c r="C98" s="4">
        <v>45079.93945601852</v>
      </c>
      <c r="D98" s="5">
        <v>1.685745169E9</v>
      </c>
      <c r="E98" s="7" t="s">
        <v>2420</v>
      </c>
      <c r="F98" s="1" t="s">
        <v>2431</v>
      </c>
      <c r="G98" s="1" t="s">
        <v>2409</v>
      </c>
      <c r="H98" s="1" t="s">
        <v>2410</v>
      </c>
      <c r="I98" s="1" t="s">
        <v>2411</v>
      </c>
      <c r="J98" s="7" t="s">
        <v>2412</v>
      </c>
      <c r="K98" s="7" t="s">
        <v>2414</v>
      </c>
      <c r="L98" s="9" t="b">
        <v>0</v>
      </c>
      <c r="M98" s="1" t="s">
        <v>66</v>
      </c>
      <c r="N98" s="1" t="s">
        <v>68</v>
      </c>
      <c r="O98" s="1" t="s">
        <v>65</v>
      </c>
      <c r="P98" s="5">
        <v>0.0</v>
      </c>
      <c r="Q98" s="5">
        <v>0.0</v>
      </c>
      <c r="R98" s="5">
        <v>0.0</v>
      </c>
      <c r="S98" s="5">
        <v>0.0</v>
      </c>
      <c r="T98" s="5">
        <v>26.0</v>
      </c>
      <c r="U98" s="1" t="s">
        <v>65</v>
      </c>
      <c r="V98" s="1"/>
      <c r="W98" s="1" t="s">
        <v>65</v>
      </c>
      <c r="X98" s="1"/>
      <c r="Y98" s="1"/>
      <c r="Z98" s="1"/>
      <c r="AA98" s="1"/>
      <c r="AB98" s="1"/>
      <c r="AC98" s="1" t="s">
        <v>65</v>
      </c>
      <c r="AD98" s="1" t="s">
        <v>65</v>
      </c>
      <c r="AE98" s="1"/>
      <c r="AF98" s="1" t="s">
        <v>65</v>
      </c>
      <c r="AG98" s="1" t="s">
        <v>414</v>
      </c>
      <c r="AH98" s="1"/>
      <c r="AI98" s="1"/>
      <c r="AJ98" s="1"/>
      <c r="AK98" s="1"/>
      <c r="AL98" s="1"/>
      <c r="AM98" s="1"/>
      <c r="AN98" s="1"/>
    </row>
    <row r="99">
      <c r="A99" s="1" t="s">
        <v>2433</v>
      </c>
      <c r="B99" s="1" t="s">
        <v>2433</v>
      </c>
      <c r="C99" s="4">
        <v>45075.68101851852</v>
      </c>
      <c r="D99" s="5">
        <v>1.68537724E9</v>
      </c>
      <c r="E99" s="7" t="s">
        <v>2435</v>
      </c>
      <c r="F99" s="1" t="s">
        <v>2439</v>
      </c>
      <c r="G99" s="1" t="s">
        <v>2330</v>
      </c>
      <c r="H99" s="1" t="s">
        <v>2331</v>
      </c>
      <c r="I99" s="1" t="s">
        <v>2332</v>
      </c>
      <c r="J99" s="7" t="s">
        <v>2334</v>
      </c>
      <c r="K99" s="7" t="s">
        <v>2338</v>
      </c>
      <c r="L99" s="9" t="b">
        <v>0</v>
      </c>
      <c r="M99" s="1" t="s">
        <v>67</v>
      </c>
      <c r="N99" s="1" t="s">
        <v>64</v>
      </c>
      <c r="O99" s="1" t="s">
        <v>65</v>
      </c>
      <c r="P99" s="5">
        <v>2.0</v>
      </c>
      <c r="Q99" s="5">
        <v>0.0</v>
      </c>
      <c r="R99" s="5">
        <v>18.0</v>
      </c>
      <c r="S99" s="5">
        <v>0.0</v>
      </c>
      <c r="T99" s="5">
        <v>907.0</v>
      </c>
      <c r="U99" s="1" t="s">
        <v>65</v>
      </c>
      <c r="V99" s="1"/>
      <c r="W99" s="1" t="s">
        <v>65</v>
      </c>
      <c r="X99" s="1"/>
      <c r="Y99" s="1"/>
      <c r="Z99" s="1"/>
      <c r="AA99" s="1"/>
      <c r="AB99" s="1"/>
      <c r="AC99" s="1" t="s">
        <v>65</v>
      </c>
      <c r="AD99" s="1" t="s">
        <v>65</v>
      </c>
      <c r="AE99" s="1"/>
      <c r="AF99" s="1" t="s">
        <v>65</v>
      </c>
      <c r="AG99" s="1" t="s">
        <v>2442</v>
      </c>
      <c r="AH99" s="1"/>
      <c r="AI99" s="7" t="s">
        <v>2443</v>
      </c>
      <c r="AJ99" s="1"/>
      <c r="AK99" s="1"/>
      <c r="AL99" s="1"/>
      <c r="AM99" s="1"/>
      <c r="AN99" s="1"/>
    </row>
    <row r="100" hidden="1">
      <c r="A100" s="1" t="s">
        <v>2449</v>
      </c>
      <c r="B100" s="1" t="s">
        <v>2450</v>
      </c>
      <c r="C100" s="4">
        <v>45070.94871527778</v>
      </c>
      <c r="D100" s="5">
        <v>1.684968369E9</v>
      </c>
      <c r="E100" s="7" t="s">
        <v>2451</v>
      </c>
      <c r="F100" s="1" t="s">
        <v>2457</v>
      </c>
      <c r="G100" s="1" t="s">
        <v>1253</v>
      </c>
      <c r="H100" s="1" t="s">
        <v>1255</v>
      </c>
      <c r="I100" s="1" t="s">
        <v>1256</v>
      </c>
      <c r="J100" s="7" t="s">
        <v>1257</v>
      </c>
      <c r="K100" s="7" t="s">
        <v>1264</v>
      </c>
      <c r="L100" s="9" t="b">
        <v>0</v>
      </c>
      <c r="M100" s="1" t="s">
        <v>85</v>
      </c>
      <c r="N100" s="1" t="s">
        <v>68</v>
      </c>
      <c r="O100" s="1" t="s">
        <v>65</v>
      </c>
      <c r="P100" s="5">
        <v>0.0</v>
      </c>
      <c r="Q100" s="5">
        <v>0.0</v>
      </c>
      <c r="R100" s="5">
        <v>3.0</v>
      </c>
      <c r="S100" s="5">
        <v>0.0</v>
      </c>
      <c r="T100" s="5">
        <v>108.0</v>
      </c>
      <c r="U100" s="1" t="s">
        <v>65</v>
      </c>
      <c r="V100" s="1"/>
      <c r="W100" s="1" t="s">
        <v>65</v>
      </c>
      <c r="X100" s="1"/>
      <c r="Y100" s="1"/>
      <c r="Z100" s="1"/>
      <c r="AA100" s="1"/>
      <c r="AB100" s="1"/>
      <c r="AC100" s="1" t="s">
        <v>65</v>
      </c>
      <c r="AD100" s="1" t="s">
        <v>71</v>
      </c>
      <c r="AE100" s="1" t="s">
        <v>1253</v>
      </c>
      <c r="AF100" s="1" t="s">
        <v>65</v>
      </c>
      <c r="AG100" s="1" t="s">
        <v>2467</v>
      </c>
      <c r="AH100" s="1"/>
      <c r="AI100" s="1"/>
      <c r="AJ100" s="1"/>
      <c r="AK100" s="1"/>
      <c r="AL100" s="1"/>
      <c r="AM100" s="1"/>
      <c r="AN100" s="1"/>
    </row>
    <row r="101">
      <c r="A101" s="1" t="s">
        <v>2468</v>
      </c>
      <c r="B101" s="1" t="s">
        <v>2468</v>
      </c>
      <c r="C101" s="4">
        <v>45066.01148148148</v>
      </c>
      <c r="D101" s="5">
        <v>1.684541792E9</v>
      </c>
      <c r="E101" s="7" t="s">
        <v>2469</v>
      </c>
      <c r="F101" s="1" t="s">
        <v>2472</v>
      </c>
      <c r="G101" s="1" t="s">
        <v>2473</v>
      </c>
      <c r="H101" s="1" t="s">
        <v>2474</v>
      </c>
      <c r="I101" s="1" t="s">
        <v>2475</v>
      </c>
      <c r="J101" s="7" t="s">
        <v>2476</v>
      </c>
      <c r="K101" s="1"/>
      <c r="L101" s="9" t="b">
        <v>0</v>
      </c>
      <c r="M101" s="1" t="s">
        <v>67</v>
      </c>
      <c r="N101" s="1" t="s">
        <v>64</v>
      </c>
      <c r="O101" s="1" t="s">
        <v>65</v>
      </c>
      <c r="P101" s="5">
        <v>0.0</v>
      </c>
      <c r="Q101" s="5">
        <v>0.0</v>
      </c>
      <c r="R101" s="5">
        <v>0.0</v>
      </c>
      <c r="S101" s="5">
        <v>0.0</v>
      </c>
      <c r="T101" s="5">
        <v>27.0</v>
      </c>
      <c r="U101" s="1" t="s">
        <v>65</v>
      </c>
      <c r="V101" s="1"/>
      <c r="W101" s="1" t="s">
        <v>65</v>
      </c>
      <c r="X101" s="1"/>
      <c r="Y101" s="1"/>
      <c r="Z101" s="1"/>
      <c r="AA101" s="1"/>
      <c r="AB101" s="1"/>
      <c r="AC101" s="1" t="s">
        <v>65</v>
      </c>
      <c r="AD101" s="1" t="s">
        <v>65</v>
      </c>
      <c r="AE101" s="1"/>
      <c r="AF101" s="1" t="s">
        <v>65</v>
      </c>
      <c r="AG101" s="1" t="s">
        <v>2481</v>
      </c>
      <c r="AH101" s="1"/>
      <c r="AI101" s="1"/>
      <c r="AJ101" s="1"/>
      <c r="AK101" s="1"/>
      <c r="AL101" s="1"/>
      <c r="AM101" s="1"/>
      <c r="AN101" s="1"/>
    </row>
    <row r="102" hidden="1">
      <c r="A102" s="1" t="s">
        <v>2483</v>
      </c>
      <c r="B102" s="1" t="s">
        <v>2483</v>
      </c>
      <c r="C102" s="4">
        <v>45064.57496527778</v>
      </c>
      <c r="D102" s="5">
        <v>1.684417677E9</v>
      </c>
      <c r="E102" s="7" t="s">
        <v>2484</v>
      </c>
      <c r="F102" s="1" t="s">
        <v>2489</v>
      </c>
      <c r="G102" s="1" t="s">
        <v>2490</v>
      </c>
      <c r="H102" s="1" t="s">
        <v>2491</v>
      </c>
      <c r="I102" s="1" t="s">
        <v>2492</v>
      </c>
      <c r="J102" s="7" t="s">
        <v>2493</v>
      </c>
      <c r="K102" s="7" t="s">
        <v>2495</v>
      </c>
      <c r="L102" s="9" t="b">
        <v>0</v>
      </c>
      <c r="M102" s="1" t="s">
        <v>67</v>
      </c>
      <c r="N102" s="1" t="s">
        <v>68</v>
      </c>
      <c r="O102" s="1" t="s">
        <v>65</v>
      </c>
      <c r="P102" s="5">
        <v>0.0</v>
      </c>
      <c r="Q102" s="5">
        <v>0.0</v>
      </c>
      <c r="R102" s="5">
        <v>0.0</v>
      </c>
      <c r="S102" s="5">
        <v>0.0</v>
      </c>
      <c r="T102" s="5">
        <v>42.0</v>
      </c>
      <c r="U102" s="1" t="s">
        <v>65</v>
      </c>
      <c r="V102" s="1"/>
      <c r="W102" s="1" t="s">
        <v>65</v>
      </c>
      <c r="X102" s="1"/>
      <c r="Y102" s="1"/>
      <c r="Z102" s="1"/>
      <c r="AA102" s="1"/>
      <c r="AB102" s="1"/>
      <c r="AC102" s="1" t="s">
        <v>65</v>
      </c>
      <c r="AD102" s="1" t="s">
        <v>65</v>
      </c>
      <c r="AE102" s="1"/>
      <c r="AF102" s="1" t="s">
        <v>65</v>
      </c>
      <c r="AG102" s="1" t="s">
        <v>2497</v>
      </c>
      <c r="AH102" s="1"/>
      <c r="AI102" s="7" t="s">
        <v>2498</v>
      </c>
      <c r="AJ102" s="1"/>
      <c r="AK102" s="1"/>
      <c r="AL102" s="1"/>
      <c r="AM102" s="1"/>
      <c r="AN102" s="1"/>
    </row>
    <row r="103">
      <c r="A103" s="1" t="s">
        <v>2502</v>
      </c>
      <c r="B103" s="1" t="s">
        <v>2502</v>
      </c>
      <c r="C103" s="4">
        <v>45060.0465625</v>
      </c>
      <c r="D103" s="5">
        <v>1.684026423E9</v>
      </c>
      <c r="E103" s="7" t="s">
        <v>2506</v>
      </c>
      <c r="F103" s="1" t="s">
        <v>2509</v>
      </c>
      <c r="G103" s="1" t="s">
        <v>2510</v>
      </c>
      <c r="H103" s="1" t="s">
        <v>2511</v>
      </c>
      <c r="I103" s="5">
        <v>1.84775379E8</v>
      </c>
      <c r="J103" s="7" t="s">
        <v>2512</v>
      </c>
      <c r="K103" s="7" t="s">
        <v>2515</v>
      </c>
      <c r="L103" s="9" t="b">
        <v>0</v>
      </c>
      <c r="M103" s="1" t="s">
        <v>67</v>
      </c>
      <c r="N103" s="1" t="s">
        <v>64</v>
      </c>
      <c r="O103" s="1" t="s">
        <v>65</v>
      </c>
      <c r="P103" s="5">
        <v>0.0</v>
      </c>
      <c r="Q103" s="5">
        <v>0.0</v>
      </c>
      <c r="R103" s="5">
        <v>1.0</v>
      </c>
      <c r="S103" s="5">
        <v>0.0</v>
      </c>
      <c r="T103" s="5">
        <v>81.0</v>
      </c>
      <c r="U103" s="1" t="s">
        <v>65</v>
      </c>
      <c r="V103" s="1"/>
      <c r="W103" s="1" t="s">
        <v>65</v>
      </c>
      <c r="X103" s="1"/>
      <c r="Y103" s="1"/>
      <c r="Z103" s="1"/>
      <c r="AA103" s="1"/>
      <c r="AB103" s="1"/>
      <c r="AC103" s="1" t="s">
        <v>65</v>
      </c>
      <c r="AD103" s="1" t="s">
        <v>65</v>
      </c>
      <c r="AE103" s="1"/>
      <c r="AF103" s="1" t="s">
        <v>65</v>
      </c>
      <c r="AG103" s="1" t="s">
        <v>2521</v>
      </c>
      <c r="AH103" s="1"/>
      <c r="AI103" s="1"/>
      <c r="AJ103" s="1"/>
      <c r="AK103" s="1"/>
      <c r="AL103" s="1"/>
      <c r="AM103" s="1"/>
      <c r="AN103" s="1"/>
    </row>
    <row r="104">
      <c r="A104" s="1" t="s">
        <v>2523</v>
      </c>
      <c r="B104" s="1" t="s">
        <v>2523</v>
      </c>
      <c r="C104" s="4">
        <v>45056.42747685185</v>
      </c>
      <c r="D104" s="5">
        <v>1.683713734E9</v>
      </c>
      <c r="E104" s="7" t="s">
        <v>2524</v>
      </c>
      <c r="F104" s="1" t="s">
        <v>2526</v>
      </c>
      <c r="G104" s="1" t="s">
        <v>2510</v>
      </c>
      <c r="H104" s="1" t="s">
        <v>2511</v>
      </c>
      <c r="I104" s="5">
        <v>1.84775379E8</v>
      </c>
      <c r="J104" s="7" t="s">
        <v>2512</v>
      </c>
      <c r="K104" s="7" t="s">
        <v>2515</v>
      </c>
      <c r="L104" s="9" t="b">
        <v>0</v>
      </c>
      <c r="M104" s="1" t="s">
        <v>67</v>
      </c>
      <c r="N104" s="1" t="s">
        <v>64</v>
      </c>
      <c r="O104" s="1" t="s">
        <v>65</v>
      </c>
      <c r="P104" s="5">
        <v>0.0</v>
      </c>
      <c r="Q104" s="5">
        <v>0.0</v>
      </c>
      <c r="R104" s="5">
        <v>1.0</v>
      </c>
      <c r="S104" s="5">
        <v>0.0</v>
      </c>
      <c r="T104" s="5">
        <v>32.0</v>
      </c>
      <c r="U104" s="1" t="s">
        <v>65</v>
      </c>
      <c r="V104" s="1"/>
      <c r="W104" s="1" t="s">
        <v>65</v>
      </c>
      <c r="X104" s="1"/>
      <c r="Y104" s="1"/>
      <c r="Z104" s="1"/>
      <c r="AA104" s="1"/>
      <c r="AB104" s="1"/>
      <c r="AC104" s="1" t="s">
        <v>65</v>
      </c>
      <c r="AD104" s="1" t="s">
        <v>65</v>
      </c>
      <c r="AE104" s="1"/>
      <c r="AF104" s="1" t="s">
        <v>65</v>
      </c>
      <c r="AG104" s="1" t="s">
        <v>561</v>
      </c>
      <c r="AH104" s="1"/>
      <c r="AI104" s="1"/>
      <c r="AJ104" s="1"/>
      <c r="AK104" s="1"/>
      <c r="AL104" s="1"/>
      <c r="AM104" s="1"/>
      <c r="AN104" s="1"/>
    </row>
    <row r="105">
      <c r="A105" s="1" t="s">
        <v>2534</v>
      </c>
      <c r="B105" s="1" t="s">
        <v>2534</v>
      </c>
      <c r="C105" s="4">
        <v>45044.56966435185</v>
      </c>
      <c r="D105" s="5">
        <v>1.682689219E9</v>
      </c>
      <c r="E105" s="7" t="s">
        <v>2535</v>
      </c>
      <c r="F105" s="1" t="s">
        <v>2537</v>
      </c>
      <c r="G105" s="1" t="s">
        <v>2538</v>
      </c>
      <c r="H105" s="1" t="s">
        <v>2539</v>
      </c>
      <c r="I105" s="5">
        <v>8.31316723E8</v>
      </c>
      <c r="J105" s="7" t="s">
        <v>2540</v>
      </c>
      <c r="K105" s="7" t="s">
        <v>2543</v>
      </c>
      <c r="L105" s="9" t="b">
        <v>0</v>
      </c>
      <c r="M105" s="1" t="s">
        <v>67</v>
      </c>
      <c r="N105" s="1" t="s">
        <v>64</v>
      </c>
      <c r="O105" s="1" t="s">
        <v>65</v>
      </c>
      <c r="P105" s="5">
        <v>1.0</v>
      </c>
      <c r="Q105" s="5">
        <v>0.0</v>
      </c>
      <c r="R105" s="5">
        <v>2.0</v>
      </c>
      <c r="S105" s="5">
        <v>0.0</v>
      </c>
      <c r="T105" s="5">
        <v>100.0</v>
      </c>
      <c r="U105" s="1" t="s">
        <v>65</v>
      </c>
      <c r="V105" s="1"/>
      <c r="W105" s="1" t="s">
        <v>65</v>
      </c>
      <c r="X105" s="1"/>
      <c r="Y105" s="1"/>
      <c r="Z105" s="1"/>
      <c r="AA105" s="1"/>
      <c r="AB105" s="1"/>
      <c r="AC105" s="1" t="s">
        <v>65</v>
      </c>
      <c r="AD105" s="1" t="s">
        <v>65</v>
      </c>
      <c r="AE105" s="1"/>
      <c r="AF105" s="1" t="s">
        <v>65</v>
      </c>
      <c r="AG105" s="1" t="s">
        <v>2548</v>
      </c>
      <c r="AH105" s="1"/>
      <c r="AI105" s="7" t="s">
        <v>2549</v>
      </c>
      <c r="AJ105" s="1"/>
      <c r="AK105" s="1"/>
      <c r="AL105" s="1" t="s">
        <v>2556</v>
      </c>
      <c r="AM105" s="1" t="s">
        <v>2557</v>
      </c>
      <c r="AN105" s="1"/>
    </row>
    <row r="106" hidden="1">
      <c r="A106" s="1" t="s">
        <v>2558</v>
      </c>
      <c r="B106" s="1" t="s">
        <v>2558</v>
      </c>
      <c r="C106" s="4">
        <v>45042.39915509259</v>
      </c>
      <c r="D106" s="5">
        <v>1.682501687E9</v>
      </c>
      <c r="E106" s="7" t="s">
        <v>2559</v>
      </c>
      <c r="F106" s="1" t="s">
        <v>2561</v>
      </c>
      <c r="G106" s="1" t="s">
        <v>2562</v>
      </c>
      <c r="H106" s="1" t="s">
        <v>2564</v>
      </c>
      <c r="I106" s="1" t="s">
        <v>2565</v>
      </c>
      <c r="J106" s="7" t="s">
        <v>2566</v>
      </c>
      <c r="K106" s="1"/>
      <c r="L106" s="9" t="b">
        <v>0</v>
      </c>
      <c r="M106" s="1" t="s">
        <v>85</v>
      </c>
      <c r="N106" s="1" t="s">
        <v>68</v>
      </c>
      <c r="O106" s="1" t="s">
        <v>65</v>
      </c>
      <c r="P106" s="5">
        <v>0.0</v>
      </c>
      <c r="Q106" s="5">
        <v>0.0</v>
      </c>
      <c r="R106" s="5">
        <v>0.0</v>
      </c>
      <c r="S106" s="5">
        <v>0.0</v>
      </c>
      <c r="T106" s="5">
        <v>56.0</v>
      </c>
      <c r="U106" s="1" t="s">
        <v>65</v>
      </c>
      <c r="V106" s="1"/>
      <c r="W106" s="1" t="s">
        <v>65</v>
      </c>
      <c r="X106" s="1"/>
      <c r="Y106" s="1"/>
      <c r="Z106" s="1"/>
      <c r="AA106" s="1"/>
      <c r="AB106" s="1"/>
      <c r="AC106" s="1" t="s">
        <v>65</v>
      </c>
      <c r="AD106" s="1" t="s">
        <v>65</v>
      </c>
      <c r="AE106" s="1"/>
      <c r="AF106" s="1" t="s">
        <v>65</v>
      </c>
      <c r="AG106" s="1" t="s">
        <v>2570</v>
      </c>
      <c r="AH106" s="1"/>
      <c r="AI106" s="7" t="s">
        <v>2571</v>
      </c>
      <c r="AJ106" s="1"/>
      <c r="AK106" s="1"/>
      <c r="AL106" s="1"/>
      <c r="AM106" s="1"/>
      <c r="AN106" s="1"/>
    </row>
    <row r="107" hidden="1">
      <c r="A107" s="1" t="s">
        <v>2577</v>
      </c>
      <c r="B107" s="1" t="s">
        <v>2577</v>
      </c>
      <c r="C107" s="4">
        <v>45023.6124537037</v>
      </c>
      <c r="D107" s="5">
        <v>1.680878516E9</v>
      </c>
      <c r="E107" s="7" t="s">
        <v>2578</v>
      </c>
      <c r="F107" s="1" t="s">
        <v>2584</v>
      </c>
      <c r="G107" s="1" t="s">
        <v>2585</v>
      </c>
      <c r="H107" s="1" t="s">
        <v>2586</v>
      </c>
      <c r="I107" s="5">
        <v>1.80142991E8</v>
      </c>
      <c r="J107" s="7" t="s">
        <v>2588</v>
      </c>
      <c r="K107" s="7" t="s">
        <v>2589</v>
      </c>
      <c r="L107" s="9" t="b">
        <v>0</v>
      </c>
      <c r="M107" s="1" t="s">
        <v>85</v>
      </c>
      <c r="N107" s="1" t="s">
        <v>68</v>
      </c>
      <c r="O107" s="1" t="s">
        <v>65</v>
      </c>
      <c r="P107" s="5">
        <v>2.0</v>
      </c>
      <c r="Q107" s="5">
        <v>1.0</v>
      </c>
      <c r="R107" s="5">
        <v>8.0</v>
      </c>
      <c r="S107" s="5">
        <v>0.0</v>
      </c>
      <c r="T107" s="5">
        <v>2307.0</v>
      </c>
      <c r="U107" s="1" t="s">
        <v>65</v>
      </c>
      <c r="V107" s="1"/>
      <c r="W107" s="1" t="s">
        <v>65</v>
      </c>
      <c r="X107" s="1"/>
      <c r="Y107" s="1"/>
      <c r="Z107" s="1"/>
      <c r="AA107" s="1"/>
      <c r="AB107" s="1"/>
      <c r="AC107" s="1" t="s">
        <v>65</v>
      </c>
      <c r="AD107" s="1" t="s">
        <v>65</v>
      </c>
      <c r="AE107" s="1"/>
      <c r="AF107" s="1" t="s">
        <v>65</v>
      </c>
      <c r="AG107" s="1" t="s">
        <v>472</v>
      </c>
      <c r="AH107" s="1"/>
      <c r="AI107" s="7" t="s">
        <v>2598</v>
      </c>
      <c r="AJ107" s="7" t="s">
        <v>2601</v>
      </c>
      <c r="AK107" s="1"/>
      <c r="AL107" s="1"/>
      <c r="AM107" s="1"/>
      <c r="AN107" s="1"/>
    </row>
    <row r="108">
      <c r="A108" s="1" t="s">
        <v>2606</v>
      </c>
      <c r="B108" s="1" t="s">
        <v>2606</v>
      </c>
      <c r="C108" s="4">
        <v>44988.67071759259</v>
      </c>
      <c r="D108" s="5">
        <v>1.67785955E9</v>
      </c>
      <c r="E108" s="7" t="s">
        <v>2608</v>
      </c>
      <c r="F108" s="1" t="s">
        <v>2609</v>
      </c>
      <c r="G108" s="1" t="s">
        <v>2610</v>
      </c>
      <c r="H108" s="1" t="s">
        <v>2611</v>
      </c>
      <c r="I108" s="5">
        <v>9.81246782E8</v>
      </c>
      <c r="J108" s="7" t="s">
        <v>2612</v>
      </c>
      <c r="K108" s="7" t="s">
        <v>2615</v>
      </c>
      <c r="L108" s="9" t="b">
        <v>0</v>
      </c>
      <c r="M108" s="1" t="s">
        <v>66</v>
      </c>
      <c r="N108" s="1" t="s">
        <v>64</v>
      </c>
      <c r="O108" s="1" t="s">
        <v>65</v>
      </c>
      <c r="P108" s="5">
        <v>0.0</v>
      </c>
      <c r="Q108" s="5">
        <v>0.0</v>
      </c>
      <c r="R108" s="5">
        <v>0.0</v>
      </c>
      <c r="S108" s="5">
        <v>0.0</v>
      </c>
      <c r="T108" s="5">
        <v>57.0</v>
      </c>
      <c r="U108" s="1" t="s">
        <v>65</v>
      </c>
      <c r="V108" s="1"/>
      <c r="W108" s="1" t="s">
        <v>65</v>
      </c>
      <c r="X108" s="1"/>
      <c r="Y108" s="1"/>
      <c r="Z108" s="1"/>
      <c r="AA108" s="1"/>
      <c r="AB108" s="1"/>
      <c r="AC108" s="1" t="s">
        <v>65</v>
      </c>
      <c r="AD108" s="1" t="s">
        <v>65</v>
      </c>
      <c r="AE108" s="1"/>
      <c r="AF108" s="1" t="s">
        <v>65</v>
      </c>
      <c r="AG108" s="1" t="s">
        <v>2618</v>
      </c>
      <c r="AH108" s="1"/>
      <c r="AI108" s="7" t="s">
        <v>2620</v>
      </c>
      <c r="AJ108" s="1"/>
      <c r="AK108" s="1"/>
      <c r="AL108" s="1"/>
      <c r="AM108" s="1"/>
      <c r="AN108" s="1"/>
    </row>
    <row r="109">
      <c r="A109" s="1" t="s">
        <v>2621</v>
      </c>
      <c r="B109" s="1" t="s">
        <v>2623</v>
      </c>
      <c r="C109" s="4">
        <v>44981.41385416667</v>
      </c>
      <c r="D109" s="5">
        <v>1.677232557E9</v>
      </c>
      <c r="E109" s="7" t="s">
        <v>2626</v>
      </c>
      <c r="F109" s="1" t="s">
        <v>2628</v>
      </c>
      <c r="G109" s="1" t="s">
        <v>2629</v>
      </c>
      <c r="H109" s="1" t="s">
        <v>2630</v>
      </c>
      <c r="I109" s="5">
        <v>2.364082788E9</v>
      </c>
      <c r="J109" s="7" t="s">
        <v>2631</v>
      </c>
      <c r="K109" s="7" t="s">
        <v>2633</v>
      </c>
      <c r="L109" s="9" t="b">
        <v>0</v>
      </c>
      <c r="M109" s="1" t="s">
        <v>66</v>
      </c>
      <c r="N109" s="1" t="s">
        <v>64</v>
      </c>
      <c r="O109" s="1" t="s">
        <v>65</v>
      </c>
      <c r="P109" s="5">
        <v>0.0</v>
      </c>
      <c r="Q109" s="5">
        <v>0.0</v>
      </c>
      <c r="R109" s="5">
        <v>0.0</v>
      </c>
      <c r="S109" s="5">
        <v>0.0</v>
      </c>
      <c r="T109" s="5">
        <v>72.0</v>
      </c>
      <c r="U109" s="1" t="s">
        <v>65</v>
      </c>
      <c r="V109" s="1"/>
      <c r="W109" s="1" t="s">
        <v>65</v>
      </c>
      <c r="X109" s="1"/>
      <c r="Y109" s="1"/>
      <c r="Z109" s="1"/>
      <c r="AA109" s="1"/>
      <c r="AB109" s="1"/>
      <c r="AC109" s="1" t="s">
        <v>65</v>
      </c>
      <c r="AD109" s="1" t="s">
        <v>71</v>
      </c>
      <c r="AE109" s="1" t="s">
        <v>2629</v>
      </c>
      <c r="AF109" s="1" t="s">
        <v>65</v>
      </c>
      <c r="AG109" s="1" t="s">
        <v>2636</v>
      </c>
      <c r="AH109" s="1"/>
      <c r="AI109" s="7" t="s">
        <v>2637</v>
      </c>
      <c r="AJ109" s="7" t="s">
        <v>2642</v>
      </c>
      <c r="AK109" s="1"/>
      <c r="AL109" s="1"/>
      <c r="AM109" s="1"/>
      <c r="AN109" s="1"/>
    </row>
    <row r="110">
      <c r="A110" s="1" t="s">
        <v>2644</v>
      </c>
      <c r="B110" s="1" t="s">
        <v>2644</v>
      </c>
      <c r="C110" s="4">
        <v>44974.006689814814</v>
      </c>
      <c r="D110" s="5">
        <v>1.676592578E9</v>
      </c>
      <c r="E110" s="7" t="s">
        <v>2645</v>
      </c>
      <c r="F110" s="1" t="s">
        <v>2648</v>
      </c>
      <c r="G110" s="1" t="s">
        <v>2610</v>
      </c>
      <c r="H110" s="1" t="s">
        <v>2611</v>
      </c>
      <c r="I110" s="5">
        <v>9.81246782E8</v>
      </c>
      <c r="J110" s="7" t="s">
        <v>2612</v>
      </c>
      <c r="K110" s="7" t="s">
        <v>2615</v>
      </c>
      <c r="L110" s="9" t="b">
        <v>0</v>
      </c>
      <c r="M110" s="1" t="s">
        <v>66</v>
      </c>
      <c r="N110" s="1" t="s">
        <v>64</v>
      </c>
      <c r="O110" s="1" t="s">
        <v>65</v>
      </c>
      <c r="P110" s="5">
        <v>0.0</v>
      </c>
      <c r="Q110" s="5">
        <v>0.0</v>
      </c>
      <c r="R110" s="5">
        <v>0.0</v>
      </c>
      <c r="S110" s="5">
        <v>0.0</v>
      </c>
      <c r="T110" s="5">
        <v>84.0</v>
      </c>
      <c r="U110" s="1" t="s">
        <v>65</v>
      </c>
      <c r="V110" s="1"/>
      <c r="W110" s="1" t="s">
        <v>65</v>
      </c>
      <c r="X110" s="1"/>
      <c r="Y110" s="1"/>
      <c r="Z110" s="1"/>
      <c r="AA110" s="1"/>
      <c r="AB110" s="1"/>
      <c r="AC110" s="1" t="s">
        <v>65</v>
      </c>
      <c r="AD110" s="1" t="s">
        <v>65</v>
      </c>
      <c r="AE110" s="1"/>
      <c r="AF110" s="1" t="s">
        <v>65</v>
      </c>
      <c r="AG110" s="1" t="s">
        <v>2649</v>
      </c>
      <c r="AH110" s="1"/>
      <c r="AI110" s="7" t="s">
        <v>2650</v>
      </c>
      <c r="AJ110" s="1"/>
      <c r="AK110" s="1"/>
      <c r="AL110" s="1"/>
      <c r="AM110" s="1"/>
      <c r="AN110" s="1"/>
    </row>
    <row r="111" hidden="1">
      <c r="A111" s="1" t="s">
        <v>2652</v>
      </c>
      <c r="B111" s="1" t="s">
        <v>2652</v>
      </c>
      <c r="C111" s="4">
        <v>44966.964791666665</v>
      </c>
      <c r="D111" s="5">
        <v>1.675984158E9</v>
      </c>
      <c r="E111" s="7" t="s">
        <v>2654</v>
      </c>
      <c r="F111" s="1" t="s">
        <v>2656</v>
      </c>
      <c r="G111" s="1" t="s">
        <v>2657</v>
      </c>
      <c r="H111" s="1" t="s">
        <v>2658</v>
      </c>
      <c r="I111" s="1" t="s">
        <v>2659</v>
      </c>
      <c r="J111" s="7" t="s">
        <v>2660</v>
      </c>
      <c r="K111" s="7" t="s">
        <v>2666</v>
      </c>
      <c r="L111" s="9" t="b">
        <v>0</v>
      </c>
      <c r="M111" s="1" t="s">
        <v>67</v>
      </c>
      <c r="N111" s="1" t="s">
        <v>824</v>
      </c>
      <c r="O111" s="1" t="s">
        <v>65</v>
      </c>
      <c r="P111" s="5">
        <v>0.0</v>
      </c>
      <c r="Q111" s="5">
        <v>0.0</v>
      </c>
      <c r="R111" s="5">
        <v>1.0</v>
      </c>
      <c r="S111" s="5">
        <v>0.0</v>
      </c>
      <c r="T111" s="5">
        <v>28.0</v>
      </c>
      <c r="U111" s="1" t="s">
        <v>65</v>
      </c>
      <c r="V111" s="1"/>
      <c r="W111" s="1" t="s">
        <v>65</v>
      </c>
      <c r="X111" s="1"/>
      <c r="Y111" s="1"/>
      <c r="Z111" s="1"/>
      <c r="AA111" s="1"/>
      <c r="AB111" s="1"/>
      <c r="AC111" s="1" t="s">
        <v>65</v>
      </c>
      <c r="AD111" s="1" t="s">
        <v>65</v>
      </c>
      <c r="AE111" s="1"/>
      <c r="AF111" s="1" t="s">
        <v>65</v>
      </c>
      <c r="AG111" s="1" t="s">
        <v>2671</v>
      </c>
      <c r="AH111" s="7" t="s">
        <v>2672</v>
      </c>
      <c r="AI111" s="1"/>
      <c r="AJ111" s="1"/>
      <c r="AK111" s="1" t="s">
        <v>2678</v>
      </c>
      <c r="AL111" s="1"/>
      <c r="AM111" s="1"/>
      <c r="AN111" s="1"/>
    </row>
    <row r="112" hidden="1">
      <c r="A112" s="1" t="s">
        <v>2679</v>
      </c>
      <c r="B112" s="1" t="s">
        <v>2679</v>
      </c>
      <c r="C112" s="4">
        <v>44961.814930555556</v>
      </c>
      <c r="D112" s="5">
        <v>1.67553921E9</v>
      </c>
      <c r="E112" s="7" t="s">
        <v>2680</v>
      </c>
      <c r="F112" s="1" t="s">
        <v>2685</v>
      </c>
      <c r="G112" s="1" t="s">
        <v>1253</v>
      </c>
      <c r="H112" s="1" t="s">
        <v>1255</v>
      </c>
      <c r="I112" s="1" t="s">
        <v>1256</v>
      </c>
      <c r="J112" s="7" t="s">
        <v>1257</v>
      </c>
      <c r="K112" s="7" t="s">
        <v>1264</v>
      </c>
      <c r="L112" s="9" t="b">
        <v>0</v>
      </c>
      <c r="M112" s="1" t="s">
        <v>85</v>
      </c>
      <c r="N112" s="1" t="s">
        <v>68</v>
      </c>
      <c r="O112" s="1" t="s">
        <v>65</v>
      </c>
      <c r="P112" s="5">
        <v>0.0</v>
      </c>
      <c r="Q112" s="5">
        <v>2.0</v>
      </c>
      <c r="R112" s="5">
        <v>9.0</v>
      </c>
      <c r="S112" s="5">
        <v>0.0</v>
      </c>
      <c r="T112" s="5">
        <v>1065.0</v>
      </c>
      <c r="U112" s="1" t="s">
        <v>65</v>
      </c>
      <c r="V112" s="1"/>
      <c r="W112" s="1" t="s">
        <v>65</v>
      </c>
      <c r="X112" s="1"/>
      <c r="Y112" s="1"/>
      <c r="Z112" s="1"/>
      <c r="AA112" s="1"/>
      <c r="AB112" s="1"/>
      <c r="AC112" s="1" t="s">
        <v>65</v>
      </c>
      <c r="AD112" s="1" t="s">
        <v>65</v>
      </c>
      <c r="AE112" s="1"/>
      <c r="AF112" s="1" t="s">
        <v>65</v>
      </c>
      <c r="AG112" s="1" t="s">
        <v>2687</v>
      </c>
      <c r="AH112" s="1"/>
      <c r="AI112" s="7" t="s">
        <v>2688</v>
      </c>
      <c r="AJ112" s="7" t="s">
        <v>2691</v>
      </c>
      <c r="AK112" s="1"/>
      <c r="AL112" s="1"/>
      <c r="AM112" s="1"/>
      <c r="AN112" s="1"/>
    </row>
    <row r="113" hidden="1">
      <c r="A113" s="1" t="s">
        <v>2695</v>
      </c>
      <c r="B113" s="1" t="s">
        <v>2695</v>
      </c>
      <c r="C113" s="4">
        <v>44951.66716435185</v>
      </c>
      <c r="D113" s="5">
        <v>1.674662443E9</v>
      </c>
      <c r="E113" s="7" t="s">
        <v>2696</v>
      </c>
      <c r="F113" s="1" t="s">
        <v>2701</v>
      </c>
      <c r="G113" s="1" t="s">
        <v>2321</v>
      </c>
      <c r="H113" s="1" t="s">
        <v>2438</v>
      </c>
      <c r="I113" s="1" t="s">
        <v>2440</v>
      </c>
      <c r="J113" s="7" t="s">
        <v>2441</v>
      </c>
      <c r="K113" s="7" t="s">
        <v>2444</v>
      </c>
      <c r="L113" s="9" t="b">
        <v>0</v>
      </c>
      <c r="M113" s="1" t="s">
        <v>85</v>
      </c>
      <c r="N113" s="1" t="s">
        <v>68</v>
      </c>
      <c r="O113" s="1" t="s">
        <v>65</v>
      </c>
      <c r="P113" s="5">
        <v>3.0</v>
      </c>
      <c r="Q113" s="5">
        <v>2.0</v>
      </c>
      <c r="R113" s="5">
        <v>29.0</v>
      </c>
      <c r="S113" s="5">
        <v>0.0</v>
      </c>
      <c r="T113" s="5">
        <v>3334.0</v>
      </c>
      <c r="U113" s="1" t="s">
        <v>65</v>
      </c>
      <c r="V113" s="1"/>
      <c r="W113" s="1" t="s">
        <v>65</v>
      </c>
      <c r="X113" s="1"/>
      <c r="Y113" s="1"/>
      <c r="Z113" s="1"/>
      <c r="AA113" s="1"/>
      <c r="AB113" s="1"/>
      <c r="AC113" s="1" t="s">
        <v>65</v>
      </c>
      <c r="AD113" s="1" t="s">
        <v>65</v>
      </c>
      <c r="AE113" s="1"/>
      <c r="AF113" s="1" t="s">
        <v>65</v>
      </c>
      <c r="AG113" s="1" t="s">
        <v>2711</v>
      </c>
      <c r="AH113" s="1"/>
      <c r="AI113" s="7" t="s">
        <v>2712</v>
      </c>
      <c r="AJ113" s="7" t="s">
        <v>2713</v>
      </c>
      <c r="AK113" s="1" t="s">
        <v>2720</v>
      </c>
      <c r="AL113" s="1"/>
      <c r="AM113" s="1"/>
      <c r="AN113" s="1"/>
    </row>
    <row r="114" hidden="1">
      <c r="A114" s="1" t="s">
        <v>2721</v>
      </c>
      <c r="B114" s="1" t="s">
        <v>2721</v>
      </c>
      <c r="C114" s="4">
        <v>44931.76521990741</v>
      </c>
      <c r="D114" s="5">
        <v>1.672942915E9</v>
      </c>
      <c r="E114" s="7" t="s">
        <v>2722</v>
      </c>
      <c r="F114" s="1" t="s">
        <v>2730</v>
      </c>
      <c r="G114" s="1" t="s">
        <v>2731</v>
      </c>
      <c r="H114" s="1" t="s">
        <v>2733</v>
      </c>
      <c r="I114" s="5">
        <v>1.6407741E7</v>
      </c>
      <c r="J114" s="7" t="s">
        <v>2735</v>
      </c>
      <c r="K114" s="7" t="s">
        <v>2737</v>
      </c>
      <c r="L114" s="9" t="b">
        <v>0</v>
      </c>
      <c r="M114" s="1" t="s">
        <v>66</v>
      </c>
      <c r="N114" s="1" t="s">
        <v>68</v>
      </c>
      <c r="O114" s="1" t="s">
        <v>65</v>
      </c>
      <c r="P114" s="5">
        <v>0.0</v>
      </c>
      <c r="Q114" s="5">
        <v>0.0</v>
      </c>
      <c r="R114" s="5">
        <v>0.0</v>
      </c>
      <c r="S114" s="5">
        <v>0.0</v>
      </c>
      <c r="T114" s="5">
        <v>99.0</v>
      </c>
      <c r="U114" s="1" t="s">
        <v>65</v>
      </c>
      <c r="V114" s="1"/>
      <c r="W114" s="1" t="s">
        <v>65</v>
      </c>
      <c r="X114" s="1"/>
      <c r="Y114" s="1"/>
      <c r="Z114" s="1"/>
      <c r="AA114" s="1"/>
      <c r="AB114" s="1"/>
      <c r="AC114" s="1" t="s">
        <v>65</v>
      </c>
      <c r="AD114" s="1" t="s">
        <v>65</v>
      </c>
      <c r="AE114" s="1"/>
      <c r="AF114" s="1" t="s">
        <v>65</v>
      </c>
      <c r="AG114" s="1" t="s">
        <v>414</v>
      </c>
      <c r="AH114" s="1"/>
      <c r="AI114" s="1"/>
      <c r="AJ114" s="1"/>
      <c r="AK114" s="1"/>
      <c r="AL114" s="1"/>
      <c r="AM114" s="1"/>
      <c r="AN114" s="1"/>
    </row>
    <row r="115" hidden="1">
      <c r="A115" s="1" t="s">
        <v>2740</v>
      </c>
      <c r="B115" s="1" t="s">
        <v>2740</v>
      </c>
      <c r="C115" s="4">
        <v>44931.68833333333</v>
      </c>
      <c r="D115" s="5">
        <v>1.672936272E9</v>
      </c>
      <c r="E115" s="7" t="s">
        <v>2741</v>
      </c>
      <c r="F115" s="1" t="s">
        <v>2745</v>
      </c>
      <c r="G115" s="1" t="s">
        <v>2746</v>
      </c>
      <c r="H115" s="1" t="s">
        <v>2747</v>
      </c>
      <c r="I115" s="5">
        <v>7.2681608E7</v>
      </c>
      <c r="J115" s="7" t="s">
        <v>2748</v>
      </c>
      <c r="K115" s="7" t="s">
        <v>2756</v>
      </c>
      <c r="L115" s="9" t="b">
        <v>0</v>
      </c>
      <c r="M115" s="1" t="s">
        <v>66</v>
      </c>
      <c r="N115" s="1" t="s">
        <v>68</v>
      </c>
      <c r="O115" s="1" t="s">
        <v>65</v>
      </c>
      <c r="P115" s="5">
        <v>1.0</v>
      </c>
      <c r="Q115" s="5">
        <v>0.0</v>
      </c>
      <c r="R115" s="5">
        <v>1.0</v>
      </c>
      <c r="S115" s="5">
        <v>0.0</v>
      </c>
      <c r="T115" s="5">
        <v>66.0</v>
      </c>
      <c r="U115" s="1" t="s">
        <v>65</v>
      </c>
      <c r="V115" s="1"/>
      <c r="W115" s="1" t="s">
        <v>65</v>
      </c>
      <c r="X115" s="1"/>
      <c r="Y115" s="1"/>
      <c r="Z115" s="1"/>
      <c r="AA115" s="1"/>
      <c r="AB115" s="1"/>
      <c r="AC115" s="1" t="s">
        <v>65</v>
      </c>
      <c r="AD115" s="1" t="s">
        <v>65</v>
      </c>
      <c r="AE115" s="1"/>
      <c r="AF115" s="1" t="s">
        <v>65</v>
      </c>
      <c r="AG115" s="1" t="s">
        <v>155</v>
      </c>
      <c r="AH115" s="7" t="s">
        <v>2762</v>
      </c>
      <c r="AI115" s="1"/>
      <c r="AJ115" s="1"/>
      <c r="AK115" s="1"/>
      <c r="AL115" s="1"/>
      <c r="AM115" s="1"/>
      <c r="AN115" s="1"/>
    </row>
    <row r="116">
      <c r="A116" s="1" t="s">
        <v>2768</v>
      </c>
      <c r="B116" s="1" t="s">
        <v>2768</v>
      </c>
      <c r="C116" s="4">
        <v>44918.93376157407</v>
      </c>
      <c r="D116" s="5">
        <v>1.671834277E9</v>
      </c>
      <c r="E116" s="7" t="s">
        <v>2772</v>
      </c>
      <c r="F116" s="1" t="s">
        <v>2775</v>
      </c>
      <c r="G116" s="1" t="s">
        <v>2776</v>
      </c>
      <c r="H116" s="1" t="s">
        <v>2777</v>
      </c>
      <c r="I116" s="5">
        <v>6.20336672E8</v>
      </c>
      <c r="J116" s="7" t="s">
        <v>2778</v>
      </c>
      <c r="K116" s="7" t="s">
        <v>2781</v>
      </c>
      <c r="L116" s="9" t="b">
        <v>0</v>
      </c>
      <c r="M116" s="1" t="s">
        <v>67</v>
      </c>
      <c r="N116" s="1" t="s">
        <v>64</v>
      </c>
      <c r="O116" s="1" t="s">
        <v>65</v>
      </c>
      <c r="P116" s="5">
        <v>0.0</v>
      </c>
      <c r="Q116" s="5">
        <v>2.0</v>
      </c>
      <c r="R116" s="5">
        <v>3.0</v>
      </c>
      <c r="S116" s="5">
        <v>0.0</v>
      </c>
      <c r="T116" s="5">
        <v>302.0</v>
      </c>
      <c r="U116" s="1" t="s">
        <v>65</v>
      </c>
      <c r="V116" s="1"/>
      <c r="W116" s="1" t="s">
        <v>65</v>
      </c>
      <c r="X116" s="1"/>
      <c r="Y116" s="1"/>
      <c r="Z116" s="1"/>
      <c r="AA116" s="1"/>
      <c r="AB116" s="1"/>
      <c r="AC116" s="1" t="s">
        <v>65</v>
      </c>
      <c r="AD116" s="1" t="s">
        <v>65</v>
      </c>
      <c r="AE116" s="1"/>
      <c r="AF116" s="1" t="s">
        <v>65</v>
      </c>
      <c r="AG116" s="1" t="s">
        <v>2790</v>
      </c>
      <c r="AH116" s="1"/>
      <c r="AI116" s="1"/>
      <c r="AJ116" s="1"/>
      <c r="AK116" s="1"/>
      <c r="AL116" s="1"/>
      <c r="AM116" s="1"/>
      <c r="AN116" s="1"/>
    </row>
    <row r="117" hidden="1">
      <c r="A117" s="1" t="s">
        <v>2791</v>
      </c>
      <c r="B117" s="1" t="s">
        <v>2791</v>
      </c>
      <c r="C117" s="4">
        <v>44916.76994212963</v>
      </c>
      <c r="D117" s="5">
        <v>1.671647323E9</v>
      </c>
      <c r="E117" s="7" t="s">
        <v>2793</v>
      </c>
      <c r="F117" s="1" t="s">
        <v>2798</v>
      </c>
      <c r="G117" s="1" t="s">
        <v>2799</v>
      </c>
      <c r="H117" s="1" t="s">
        <v>2800</v>
      </c>
      <c r="I117" s="1" t="s">
        <v>2801</v>
      </c>
      <c r="J117" s="7" t="s">
        <v>2802</v>
      </c>
      <c r="K117" s="1"/>
      <c r="L117" s="9" t="b">
        <v>0</v>
      </c>
      <c r="M117" s="1" t="s">
        <v>2805</v>
      </c>
      <c r="N117" s="1" t="s">
        <v>68</v>
      </c>
      <c r="O117" s="1" t="s">
        <v>65</v>
      </c>
      <c r="P117" s="5">
        <v>0.0</v>
      </c>
      <c r="Q117" s="5">
        <v>0.0</v>
      </c>
      <c r="R117" s="5">
        <v>0.0</v>
      </c>
      <c r="S117" s="5">
        <v>0.0</v>
      </c>
      <c r="T117" s="5">
        <v>14.0</v>
      </c>
      <c r="U117" s="1" t="s">
        <v>65</v>
      </c>
      <c r="V117" s="1"/>
      <c r="W117" s="1" t="s">
        <v>65</v>
      </c>
      <c r="X117" s="1"/>
      <c r="Y117" s="1"/>
      <c r="Z117" s="1"/>
      <c r="AA117" s="1"/>
      <c r="AB117" s="1"/>
      <c r="AC117" s="1" t="s">
        <v>65</v>
      </c>
      <c r="AD117" s="1" t="s">
        <v>65</v>
      </c>
      <c r="AE117" s="1"/>
      <c r="AF117" s="1" t="s">
        <v>65</v>
      </c>
      <c r="AG117" s="1" t="s">
        <v>2806</v>
      </c>
      <c r="AH117" s="7" t="s">
        <v>2807</v>
      </c>
      <c r="AI117" s="1"/>
      <c r="AJ117" s="1"/>
      <c r="AK117" s="1" t="s">
        <v>2811</v>
      </c>
      <c r="AL117" s="1"/>
      <c r="AM117" s="1"/>
      <c r="AN117" s="1"/>
    </row>
    <row r="118">
      <c r="A118" s="1" t="s">
        <v>2813</v>
      </c>
      <c r="B118" s="1" t="s">
        <v>2813</v>
      </c>
      <c r="C118" s="4">
        <v>44915.74209490741</v>
      </c>
      <c r="D118" s="5">
        <v>1.671558517E9</v>
      </c>
      <c r="E118" s="7" t="s">
        <v>2814</v>
      </c>
      <c r="F118" s="1" t="s">
        <v>2815</v>
      </c>
      <c r="G118" s="1" t="s">
        <v>2816</v>
      </c>
      <c r="H118" s="1" t="s">
        <v>2817</v>
      </c>
      <c r="I118" s="1" t="s">
        <v>2818</v>
      </c>
      <c r="J118" s="7" t="s">
        <v>2820</v>
      </c>
      <c r="K118" s="7" t="s">
        <v>2825</v>
      </c>
      <c r="L118" s="9" t="b">
        <v>0</v>
      </c>
      <c r="M118" s="1" t="s">
        <v>67</v>
      </c>
      <c r="N118" s="1" t="s">
        <v>64</v>
      </c>
      <c r="O118" s="1" t="s">
        <v>65</v>
      </c>
      <c r="P118" s="5">
        <v>0.0</v>
      </c>
      <c r="Q118" s="5">
        <v>0.0</v>
      </c>
      <c r="R118" s="5">
        <v>0.0</v>
      </c>
      <c r="S118" s="5">
        <v>0.0</v>
      </c>
      <c r="T118" s="5">
        <v>77.0</v>
      </c>
      <c r="U118" s="1" t="s">
        <v>65</v>
      </c>
      <c r="V118" s="1"/>
      <c r="W118" s="1" t="s">
        <v>65</v>
      </c>
      <c r="X118" s="1"/>
      <c r="Y118" s="1"/>
      <c r="Z118" s="1"/>
      <c r="AA118" s="1"/>
      <c r="AB118" s="1"/>
      <c r="AC118" s="1" t="s">
        <v>65</v>
      </c>
      <c r="AD118" s="1" t="s">
        <v>65</v>
      </c>
      <c r="AE118" s="1"/>
      <c r="AF118" s="1" t="s">
        <v>65</v>
      </c>
      <c r="AG118" s="1" t="s">
        <v>2827</v>
      </c>
      <c r="AH118" s="1"/>
      <c r="AI118" s="7" t="s">
        <v>2828</v>
      </c>
      <c r="AJ118" s="1"/>
      <c r="AK118" s="1"/>
      <c r="AL118" s="1" t="s">
        <v>2831</v>
      </c>
      <c r="AM118" s="1" t="s">
        <v>2832</v>
      </c>
      <c r="AN118" s="1"/>
    </row>
    <row r="119">
      <c r="A119" s="1" t="s">
        <v>2833</v>
      </c>
      <c r="B119" s="1" t="s">
        <v>2833</v>
      </c>
      <c r="C119" s="4">
        <v>44914.73488425926</v>
      </c>
      <c r="D119" s="5">
        <v>1.671471494E9</v>
      </c>
      <c r="E119" s="7" t="s">
        <v>2835</v>
      </c>
      <c r="F119" s="1" t="s">
        <v>2844</v>
      </c>
      <c r="G119" s="1" t="s">
        <v>2845</v>
      </c>
      <c r="H119" s="1" t="s">
        <v>2846</v>
      </c>
      <c r="I119" s="5">
        <v>8.9605309E7</v>
      </c>
      <c r="J119" s="7" t="s">
        <v>2847</v>
      </c>
      <c r="K119" s="7" t="s">
        <v>2853</v>
      </c>
      <c r="L119" s="9" t="b">
        <v>0</v>
      </c>
      <c r="M119" s="1" t="s">
        <v>66</v>
      </c>
      <c r="N119" s="1" t="s">
        <v>64</v>
      </c>
      <c r="O119" s="1" t="s">
        <v>65</v>
      </c>
      <c r="P119" s="5">
        <v>0.0</v>
      </c>
      <c r="Q119" s="5">
        <v>0.0</v>
      </c>
      <c r="R119" s="5">
        <v>2.0</v>
      </c>
      <c r="S119" s="5">
        <v>0.0</v>
      </c>
      <c r="T119" s="5">
        <v>503.0</v>
      </c>
      <c r="U119" s="1" t="s">
        <v>65</v>
      </c>
      <c r="V119" s="1"/>
      <c r="W119" s="1" t="s">
        <v>65</v>
      </c>
      <c r="X119" s="1"/>
      <c r="Y119" s="1"/>
      <c r="Z119" s="1"/>
      <c r="AA119" s="1"/>
      <c r="AB119" s="1"/>
      <c r="AC119" s="1" t="s">
        <v>65</v>
      </c>
      <c r="AD119" s="1" t="s">
        <v>65</v>
      </c>
      <c r="AE119" s="1"/>
      <c r="AF119" s="1" t="s">
        <v>65</v>
      </c>
      <c r="AG119" s="1" t="s">
        <v>906</v>
      </c>
      <c r="AH119" s="1"/>
      <c r="AI119" s="7" t="s">
        <v>2855</v>
      </c>
      <c r="AJ119" s="1"/>
      <c r="AK119" s="1"/>
      <c r="AL119" s="1"/>
      <c r="AM119" s="1"/>
      <c r="AN119" s="1"/>
    </row>
    <row r="120">
      <c r="A120" s="1" t="s">
        <v>2859</v>
      </c>
      <c r="B120" s="1" t="s">
        <v>2859</v>
      </c>
      <c r="C120" s="4">
        <v>44908.667291666665</v>
      </c>
      <c r="D120" s="5">
        <v>1.670947254E9</v>
      </c>
      <c r="E120" s="7" t="s">
        <v>2860</v>
      </c>
      <c r="F120" s="1" t="s">
        <v>2866</v>
      </c>
      <c r="G120" s="1" t="s">
        <v>2816</v>
      </c>
      <c r="H120" s="1" t="s">
        <v>2817</v>
      </c>
      <c r="I120" s="1" t="s">
        <v>2818</v>
      </c>
      <c r="J120" s="7" t="s">
        <v>2820</v>
      </c>
      <c r="K120" s="7" t="s">
        <v>2825</v>
      </c>
      <c r="L120" s="9" t="b">
        <v>0</v>
      </c>
      <c r="M120" s="1" t="s">
        <v>67</v>
      </c>
      <c r="N120" s="1" t="s">
        <v>64</v>
      </c>
      <c r="O120" s="1" t="s">
        <v>65</v>
      </c>
      <c r="P120" s="5">
        <v>0.0</v>
      </c>
      <c r="Q120" s="5">
        <v>0.0</v>
      </c>
      <c r="R120" s="5">
        <v>0.0</v>
      </c>
      <c r="S120" s="5">
        <v>0.0</v>
      </c>
      <c r="T120" s="1"/>
      <c r="U120" s="1" t="s">
        <v>65</v>
      </c>
      <c r="V120" s="1"/>
      <c r="W120" s="1" t="s">
        <v>71</v>
      </c>
      <c r="X120" s="1" t="s">
        <v>2868</v>
      </c>
      <c r="Y120" s="1" t="s">
        <v>2869</v>
      </c>
      <c r="Z120" s="1" t="s">
        <v>2870</v>
      </c>
      <c r="AA120" s="7" t="s">
        <v>2871</v>
      </c>
      <c r="AB120" s="1"/>
      <c r="AC120" s="1" t="s">
        <v>65</v>
      </c>
      <c r="AD120" s="1" t="s">
        <v>65</v>
      </c>
      <c r="AE120" s="1"/>
      <c r="AF120" s="1" t="s">
        <v>65</v>
      </c>
      <c r="AG120" s="1" t="s">
        <v>2872</v>
      </c>
      <c r="AH120" s="1"/>
      <c r="AI120" s="1"/>
      <c r="AJ120" s="1"/>
      <c r="AK120" s="1"/>
      <c r="AL120" s="1" t="s">
        <v>2831</v>
      </c>
      <c r="AM120" s="1" t="s">
        <v>2832</v>
      </c>
      <c r="AN120" s="1"/>
    </row>
    <row r="121" hidden="1">
      <c r="A121" s="1" t="s">
        <v>2873</v>
      </c>
      <c r="B121" s="1" t="s">
        <v>2873</v>
      </c>
      <c r="C121" s="4">
        <v>44893.805972222224</v>
      </c>
      <c r="D121" s="5">
        <v>1.669663236E9</v>
      </c>
      <c r="E121" s="7" t="s">
        <v>2874</v>
      </c>
      <c r="F121" s="1" t="s">
        <v>2877</v>
      </c>
      <c r="G121" s="1" t="s">
        <v>2657</v>
      </c>
      <c r="H121" s="1" t="s">
        <v>2658</v>
      </c>
      <c r="I121" s="1" t="s">
        <v>2659</v>
      </c>
      <c r="J121" s="7" t="s">
        <v>2660</v>
      </c>
      <c r="K121" s="7" t="s">
        <v>2666</v>
      </c>
      <c r="L121" s="9" t="b">
        <v>0</v>
      </c>
      <c r="M121" s="1" t="s">
        <v>67</v>
      </c>
      <c r="N121" s="1" t="s">
        <v>2138</v>
      </c>
      <c r="O121" s="1" t="s">
        <v>65</v>
      </c>
      <c r="P121" s="5">
        <v>0.0</v>
      </c>
      <c r="Q121" s="5">
        <v>0.0</v>
      </c>
      <c r="R121" s="5">
        <v>1.0</v>
      </c>
      <c r="S121" s="5">
        <v>0.0</v>
      </c>
      <c r="T121" s="1"/>
      <c r="U121" s="1" t="s">
        <v>65</v>
      </c>
      <c r="V121" s="1"/>
      <c r="W121" s="1" t="s">
        <v>71</v>
      </c>
      <c r="X121" s="1" t="s">
        <v>2878</v>
      </c>
      <c r="Y121" s="1" t="s">
        <v>959</v>
      </c>
      <c r="Z121" s="1" t="s">
        <v>2881</v>
      </c>
      <c r="AA121" s="1"/>
      <c r="AB121" s="1"/>
      <c r="AC121" s="1" t="s">
        <v>65</v>
      </c>
      <c r="AD121" s="1" t="s">
        <v>65</v>
      </c>
      <c r="AE121" s="1"/>
      <c r="AF121" s="1" t="s">
        <v>65</v>
      </c>
      <c r="AG121" s="1" t="s">
        <v>2884</v>
      </c>
      <c r="AH121" s="1"/>
      <c r="AI121" s="1"/>
      <c r="AJ121" s="1"/>
      <c r="AK121" s="1"/>
      <c r="AL121" s="1"/>
      <c r="AM121" s="1"/>
      <c r="AN121" s="1"/>
    </row>
    <row r="122" hidden="1">
      <c r="A122" s="1" t="s">
        <v>2885</v>
      </c>
      <c r="B122" s="1" t="s">
        <v>2885</v>
      </c>
      <c r="C122" s="4">
        <v>44886.50709490741</v>
      </c>
      <c r="D122" s="5">
        <v>1.669032613E9</v>
      </c>
      <c r="E122" s="7" t="s">
        <v>2886</v>
      </c>
      <c r="F122" s="1" t="s">
        <v>2894</v>
      </c>
      <c r="G122" s="1" t="s">
        <v>2895</v>
      </c>
      <c r="H122" s="1" t="s">
        <v>2896</v>
      </c>
      <c r="I122" s="1" t="s">
        <v>2897</v>
      </c>
      <c r="J122" s="7" t="s">
        <v>2898</v>
      </c>
      <c r="K122" s="1"/>
      <c r="L122" s="9" t="b">
        <v>0</v>
      </c>
      <c r="M122" s="1" t="s">
        <v>85</v>
      </c>
      <c r="N122" s="1" t="s">
        <v>68</v>
      </c>
      <c r="O122" s="1" t="s">
        <v>65</v>
      </c>
      <c r="P122" s="5">
        <v>0.0</v>
      </c>
      <c r="Q122" s="5">
        <v>0.0</v>
      </c>
      <c r="R122" s="5">
        <v>0.0</v>
      </c>
      <c r="S122" s="5">
        <v>0.0</v>
      </c>
      <c r="T122" s="1"/>
      <c r="U122" s="1" t="s">
        <v>65</v>
      </c>
      <c r="V122" s="1"/>
      <c r="W122" s="1" t="s">
        <v>65</v>
      </c>
      <c r="X122" s="1"/>
      <c r="Y122" s="1"/>
      <c r="Z122" s="1"/>
      <c r="AA122" s="1"/>
      <c r="AB122" s="1"/>
      <c r="AC122" s="1" t="s">
        <v>65</v>
      </c>
      <c r="AD122" s="1" t="s">
        <v>65</v>
      </c>
      <c r="AE122" s="1"/>
      <c r="AF122" s="1" t="s">
        <v>65</v>
      </c>
      <c r="AG122" s="1" t="s">
        <v>2904</v>
      </c>
      <c r="AH122" s="1"/>
      <c r="AI122" s="1"/>
      <c r="AJ122" s="1"/>
      <c r="AK122" s="1"/>
      <c r="AL122" s="1"/>
      <c r="AM122" s="1"/>
      <c r="AN122" s="1"/>
    </row>
    <row r="123">
      <c r="A123" s="1" t="s">
        <v>2905</v>
      </c>
      <c r="B123" s="1" t="s">
        <v>2905</v>
      </c>
      <c r="C123" s="4">
        <v>44883.4146412037</v>
      </c>
      <c r="D123" s="5">
        <v>1.668765425E9</v>
      </c>
      <c r="E123" s="7" t="s">
        <v>2906</v>
      </c>
      <c r="F123" s="1" t="s">
        <v>2911</v>
      </c>
      <c r="G123" s="1" t="s">
        <v>2629</v>
      </c>
      <c r="H123" s="1" t="s">
        <v>2630</v>
      </c>
      <c r="I123" s="5">
        <v>2.364082788E9</v>
      </c>
      <c r="J123" s="7" t="s">
        <v>2631</v>
      </c>
      <c r="K123" s="7" t="s">
        <v>2633</v>
      </c>
      <c r="L123" s="9" t="b">
        <v>0</v>
      </c>
      <c r="M123" s="1" t="s">
        <v>66</v>
      </c>
      <c r="N123" s="1" t="s">
        <v>64</v>
      </c>
      <c r="O123" s="1" t="s">
        <v>65</v>
      </c>
      <c r="P123" s="5">
        <v>0.0</v>
      </c>
      <c r="Q123" s="5">
        <v>0.0</v>
      </c>
      <c r="R123" s="5">
        <v>1.0</v>
      </c>
      <c r="S123" s="5">
        <v>0.0</v>
      </c>
      <c r="T123" s="1"/>
      <c r="U123" s="1" t="s">
        <v>65</v>
      </c>
      <c r="V123" s="1"/>
      <c r="W123" s="1" t="s">
        <v>65</v>
      </c>
      <c r="X123" s="1"/>
      <c r="Y123" s="1"/>
      <c r="Z123" s="1"/>
      <c r="AA123" s="1"/>
      <c r="AB123" s="1"/>
      <c r="AC123" s="1" t="s">
        <v>65</v>
      </c>
      <c r="AD123" s="1" t="s">
        <v>65</v>
      </c>
      <c r="AE123" s="1"/>
      <c r="AF123" s="1" t="s">
        <v>65</v>
      </c>
      <c r="AG123" s="1" t="s">
        <v>2921</v>
      </c>
      <c r="AH123" s="1"/>
      <c r="AI123" s="7" t="s">
        <v>2922</v>
      </c>
      <c r="AJ123" s="1"/>
      <c r="AK123" s="1"/>
      <c r="AL123" s="1"/>
      <c r="AM123" s="1"/>
      <c r="AN123" s="1"/>
    </row>
    <row r="124" hidden="1">
      <c r="A124" s="1" t="s">
        <v>2924</v>
      </c>
      <c r="B124" s="1" t="s">
        <v>2925</v>
      </c>
      <c r="C124" s="4">
        <v>44876.74087962963</v>
      </c>
      <c r="D124" s="5">
        <v>1.668188812E9</v>
      </c>
      <c r="E124" s="7" t="s">
        <v>2927</v>
      </c>
      <c r="F124" s="1" t="s">
        <v>2928</v>
      </c>
      <c r="G124" s="1" t="s">
        <v>2929</v>
      </c>
      <c r="H124" s="1" t="s">
        <v>2931</v>
      </c>
      <c r="I124" s="1" t="s">
        <v>2932</v>
      </c>
      <c r="J124" s="7" t="s">
        <v>2933</v>
      </c>
      <c r="K124" s="7" t="s">
        <v>2938</v>
      </c>
      <c r="L124" s="9" t="b">
        <v>0</v>
      </c>
      <c r="M124" s="1" t="s">
        <v>85</v>
      </c>
      <c r="N124" s="1" t="s">
        <v>68</v>
      </c>
      <c r="O124" s="1" t="s">
        <v>65</v>
      </c>
      <c r="P124" s="5">
        <v>0.0</v>
      </c>
      <c r="Q124" s="5">
        <v>1.0</v>
      </c>
      <c r="R124" s="5">
        <v>0.0</v>
      </c>
      <c r="S124" s="5">
        <v>0.0</v>
      </c>
      <c r="T124" s="1"/>
      <c r="U124" s="1" t="s">
        <v>65</v>
      </c>
      <c r="V124" s="1"/>
      <c r="W124" s="1" t="s">
        <v>65</v>
      </c>
      <c r="X124" s="1"/>
      <c r="Y124" s="1"/>
      <c r="Z124" s="1"/>
      <c r="AA124" s="1"/>
      <c r="AB124" s="1"/>
      <c r="AC124" s="1" t="s">
        <v>65</v>
      </c>
      <c r="AD124" s="1" t="s">
        <v>71</v>
      </c>
      <c r="AE124" s="1" t="s">
        <v>2929</v>
      </c>
      <c r="AF124" s="1" t="s">
        <v>65</v>
      </c>
      <c r="AG124" s="1" t="s">
        <v>1215</v>
      </c>
      <c r="AH124" s="1"/>
      <c r="AI124" s="1"/>
      <c r="AJ124" s="1"/>
      <c r="AK124" s="1"/>
      <c r="AL124" s="1"/>
      <c r="AM124" s="1"/>
      <c r="AN124" s="1"/>
    </row>
    <row r="125" hidden="1">
      <c r="A125" s="1" t="s">
        <v>2946</v>
      </c>
      <c r="B125" s="1" t="s">
        <v>2946</v>
      </c>
      <c r="C125" s="4">
        <v>44875.14508101852</v>
      </c>
      <c r="D125" s="5">
        <v>1.668050935E9</v>
      </c>
      <c r="E125" s="7" t="s">
        <v>2947</v>
      </c>
      <c r="F125" s="1" t="s">
        <v>2948</v>
      </c>
      <c r="G125" s="1" t="s">
        <v>2950</v>
      </c>
      <c r="H125" s="1" t="s">
        <v>2952</v>
      </c>
      <c r="I125" s="5">
        <v>1.1538752E7</v>
      </c>
      <c r="J125" s="7" t="s">
        <v>2954</v>
      </c>
      <c r="K125" s="7" t="s">
        <v>2959</v>
      </c>
      <c r="L125" s="9" t="b">
        <v>0</v>
      </c>
      <c r="M125" s="1" t="s">
        <v>85</v>
      </c>
      <c r="N125" s="1" t="s">
        <v>68</v>
      </c>
      <c r="O125" s="1" t="s">
        <v>65</v>
      </c>
      <c r="P125" s="5">
        <v>0.0</v>
      </c>
      <c r="Q125" s="5">
        <v>0.0</v>
      </c>
      <c r="R125" s="5">
        <v>2.0</v>
      </c>
      <c r="S125" s="5">
        <v>0.0</v>
      </c>
      <c r="T125" s="1"/>
      <c r="U125" s="1" t="s">
        <v>65</v>
      </c>
      <c r="V125" s="1"/>
      <c r="W125" s="1" t="s">
        <v>65</v>
      </c>
      <c r="X125" s="1"/>
      <c r="Y125" s="1"/>
      <c r="Z125" s="1"/>
      <c r="AA125" s="1"/>
      <c r="AB125" s="1"/>
      <c r="AC125" s="1" t="s">
        <v>65</v>
      </c>
      <c r="AD125" s="1" t="s">
        <v>65</v>
      </c>
      <c r="AE125" s="1"/>
      <c r="AF125" s="1" t="s">
        <v>65</v>
      </c>
      <c r="AG125" s="1" t="s">
        <v>2966</v>
      </c>
      <c r="AH125" s="1"/>
      <c r="AI125" s="1"/>
      <c r="AJ125" s="1"/>
      <c r="AK125" s="1"/>
      <c r="AL125" s="1" t="s">
        <v>2967</v>
      </c>
      <c r="AM125" s="1" t="s">
        <v>2968</v>
      </c>
      <c r="AN125" s="1"/>
    </row>
    <row r="126">
      <c r="A126" s="1" t="s">
        <v>2970</v>
      </c>
      <c r="B126" s="1" t="s">
        <v>2970</v>
      </c>
      <c r="C126" s="4">
        <v>44859.790914351855</v>
      </c>
      <c r="D126" s="5">
        <v>1.666724335E9</v>
      </c>
      <c r="E126" s="7" t="s">
        <v>2971</v>
      </c>
      <c r="F126" s="1" t="s">
        <v>2974</v>
      </c>
      <c r="G126" s="1" t="s">
        <v>2975</v>
      </c>
      <c r="H126" s="1" t="s">
        <v>2976</v>
      </c>
      <c r="I126" s="5">
        <v>3.8595422E8</v>
      </c>
      <c r="J126" s="7" t="s">
        <v>2977</v>
      </c>
      <c r="K126" s="7" t="s">
        <v>2984</v>
      </c>
      <c r="L126" s="9" t="b">
        <v>0</v>
      </c>
      <c r="M126" s="1" t="s">
        <v>66</v>
      </c>
      <c r="N126" s="1" t="s">
        <v>64</v>
      </c>
      <c r="O126" s="1" t="s">
        <v>65</v>
      </c>
      <c r="P126" s="5">
        <v>1.0</v>
      </c>
      <c r="Q126" s="5">
        <v>0.0</v>
      </c>
      <c r="R126" s="5">
        <v>3.0</v>
      </c>
      <c r="S126" s="5">
        <v>0.0</v>
      </c>
      <c r="T126" s="1"/>
      <c r="U126" s="1" t="s">
        <v>65</v>
      </c>
      <c r="V126" s="1"/>
      <c r="W126" s="1" t="s">
        <v>65</v>
      </c>
      <c r="X126" s="1"/>
      <c r="Y126" s="1"/>
      <c r="Z126" s="1"/>
      <c r="AA126" s="1"/>
      <c r="AB126" s="1"/>
      <c r="AC126" s="1" t="s">
        <v>65</v>
      </c>
      <c r="AD126" s="1" t="s">
        <v>65</v>
      </c>
      <c r="AE126" s="1"/>
      <c r="AF126" s="1" t="s">
        <v>65</v>
      </c>
      <c r="AG126" s="1" t="s">
        <v>2993</v>
      </c>
      <c r="AH126" s="1"/>
      <c r="AI126" s="7" t="s">
        <v>2994</v>
      </c>
      <c r="AJ126" s="1"/>
      <c r="AK126" s="1" t="s">
        <v>2995</v>
      </c>
      <c r="AL126" s="1"/>
      <c r="AM126" s="1"/>
      <c r="AN126" s="1"/>
    </row>
    <row r="127" hidden="1">
      <c r="A127" s="1" t="s">
        <v>2996</v>
      </c>
      <c r="B127" s="1" t="s">
        <v>2996</v>
      </c>
      <c r="C127" s="4">
        <v>44852.86267361111</v>
      </c>
      <c r="D127" s="5">
        <v>1.666125735E9</v>
      </c>
      <c r="E127" s="7" t="s">
        <v>2997</v>
      </c>
      <c r="F127" s="1" t="s">
        <v>3002</v>
      </c>
      <c r="G127" s="1" t="s">
        <v>3003</v>
      </c>
      <c r="H127" s="1" t="s">
        <v>3004</v>
      </c>
      <c r="I127" s="1" t="s">
        <v>3005</v>
      </c>
      <c r="J127" s="7" t="s">
        <v>3006</v>
      </c>
      <c r="K127" s="1"/>
      <c r="L127" s="9" t="b">
        <v>0</v>
      </c>
      <c r="M127" s="1" t="s">
        <v>67</v>
      </c>
      <c r="N127" s="1" t="s">
        <v>68</v>
      </c>
      <c r="O127" s="1" t="s">
        <v>65</v>
      </c>
      <c r="P127" s="5">
        <v>1.0</v>
      </c>
      <c r="Q127" s="5">
        <v>0.0</v>
      </c>
      <c r="R127" s="5">
        <v>10.0</v>
      </c>
      <c r="S127" s="5">
        <v>1.0</v>
      </c>
      <c r="T127" s="1"/>
      <c r="U127" s="1" t="s">
        <v>65</v>
      </c>
      <c r="V127" s="1"/>
      <c r="W127" s="1" t="s">
        <v>65</v>
      </c>
      <c r="X127" s="1"/>
      <c r="Y127" s="1"/>
      <c r="Z127" s="1"/>
      <c r="AA127" s="1"/>
      <c r="AB127" s="1"/>
      <c r="AC127" s="1" t="s">
        <v>65</v>
      </c>
      <c r="AD127" s="1" t="s">
        <v>65</v>
      </c>
      <c r="AE127" s="1"/>
      <c r="AF127" s="1" t="s">
        <v>65</v>
      </c>
      <c r="AG127" s="1" t="s">
        <v>3015</v>
      </c>
      <c r="AH127" s="1"/>
      <c r="AI127" s="7" t="s">
        <v>3016</v>
      </c>
      <c r="AJ127" s="1"/>
      <c r="AK127" s="1"/>
      <c r="AL127" s="1"/>
      <c r="AM127" s="1"/>
      <c r="AN127" s="1"/>
    </row>
    <row r="128">
      <c r="A128" s="1" t="s">
        <v>3023</v>
      </c>
      <c r="B128" s="1" t="s">
        <v>3023</v>
      </c>
      <c r="C128" s="4">
        <v>44848.475335648145</v>
      </c>
      <c r="D128" s="5">
        <v>1.665746669E9</v>
      </c>
      <c r="E128" s="7" t="s">
        <v>3025</v>
      </c>
      <c r="F128" s="1" t="s">
        <v>3030</v>
      </c>
      <c r="G128" s="1" t="s">
        <v>3032</v>
      </c>
      <c r="H128" s="1" t="s">
        <v>3033</v>
      </c>
      <c r="I128" s="1" t="s">
        <v>3034</v>
      </c>
      <c r="J128" s="7" t="s">
        <v>3035</v>
      </c>
      <c r="K128" s="7" t="s">
        <v>3037</v>
      </c>
      <c r="L128" s="9" t="b">
        <v>0</v>
      </c>
      <c r="M128" s="1" t="s">
        <v>67</v>
      </c>
      <c r="N128" s="1" t="s">
        <v>64</v>
      </c>
      <c r="O128" s="1" t="s">
        <v>65</v>
      </c>
      <c r="P128" s="5">
        <v>5.0</v>
      </c>
      <c r="Q128" s="5">
        <v>0.0</v>
      </c>
      <c r="R128" s="5">
        <v>8.0</v>
      </c>
      <c r="S128" s="5">
        <v>0.0</v>
      </c>
      <c r="T128" s="1"/>
      <c r="U128" s="1" t="s">
        <v>65</v>
      </c>
      <c r="V128" s="1"/>
      <c r="W128" s="1" t="s">
        <v>71</v>
      </c>
      <c r="X128" s="1" t="s">
        <v>3043</v>
      </c>
      <c r="Y128" s="1" t="s">
        <v>3044</v>
      </c>
      <c r="Z128" s="1" t="s">
        <v>3046</v>
      </c>
      <c r="AA128" s="1"/>
      <c r="AB128" s="1"/>
      <c r="AC128" s="1" t="s">
        <v>65</v>
      </c>
      <c r="AD128" s="1" t="s">
        <v>65</v>
      </c>
      <c r="AE128" s="1"/>
      <c r="AF128" s="1" t="s">
        <v>65</v>
      </c>
      <c r="AG128" s="1" t="s">
        <v>3050</v>
      </c>
      <c r="AH128" s="1"/>
      <c r="AI128" s="1"/>
      <c r="AJ128" s="1"/>
      <c r="AK128" s="1"/>
      <c r="AL128" s="1"/>
      <c r="AM128" s="1"/>
      <c r="AN128" s="1"/>
    </row>
    <row r="129">
      <c r="A129" s="1" t="s">
        <v>3051</v>
      </c>
      <c r="B129" s="1" t="s">
        <v>3051</v>
      </c>
      <c r="C129" s="4">
        <v>44847.72269675926</v>
      </c>
      <c r="D129" s="5">
        <v>1.665681641E9</v>
      </c>
      <c r="E129" s="7" t="s">
        <v>3052</v>
      </c>
      <c r="F129" s="1" t="s">
        <v>3054</v>
      </c>
      <c r="G129" s="1" t="s">
        <v>3055</v>
      </c>
      <c r="H129" s="1" t="s">
        <v>3057</v>
      </c>
      <c r="I129" s="5">
        <v>8.83094708E8</v>
      </c>
      <c r="J129" s="7" t="s">
        <v>3058</v>
      </c>
      <c r="K129" s="7" t="s">
        <v>3060</v>
      </c>
      <c r="L129" s="9" t="b">
        <v>0</v>
      </c>
      <c r="M129" s="1" t="s">
        <v>66</v>
      </c>
      <c r="N129" s="1" t="s">
        <v>64</v>
      </c>
      <c r="O129" s="1" t="s">
        <v>65</v>
      </c>
      <c r="P129" s="5">
        <v>0.0</v>
      </c>
      <c r="Q129" s="5">
        <v>0.0</v>
      </c>
      <c r="R129" s="5">
        <v>2.0</v>
      </c>
      <c r="S129" s="5">
        <v>0.0</v>
      </c>
      <c r="T129" s="1"/>
      <c r="U129" s="1" t="s">
        <v>65</v>
      </c>
      <c r="V129" s="1"/>
      <c r="W129" s="1" t="s">
        <v>65</v>
      </c>
      <c r="X129" s="1"/>
      <c r="Y129" s="1"/>
      <c r="Z129" s="1"/>
      <c r="AA129" s="1"/>
      <c r="AB129" s="1"/>
      <c r="AC129" s="1" t="s">
        <v>65</v>
      </c>
      <c r="AD129" s="1" t="s">
        <v>65</v>
      </c>
      <c r="AE129" s="1"/>
      <c r="AF129" s="1" t="s">
        <v>65</v>
      </c>
      <c r="AG129" s="1" t="s">
        <v>561</v>
      </c>
      <c r="AH129" s="7" t="s">
        <v>3070</v>
      </c>
      <c r="AI129" s="1"/>
      <c r="AJ129" s="1"/>
      <c r="AK129" s="1"/>
      <c r="AL129" s="1"/>
      <c r="AM129" s="1"/>
      <c r="AN129" s="1"/>
    </row>
    <row r="130" hidden="1">
      <c r="A130" s="1" t="s">
        <v>3074</v>
      </c>
      <c r="B130" s="1" t="s">
        <v>3074</v>
      </c>
      <c r="C130" s="4">
        <v>44844.61877314815</v>
      </c>
      <c r="D130" s="5">
        <v>1.665413462E9</v>
      </c>
      <c r="E130" s="7" t="s">
        <v>3076</v>
      </c>
      <c r="F130" s="1" t="s">
        <v>3081</v>
      </c>
      <c r="G130" s="1" t="s">
        <v>2657</v>
      </c>
      <c r="H130" s="1" t="s">
        <v>2658</v>
      </c>
      <c r="I130" s="1" t="s">
        <v>2659</v>
      </c>
      <c r="J130" s="7" t="s">
        <v>2660</v>
      </c>
      <c r="K130" s="7" t="s">
        <v>2666</v>
      </c>
      <c r="L130" s="9" t="b">
        <v>0</v>
      </c>
      <c r="M130" s="1" t="s">
        <v>67</v>
      </c>
      <c r="N130" s="1" t="s">
        <v>2138</v>
      </c>
      <c r="O130" s="1" t="s">
        <v>65</v>
      </c>
      <c r="P130" s="5">
        <v>0.0</v>
      </c>
      <c r="Q130" s="5">
        <v>0.0</v>
      </c>
      <c r="R130" s="5">
        <v>3.0</v>
      </c>
      <c r="S130" s="5">
        <v>0.0</v>
      </c>
      <c r="T130" s="1"/>
      <c r="U130" s="1" t="s">
        <v>65</v>
      </c>
      <c r="V130" s="1"/>
      <c r="W130" s="1" t="s">
        <v>71</v>
      </c>
      <c r="X130" s="1" t="s">
        <v>3082</v>
      </c>
      <c r="Y130" s="1" t="s">
        <v>959</v>
      </c>
      <c r="Z130" s="1" t="s">
        <v>3084</v>
      </c>
      <c r="AA130" s="1"/>
      <c r="AB130" s="1"/>
      <c r="AC130" s="1" t="s">
        <v>65</v>
      </c>
      <c r="AD130" s="1" t="s">
        <v>65</v>
      </c>
      <c r="AE130" s="1"/>
      <c r="AF130" s="1" t="s">
        <v>65</v>
      </c>
      <c r="AG130" s="1" t="s">
        <v>3087</v>
      </c>
      <c r="AH130" s="1"/>
      <c r="AI130" s="1"/>
      <c r="AJ130" s="1"/>
      <c r="AK130" s="1"/>
      <c r="AL130" s="1"/>
      <c r="AM130" s="1"/>
      <c r="AN130" s="1"/>
    </row>
    <row r="131">
      <c r="A131" s="1" t="s">
        <v>3091</v>
      </c>
      <c r="B131" s="1" t="s">
        <v>3092</v>
      </c>
      <c r="C131" s="4">
        <v>44841.59385416667</v>
      </c>
      <c r="D131" s="5">
        <v>1.665152109E9</v>
      </c>
      <c r="E131" s="7" t="s">
        <v>3093</v>
      </c>
      <c r="F131" s="1" t="s">
        <v>3094</v>
      </c>
      <c r="G131" s="1" t="s">
        <v>3095</v>
      </c>
      <c r="H131" s="1" t="s">
        <v>3096</v>
      </c>
      <c r="I131" s="5">
        <v>1.900991568E9</v>
      </c>
      <c r="J131" s="7" t="s">
        <v>3097</v>
      </c>
      <c r="K131" s="7" t="s">
        <v>3099</v>
      </c>
      <c r="L131" s="9" t="b">
        <v>0</v>
      </c>
      <c r="M131" s="1" t="s">
        <v>67</v>
      </c>
      <c r="N131" s="1" t="s">
        <v>64</v>
      </c>
      <c r="O131" s="1" t="s">
        <v>65</v>
      </c>
      <c r="P131" s="5">
        <v>0.0</v>
      </c>
      <c r="Q131" s="5">
        <v>0.0</v>
      </c>
      <c r="R131" s="5">
        <v>1.0</v>
      </c>
      <c r="S131" s="5">
        <v>0.0</v>
      </c>
      <c r="T131" s="1"/>
      <c r="U131" s="1" t="s">
        <v>65</v>
      </c>
      <c r="V131" s="1"/>
      <c r="W131" s="1" t="s">
        <v>65</v>
      </c>
      <c r="X131" s="1"/>
      <c r="Y131" s="1"/>
      <c r="Z131" s="1"/>
      <c r="AA131" s="1"/>
      <c r="AB131" s="1"/>
      <c r="AC131" s="1" t="s">
        <v>65</v>
      </c>
      <c r="AD131" s="1" t="s">
        <v>71</v>
      </c>
      <c r="AE131" s="1" t="s">
        <v>3095</v>
      </c>
      <c r="AF131" s="1" t="s">
        <v>65</v>
      </c>
      <c r="AG131" s="1" t="s">
        <v>3103</v>
      </c>
      <c r="AH131" s="1"/>
      <c r="AI131" s="1"/>
      <c r="AJ131" s="1"/>
      <c r="AK131" s="1"/>
      <c r="AL131" s="1" t="s">
        <v>3104</v>
      </c>
      <c r="AM131" s="1" t="s">
        <v>3105</v>
      </c>
      <c r="AN131" s="1"/>
    </row>
    <row r="132">
      <c r="A132" s="1" t="s">
        <v>3092</v>
      </c>
      <c r="B132" s="1" t="s">
        <v>3092</v>
      </c>
      <c r="C132" s="4">
        <v>44841.591828703706</v>
      </c>
      <c r="D132" s="5">
        <v>1.665151934E9</v>
      </c>
      <c r="E132" s="7" t="s">
        <v>3106</v>
      </c>
      <c r="F132" s="1" t="s">
        <v>3108</v>
      </c>
      <c r="G132" s="1" t="s">
        <v>3095</v>
      </c>
      <c r="H132" s="1" t="s">
        <v>3096</v>
      </c>
      <c r="I132" s="5">
        <v>1.900991568E9</v>
      </c>
      <c r="J132" s="7" t="s">
        <v>3097</v>
      </c>
      <c r="K132" s="7" t="s">
        <v>3099</v>
      </c>
      <c r="L132" s="9" t="b">
        <v>0</v>
      </c>
      <c r="M132" s="1" t="s">
        <v>67</v>
      </c>
      <c r="N132" s="1" t="s">
        <v>64</v>
      </c>
      <c r="O132" s="1" t="s">
        <v>65</v>
      </c>
      <c r="P132" s="5">
        <v>0.0</v>
      </c>
      <c r="Q132" s="5">
        <v>2.0</v>
      </c>
      <c r="R132" s="5">
        <v>1.0</v>
      </c>
      <c r="S132" s="5">
        <v>0.0</v>
      </c>
      <c r="T132" s="1"/>
      <c r="U132" s="1" t="s">
        <v>65</v>
      </c>
      <c r="V132" s="1"/>
      <c r="W132" s="1" t="s">
        <v>65</v>
      </c>
      <c r="X132" s="1"/>
      <c r="Y132" s="1"/>
      <c r="Z132" s="1"/>
      <c r="AA132" s="1"/>
      <c r="AB132" s="1"/>
      <c r="AC132" s="1" t="s">
        <v>65</v>
      </c>
      <c r="AD132" s="1" t="s">
        <v>65</v>
      </c>
      <c r="AE132" s="1"/>
      <c r="AF132" s="1" t="s">
        <v>65</v>
      </c>
      <c r="AG132" s="1" t="s">
        <v>3109</v>
      </c>
      <c r="AH132" s="1"/>
      <c r="AI132" s="7" t="s">
        <v>3114</v>
      </c>
      <c r="AJ132" s="1"/>
      <c r="AK132" s="1"/>
      <c r="AL132" s="1" t="s">
        <v>3117</v>
      </c>
      <c r="AM132" s="1" t="s">
        <v>3118</v>
      </c>
      <c r="AN132" s="1"/>
    </row>
    <row r="133" hidden="1">
      <c r="A133" s="1" t="s">
        <v>3119</v>
      </c>
      <c r="B133" s="1" t="s">
        <v>3119</v>
      </c>
      <c r="C133" s="4">
        <v>44841.58037037037</v>
      </c>
      <c r="D133" s="5">
        <v>1.665150944E9</v>
      </c>
      <c r="E133" s="7" t="s">
        <v>3122</v>
      </c>
      <c r="F133" s="1" t="s">
        <v>3127</v>
      </c>
      <c r="G133" s="1" t="s">
        <v>3129</v>
      </c>
      <c r="H133" s="1" t="s">
        <v>3131</v>
      </c>
      <c r="I133" s="5">
        <v>2.809175032E9</v>
      </c>
      <c r="J133" s="7" t="s">
        <v>3133</v>
      </c>
      <c r="K133" s="7" t="s">
        <v>3136</v>
      </c>
      <c r="L133" s="9" t="b">
        <v>0</v>
      </c>
      <c r="M133" s="1" t="s">
        <v>67</v>
      </c>
      <c r="N133" s="1" t="s">
        <v>2138</v>
      </c>
      <c r="O133" s="1" t="s">
        <v>65</v>
      </c>
      <c r="P133" s="5">
        <v>0.0</v>
      </c>
      <c r="Q133" s="5">
        <v>0.0</v>
      </c>
      <c r="R133" s="5">
        <v>3.0</v>
      </c>
      <c r="S133" s="5">
        <v>0.0</v>
      </c>
      <c r="T133" s="1"/>
      <c r="U133" s="1" t="s">
        <v>65</v>
      </c>
      <c r="V133" s="1"/>
      <c r="W133" s="1" t="s">
        <v>71</v>
      </c>
      <c r="X133" s="1" t="s">
        <v>3082</v>
      </c>
      <c r="Y133" s="1" t="s">
        <v>959</v>
      </c>
      <c r="Z133" s="1" t="s">
        <v>3084</v>
      </c>
      <c r="AA133" s="1"/>
      <c r="AB133" s="1"/>
      <c r="AC133" s="1" t="s">
        <v>65</v>
      </c>
      <c r="AD133" s="1" t="s">
        <v>65</v>
      </c>
      <c r="AE133" s="1"/>
      <c r="AF133" s="1" t="s">
        <v>65</v>
      </c>
      <c r="AG133" s="1" t="s">
        <v>3138</v>
      </c>
      <c r="AH133" s="1"/>
      <c r="AI133" s="1"/>
      <c r="AJ133" s="1"/>
      <c r="AK133" s="1"/>
      <c r="AL133" s="1"/>
      <c r="AM133" s="1"/>
      <c r="AN133" s="1"/>
    </row>
    <row r="134">
      <c r="A134" s="1" t="s">
        <v>3140</v>
      </c>
      <c r="B134" s="1" t="s">
        <v>3140</v>
      </c>
      <c r="C134" s="4">
        <v>44838.045011574075</v>
      </c>
      <c r="D134" s="5">
        <v>1.664845489E9</v>
      </c>
      <c r="E134" s="7" t="s">
        <v>3141</v>
      </c>
      <c r="F134" s="1" t="s">
        <v>3145</v>
      </c>
      <c r="G134" s="1" t="s">
        <v>3146</v>
      </c>
      <c r="H134" s="1" t="s">
        <v>3147</v>
      </c>
      <c r="I134" s="1" t="s">
        <v>3148</v>
      </c>
      <c r="J134" s="7" t="s">
        <v>3149</v>
      </c>
      <c r="K134" s="7" t="s">
        <v>3154</v>
      </c>
      <c r="L134" s="9" t="b">
        <v>0</v>
      </c>
      <c r="M134" s="1" t="s">
        <v>2805</v>
      </c>
      <c r="N134" s="1" t="s">
        <v>64</v>
      </c>
      <c r="O134" s="1" t="s">
        <v>65</v>
      </c>
      <c r="P134" s="5">
        <v>0.0</v>
      </c>
      <c r="Q134" s="5">
        <v>0.0</v>
      </c>
      <c r="R134" s="5">
        <v>0.0</v>
      </c>
      <c r="S134" s="5">
        <v>0.0</v>
      </c>
      <c r="T134" s="1"/>
      <c r="U134" s="1" t="s">
        <v>65</v>
      </c>
      <c r="V134" s="1"/>
      <c r="W134" s="1" t="s">
        <v>65</v>
      </c>
      <c r="X134" s="1"/>
      <c r="Y134" s="1"/>
      <c r="Z134" s="1"/>
      <c r="AA134" s="1"/>
      <c r="AB134" s="1"/>
      <c r="AC134" s="1" t="s">
        <v>65</v>
      </c>
      <c r="AD134" s="1" t="s">
        <v>65</v>
      </c>
      <c r="AE134" s="1"/>
      <c r="AF134" s="1" t="s">
        <v>65</v>
      </c>
      <c r="AG134" s="1" t="s">
        <v>561</v>
      </c>
      <c r="AH134" s="7" t="s">
        <v>3158</v>
      </c>
      <c r="AI134" s="1"/>
      <c r="AJ134" s="1"/>
      <c r="AK134" s="1"/>
      <c r="AL134" s="1"/>
      <c r="AM134" s="1"/>
      <c r="AN134" s="1"/>
    </row>
    <row r="135" hidden="1">
      <c r="A135" s="1" t="s">
        <v>3170</v>
      </c>
      <c r="B135" s="1" t="s">
        <v>3170</v>
      </c>
      <c r="C135" s="4">
        <v>44833.75269675926</v>
      </c>
      <c r="D135" s="5">
        <v>1.664474633E9</v>
      </c>
      <c r="E135" s="7" t="s">
        <v>3173</v>
      </c>
      <c r="F135" s="1" t="s">
        <v>3175</v>
      </c>
      <c r="G135" s="1" t="s">
        <v>2731</v>
      </c>
      <c r="H135" s="1" t="s">
        <v>2733</v>
      </c>
      <c r="I135" s="5">
        <v>1.6407741E7</v>
      </c>
      <c r="J135" s="7" t="s">
        <v>2735</v>
      </c>
      <c r="K135" s="7" t="s">
        <v>2737</v>
      </c>
      <c r="L135" s="9" t="b">
        <v>0</v>
      </c>
      <c r="M135" s="1" t="s">
        <v>85</v>
      </c>
      <c r="N135" s="1" t="s">
        <v>68</v>
      </c>
      <c r="O135" s="1" t="s">
        <v>65</v>
      </c>
      <c r="P135" s="5">
        <v>0.0</v>
      </c>
      <c r="Q135" s="5">
        <v>0.0</v>
      </c>
      <c r="R135" s="5">
        <v>1.0</v>
      </c>
      <c r="S135" s="5">
        <v>0.0</v>
      </c>
      <c r="T135" s="1"/>
      <c r="U135" s="1" t="s">
        <v>65</v>
      </c>
      <c r="V135" s="1"/>
      <c r="W135" s="1" t="s">
        <v>65</v>
      </c>
      <c r="X135" s="1"/>
      <c r="Y135" s="1"/>
      <c r="Z135" s="1"/>
      <c r="AA135" s="1"/>
      <c r="AB135" s="1"/>
      <c r="AC135" s="1" t="s">
        <v>65</v>
      </c>
      <c r="AD135" s="1" t="s">
        <v>65</v>
      </c>
      <c r="AE135" s="1"/>
      <c r="AF135" s="1" t="s">
        <v>65</v>
      </c>
      <c r="AG135" s="1" t="s">
        <v>3178</v>
      </c>
      <c r="AH135" s="1"/>
      <c r="AI135" s="1"/>
      <c r="AJ135" s="1"/>
      <c r="AK135" s="1"/>
      <c r="AL135" s="1"/>
      <c r="AM135" s="1"/>
      <c r="AN135" s="1"/>
    </row>
    <row r="136" hidden="1">
      <c r="A136" s="1" t="s">
        <v>3181</v>
      </c>
      <c r="B136" s="1" t="s">
        <v>3181</v>
      </c>
      <c r="C136" s="4">
        <v>44832.68315972222</v>
      </c>
      <c r="D136" s="5">
        <v>1.664382225E9</v>
      </c>
      <c r="E136" s="7" t="s">
        <v>3184</v>
      </c>
      <c r="F136" s="1" t="s">
        <v>3190</v>
      </c>
      <c r="G136" s="1" t="s">
        <v>3193</v>
      </c>
      <c r="H136" s="1" t="s">
        <v>3195</v>
      </c>
      <c r="I136" s="5">
        <v>2.46824283E8</v>
      </c>
      <c r="J136" s="7" t="s">
        <v>3197</v>
      </c>
      <c r="K136" s="7" t="s">
        <v>3200</v>
      </c>
      <c r="L136" s="9" t="b">
        <v>0</v>
      </c>
      <c r="M136" s="1" t="s">
        <v>66</v>
      </c>
      <c r="N136" s="1" t="s">
        <v>68</v>
      </c>
      <c r="O136" s="1" t="s">
        <v>65</v>
      </c>
      <c r="P136" s="5">
        <v>0.0</v>
      </c>
      <c r="Q136" s="5">
        <v>0.0</v>
      </c>
      <c r="R136" s="5">
        <v>0.0</v>
      </c>
      <c r="S136" s="5">
        <v>0.0</v>
      </c>
      <c r="T136" s="1"/>
      <c r="U136" s="1" t="s">
        <v>65</v>
      </c>
      <c r="V136" s="1"/>
      <c r="W136" s="1" t="s">
        <v>65</v>
      </c>
      <c r="X136" s="1"/>
      <c r="Y136" s="1"/>
      <c r="Z136" s="1"/>
      <c r="AA136" s="1"/>
      <c r="AB136" s="1"/>
      <c r="AC136" s="1" t="s">
        <v>65</v>
      </c>
      <c r="AD136" s="1" t="s">
        <v>65</v>
      </c>
      <c r="AE136" s="1"/>
      <c r="AF136" s="1" t="s">
        <v>65</v>
      </c>
      <c r="AG136" s="1" t="s">
        <v>3204</v>
      </c>
      <c r="AH136" s="7" t="s">
        <v>3205</v>
      </c>
      <c r="AI136" s="1"/>
      <c r="AJ136" s="1"/>
      <c r="AK136" s="1"/>
      <c r="AL136" s="1" t="s">
        <v>3216</v>
      </c>
      <c r="AM136" s="1" t="s">
        <v>3217</v>
      </c>
      <c r="AN136" s="1"/>
    </row>
    <row r="137" hidden="1">
      <c r="A137" s="1" t="s">
        <v>3218</v>
      </c>
      <c r="B137" s="1" t="s">
        <v>3219</v>
      </c>
      <c r="C137" s="4">
        <v>44825.00331018519</v>
      </c>
      <c r="D137" s="5">
        <v>1.663718686E9</v>
      </c>
      <c r="E137" s="7" t="s">
        <v>3220</v>
      </c>
      <c r="F137" s="1" t="s">
        <v>3223</v>
      </c>
      <c r="G137" s="1" t="s">
        <v>1253</v>
      </c>
      <c r="H137" s="1" t="s">
        <v>1255</v>
      </c>
      <c r="I137" s="1" t="s">
        <v>1256</v>
      </c>
      <c r="J137" s="7" t="s">
        <v>1257</v>
      </c>
      <c r="K137" s="7" t="s">
        <v>1264</v>
      </c>
      <c r="L137" s="9" t="b">
        <v>0</v>
      </c>
      <c r="M137" s="1" t="s">
        <v>67</v>
      </c>
      <c r="N137" s="1" t="s">
        <v>68</v>
      </c>
      <c r="O137" s="1" t="s">
        <v>65</v>
      </c>
      <c r="P137" s="5">
        <v>1.0</v>
      </c>
      <c r="Q137" s="5">
        <v>1.0</v>
      </c>
      <c r="R137" s="5">
        <v>5.0</v>
      </c>
      <c r="S137" s="5">
        <v>0.0</v>
      </c>
      <c r="T137" s="1"/>
      <c r="U137" s="1" t="s">
        <v>65</v>
      </c>
      <c r="V137" s="1"/>
      <c r="W137" s="1" t="s">
        <v>65</v>
      </c>
      <c r="X137" s="1"/>
      <c r="Y137" s="1"/>
      <c r="Z137" s="1"/>
      <c r="AA137" s="1"/>
      <c r="AB137" s="1"/>
      <c r="AC137" s="1" t="s">
        <v>65</v>
      </c>
      <c r="AD137" s="1" t="s">
        <v>71</v>
      </c>
      <c r="AE137" s="1" t="s">
        <v>1253</v>
      </c>
      <c r="AF137" s="1" t="s">
        <v>65</v>
      </c>
      <c r="AG137" s="1" t="s">
        <v>3228</v>
      </c>
      <c r="AH137" s="1"/>
      <c r="AI137" s="1"/>
      <c r="AJ137" s="1"/>
      <c r="AK137" s="1"/>
      <c r="AL137" s="1"/>
      <c r="AM137" s="1"/>
      <c r="AN137" s="1"/>
    </row>
    <row r="138" hidden="1">
      <c r="A138" s="1" t="s">
        <v>3230</v>
      </c>
      <c r="B138" s="1" t="s">
        <v>3230</v>
      </c>
      <c r="C138" s="4">
        <v>44823.91542824074</v>
      </c>
      <c r="D138" s="5">
        <v>1.663624693E9</v>
      </c>
      <c r="E138" s="7" t="s">
        <v>3231</v>
      </c>
      <c r="F138" s="1" t="s">
        <v>3232</v>
      </c>
      <c r="G138" s="1" t="s">
        <v>3233</v>
      </c>
      <c r="H138" s="1" t="s">
        <v>3234</v>
      </c>
      <c r="I138" s="5">
        <v>2.4171057E7</v>
      </c>
      <c r="J138" s="7" t="s">
        <v>3235</v>
      </c>
      <c r="K138" s="7" t="s">
        <v>3240</v>
      </c>
      <c r="L138" s="9" t="b">
        <v>0</v>
      </c>
      <c r="M138" s="1" t="s">
        <v>2805</v>
      </c>
      <c r="N138" s="1" t="s">
        <v>68</v>
      </c>
      <c r="O138" s="1" t="s">
        <v>65</v>
      </c>
      <c r="P138" s="5">
        <v>0.0</v>
      </c>
      <c r="Q138" s="5">
        <v>0.0</v>
      </c>
      <c r="R138" s="5">
        <v>1.0</v>
      </c>
      <c r="S138" s="5">
        <v>0.0</v>
      </c>
      <c r="T138" s="1"/>
      <c r="U138" s="1" t="s">
        <v>65</v>
      </c>
      <c r="V138" s="1"/>
      <c r="W138" s="1" t="s">
        <v>65</v>
      </c>
      <c r="X138" s="1"/>
      <c r="Y138" s="1"/>
      <c r="Z138" s="1"/>
      <c r="AA138" s="1"/>
      <c r="AB138" s="1"/>
      <c r="AC138" s="1" t="s">
        <v>65</v>
      </c>
      <c r="AD138" s="1" t="s">
        <v>65</v>
      </c>
      <c r="AE138" s="1"/>
      <c r="AF138" s="1" t="s">
        <v>65</v>
      </c>
      <c r="AG138" s="1" t="s">
        <v>3245</v>
      </c>
      <c r="AH138" s="7" t="s">
        <v>3246</v>
      </c>
      <c r="AI138" s="1"/>
      <c r="AJ138" s="1"/>
      <c r="AK138" s="1"/>
      <c r="AL138" s="1" t="s">
        <v>3250</v>
      </c>
      <c r="AM138" s="1" t="s">
        <v>3251</v>
      </c>
      <c r="AN138" s="1"/>
    </row>
    <row r="139" hidden="1">
      <c r="A139" s="1" t="s">
        <v>3252</v>
      </c>
      <c r="B139" s="1" t="s">
        <v>3252</v>
      </c>
      <c r="C139" s="4">
        <v>44821.52576388889</v>
      </c>
      <c r="D139" s="5">
        <v>1.663418226E9</v>
      </c>
      <c r="E139" s="7" t="s">
        <v>3253</v>
      </c>
      <c r="F139" s="1" t="s">
        <v>3257</v>
      </c>
      <c r="G139" s="1" t="s">
        <v>2731</v>
      </c>
      <c r="H139" s="1" t="s">
        <v>2733</v>
      </c>
      <c r="I139" s="5">
        <v>1.6407741E7</v>
      </c>
      <c r="J139" s="7" t="s">
        <v>2735</v>
      </c>
      <c r="K139" s="7" t="s">
        <v>2737</v>
      </c>
      <c r="L139" s="9" t="b">
        <v>0</v>
      </c>
      <c r="M139" s="1" t="s">
        <v>85</v>
      </c>
      <c r="N139" s="1" t="s">
        <v>68</v>
      </c>
      <c r="O139" s="1" t="s">
        <v>65</v>
      </c>
      <c r="P139" s="5">
        <v>0.0</v>
      </c>
      <c r="Q139" s="5">
        <v>0.0</v>
      </c>
      <c r="R139" s="5">
        <v>0.0</v>
      </c>
      <c r="S139" s="5">
        <v>0.0</v>
      </c>
      <c r="T139" s="1"/>
      <c r="U139" s="1" t="s">
        <v>65</v>
      </c>
      <c r="V139" s="1"/>
      <c r="W139" s="1" t="s">
        <v>65</v>
      </c>
      <c r="X139" s="1"/>
      <c r="Y139" s="1"/>
      <c r="Z139" s="1"/>
      <c r="AA139" s="1"/>
      <c r="AB139" s="1"/>
      <c r="AC139" s="1" t="s">
        <v>65</v>
      </c>
      <c r="AD139" s="1" t="s">
        <v>65</v>
      </c>
      <c r="AE139" s="1"/>
      <c r="AF139" s="1" t="s">
        <v>65</v>
      </c>
      <c r="AG139" s="1" t="s">
        <v>3265</v>
      </c>
      <c r="AH139" s="1"/>
      <c r="AI139" s="1"/>
      <c r="AJ139" s="1"/>
      <c r="AK139" s="1"/>
      <c r="AL139" s="1"/>
      <c r="AM139" s="1"/>
      <c r="AN139" s="1"/>
    </row>
    <row r="140" hidden="1">
      <c r="A140" s="1" t="s">
        <v>3266</v>
      </c>
      <c r="B140" s="1" t="s">
        <v>3266</v>
      </c>
      <c r="C140" s="4">
        <v>44821.37127314815</v>
      </c>
      <c r="D140" s="5">
        <v>1.663404878E9</v>
      </c>
      <c r="E140" s="7" t="s">
        <v>3269</v>
      </c>
      <c r="F140" s="1" t="s">
        <v>3273</v>
      </c>
      <c r="G140" s="1" t="s">
        <v>2657</v>
      </c>
      <c r="H140" s="1" t="s">
        <v>2658</v>
      </c>
      <c r="I140" s="1" t="s">
        <v>2659</v>
      </c>
      <c r="J140" s="7" t="s">
        <v>2660</v>
      </c>
      <c r="K140" s="7" t="s">
        <v>2666</v>
      </c>
      <c r="L140" s="9" t="b">
        <v>0</v>
      </c>
      <c r="M140" s="1" t="s">
        <v>67</v>
      </c>
      <c r="N140" s="1" t="s">
        <v>824</v>
      </c>
      <c r="O140" s="1" t="s">
        <v>65</v>
      </c>
      <c r="P140" s="5">
        <v>1.0</v>
      </c>
      <c r="Q140" s="5">
        <v>0.0</v>
      </c>
      <c r="R140" s="5">
        <v>3.0</v>
      </c>
      <c r="S140" s="5">
        <v>0.0</v>
      </c>
      <c r="T140" s="1"/>
      <c r="U140" s="1" t="s">
        <v>65</v>
      </c>
      <c r="V140" s="1"/>
      <c r="W140" s="1" t="s">
        <v>65</v>
      </c>
      <c r="X140" s="1"/>
      <c r="Y140" s="1"/>
      <c r="Z140" s="1"/>
      <c r="AA140" s="1"/>
      <c r="AB140" s="1"/>
      <c r="AC140" s="1" t="s">
        <v>65</v>
      </c>
      <c r="AD140" s="1" t="s">
        <v>65</v>
      </c>
      <c r="AE140" s="1"/>
      <c r="AF140" s="1" t="s">
        <v>65</v>
      </c>
      <c r="AG140" s="1" t="s">
        <v>3275</v>
      </c>
      <c r="AH140" s="7" t="s">
        <v>3277</v>
      </c>
      <c r="AI140" s="1"/>
      <c r="AJ140" s="1"/>
      <c r="AK140" s="1"/>
      <c r="AL140" s="1"/>
      <c r="AM140" s="1"/>
      <c r="AN140" s="1"/>
    </row>
    <row r="141" hidden="1">
      <c r="A141" s="1" t="s">
        <v>3286</v>
      </c>
      <c r="B141" s="1" t="s">
        <v>3286</v>
      </c>
      <c r="C141" s="4">
        <v>44808.82167824074</v>
      </c>
      <c r="D141" s="5">
        <v>1.662320593E9</v>
      </c>
      <c r="E141" s="7" t="s">
        <v>3287</v>
      </c>
      <c r="F141" s="1" t="s">
        <v>3291</v>
      </c>
      <c r="G141" s="1" t="s">
        <v>3292</v>
      </c>
      <c r="H141" s="1" t="s">
        <v>3293</v>
      </c>
      <c r="I141" s="1" t="s">
        <v>3294</v>
      </c>
      <c r="J141" s="7" t="s">
        <v>3297</v>
      </c>
      <c r="K141" s="7" t="s">
        <v>3300</v>
      </c>
      <c r="L141" s="9" t="b">
        <v>0</v>
      </c>
      <c r="M141" s="1" t="s">
        <v>67</v>
      </c>
      <c r="N141" s="1" t="s">
        <v>68</v>
      </c>
      <c r="O141" s="1" t="s">
        <v>65</v>
      </c>
      <c r="P141" s="5">
        <v>0.0</v>
      </c>
      <c r="Q141" s="5">
        <v>0.0</v>
      </c>
      <c r="R141" s="5">
        <v>2.0</v>
      </c>
      <c r="S141" s="5">
        <v>0.0</v>
      </c>
      <c r="T141" s="1"/>
      <c r="U141" s="1" t="s">
        <v>65</v>
      </c>
      <c r="V141" s="1"/>
      <c r="W141" s="1" t="s">
        <v>65</v>
      </c>
      <c r="X141" s="1"/>
      <c r="Y141" s="1"/>
      <c r="Z141" s="1"/>
      <c r="AA141" s="1"/>
      <c r="AB141" s="1"/>
      <c r="AC141" s="1" t="s">
        <v>65</v>
      </c>
      <c r="AD141" s="1" t="s">
        <v>65</v>
      </c>
      <c r="AE141" s="1"/>
      <c r="AF141" s="1" t="s">
        <v>65</v>
      </c>
      <c r="AG141" s="1" t="s">
        <v>3306</v>
      </c>
      <c r="AH141" s="1"/>
      <c r="AI141" s="1"/>
      <c r="AJ141" s="1"/>
      <c r="AK141" s="1"/>
      <c r="AL141" s="1" t="s">
        <v>3308</v>
      </c>
      <c r="AM141" s="1" t="s">
        <v>3310</v>
      </c>
      <c r="AN141" s="1"/>
    </row>
    <row r="142">
      <c r="A142" s="1" t="s">
        <v>3311</v>
      </c>
      <c r="B142" s="1" t="s">
        <v>3312</v>
      </c>
      <c r="C142" s="4">
        <v>44805.622141203705</v>
      </c>
      <c r="D142" s="5">
        <v>1.662044153E9</v>
      </c>
      <c r="E142" s="7" t="s">
        <v>3313</v>
      </c>
      <c r="F142" s="1" t="s">
        <v>3321</v>
      </c>
      <c r="G142" s="1" t="s">
        <v>3322</v>
      </c>
      <c r="H142" s="1" t="s">
        <v>3323</v>
      </c>
      <c r="I142" s="1" t="s">
        <v>3324</v>
      </c>
      <c r="J142" s="7" t="s">
        <v>3326</v>
      </c>
      <c r="K142" s="1"/>
      <c r="L142" s="9" t="b">
        <v>0</v>
      </c>
      <c r="M142" s="1" t="s">
        <v>85</v>
      </c>
      <c r="N142" s="1" t="s">
        <v>64</v>
      </c>
      <c r="O142" s="1" t="s">
        <v>65</v>
      </c>
      <c r="P142" s="5">
        <v>0.0</v>
      </c>
      <c r="Q142" s="5">
        <v>1.0</v>
      </c>
      <c r="R142" s="5">
        <v>3.0</v>
      </c>
      <c r="S142" s="5">
        <v>0.0</v>
      </c>
      <c r="T142" s="1"/>
      <c r="U142" s="1" t="s">
        <v>65</v>
      </c>
      <c r="V142" s="1"/>
      <c r="W142" s="1" t="s">
        <v>65</v>
      </c>
      <c r="X142" s="1"/>
      <c r="Y142" s="1"/>
      <c r="Z142" s="1"/>
      <c r="AA142" s="1"/>
      <c r="AB142" s="1"/>
      <c r="AC142" s="1" t="s">
        <v>65</v>
      </c>
      <c r="AD142" s="1" t="s">
        <v>71</v>
      </c>
      <c r="AE142" s="1" t="s">
        <v>3333</v>
      </c>
      <c r="AF142" s="1" t="s">
        <v>65</v>
      </c>
      <c r="AG142" s="1" t="s">
        <v>414</v>
      </c>
      <c r="AH142" s="1"/>
      <c r="AI142" s="1"/>
      <c r="AJ142" s="1"/>
      <c r="AK142" s="1" t="s">
        <v>3333</v>
      </c>
      <c r="AL142" s="1"/>
      <c r="AM142" s="1"/>
      <c r="AN142" s="1"/>
    </row>
    <row r="143">
      <c r="A143" s="1" t="s">
        <v>3337</v>
      </c>
      <c r="B143" s="1" t="s">
        <v>3337</v>
      </c>
      <c r="C143" s="4">
        <v>44802.99496527778</v>
      </c>
      <c r="D143" s="5">
        <v>1.661817165E9</v>
      </c>
      <c r="E143" s="7" t="s">
        <v>3339</v>
      </c>
      <c r="F143" s="1" t="s">
        <v>3341</v>
      </c>
      <c r="G143" s="1" t="s">
        <v>3342</v>
      </c>
      <c r="H143" s="1" t="s">
        <v>3343</v>
      </c>
      <c r="I143" s="1" t="s">
        <v>3344</v>
      </c>
      <c r="J143" s="7" t="s">
        <v>3345</v>
      </c>
      <c r="K143" s="1"/>
      <c r="L143" s="9" t="b">
        <v>0</v>
      </c>
      <c r="M143" s="1" t="s">
        <v>67</v>
      </c>
      <c r="N143" s="1" t="s">
        <v>64</v>
      </c>
      <c r="O143" s="1" t="s">
        <v>65</v>
      </c>
      <c r="P143" s="5">
        <v>0.0</v>
      </c>
      <c r="Q143" s="5">
        <v>0.0</v>
      </c>
      <c r="R143" s="5">
        <v>1.0</v>
      </c>
      <c r="S143" s="5">
        <v>0.0</v>
      </c>
      <c r="T143" s="1"/>
      <c r="U143" s="1" t="s">
        <v>65</v>
      </c>
      <c r="V143" s="1"/>
      <c r="W143" s="1" t="s">
        <v>65</v>
      </c>
      <c r="X143" s="1"/>
      <c r="Y143" s="1"/>
      <c r="Z143" s="1"/>
      <c r="AA143" s="1"/>
      <c r="AB143" s="1"/>
      <c r="AC143" s="1" t="s">
        <v>65</v>
      </c>
      <c r="AD143" s="1" t="s">
        <v>65</v>
      </c>
      <c r="AE143" s="1"/>
      <c r="AF143" s="1" t="s">
        <v>65</v>
      </c>
      <c r="AG143" s="1" t="s">
        <v>3351</v>
      </c>
      <c r="AH143" s="1"/>
      <c r="AI143" s="7" t="s">
        <v>3353</v>
      </c>
      <c r="AJ143" s="1"/>
      <c r="AK143" s="1"/>
      <c r="AL143" s="1"/>
      <c r="AM143" s="1"/>
      <c r="AN143" s="1"/>
    </row>
    <row r="144">
      <c r="A144" s="1" t="s">
        <v>3360</v>
      </c>
      <c r="B144" s="1" t="s">
        <v>3360</v>
      </c>
      <c r="C144" s="4">
        <v>44802.64158564815</v>
      </c>
      <c r="D144" s="5">
        <v>1.661786633E9</v>
      </c>
      <c r="E144" s="7" t="s">
        <v>3361</v>
      </c>
      <c r="F144" s="1" t="s">
        <v>3363</v>
      </c>
      <c r="G144" s="1" t="s">
        <v>3364</v>
      </c>
      <c r="H144" s="1" t="s">
        <v>3365</v>
      </c>
      <c r="I144" s="1" t="s">
        <v>3366</v>
      </c>
      <c r="J144" s="7" t="s">
        <v>3367</v>
      </c>
      <c r="K144" s="7" t="s">
        <v>3368</v>
      </c>
      <c r="L144" s="9" t="b">
        <v>0</v>
      </c>
      <c r="M144" s="1" t="s">
        <v>67</v>
      </c>
      <c r="N144" s="1" t="s">
        <v>64</v>
      </c>
      <c r="O144" s="1" t="s">
        <v>65</v>
      </c>
      <c r="P144" s="5">
        <v>0.0</v>
      </c>
      <c r="Q144" s="5">
        <v>0.0</v>
      </c>
      <c r="R144" s="5">
        <v>1.0</v>
      </c>
      <c r="S144" s="5">
        <v>0.0</v>
      </c>
      <c r="T144" s="1"/>
      <c r="U144" s="1" t="s">
        <v>65</v>
      </c>
      <c r="V144" s="1"/>
      <c r="W144" s="1" t="s">
        <v>65</v>
      </c>
      <c r="X144" s="1"/>
      <c r="Y144" s="1"/>
      <c r="Z144" s="1"/>
      <c r="AA144" s="1"/>
      <c r="AB144" s="1"/>
      <c r="AC144" s="1" t="s">
        <v>65</v>
      </c>
      <c r="AD144" s="1" t="s">
        <v>65</v>
      </c>
      <c r="AE144" s="1"/>
      <c r="AF144" s="1" t="s">
        <v>65</v>
      </c>
      <c r="AG144" s="1" t="s">
        <v>2140</v>
      </c>
      <c r="AH144" s="7" t="s">
        <v>3376</v>
      </c>
      <c r="AI144" s="1"/>
      <c r="AJ144" s="1"/>
      <c r="AK144" s="1"/>
      <c r="AL144" s="1"/>
      <c r="AM144" s="1"/>
      <c r="AN144" s="1"/>
    </row>
    <row r="145" hidden="1">
      <c r="A145" s="1" t="s">
        <v>3381</v>
      </c>
      <c r="B145" s="1" t="s">
        <v>3381</v>
      </c>
      <c r="C145" s="4">
        <v>44795.50409722222</v>
      </c>
      <c r="D145" s="5">
        <v>1.661169954E9</v>
      </c>
      <c r="E145" s="7" t="s">
        <v>3382</v>
      </c>
      <c r="F145" s="1" t="s">
        <v>3385</v>
      </c>
      <c r="G145" s="1" t="s">
        <v>3386</v>
      </c>
      <c r="H145" s="1" t="s">
        <v>3387</v>
      </c>
      <c r="I145" s="5">
        <v>2.929302917E9</v>
      </c>
      <c r="J145" s="7" t="s">
        <v>3389</v>
      </c>
      <c r="K145" s="7" t="s">
        <v>3395</v>
      </c>
      <c r="L145" s="9" t="b">
        <v>0</v>
      </c>
      <c r="M145" s="1" t="s">
        <v>66</v>
      </c>
      <c r="N145" s="1" t="s">
        <v>68</v>
      </c>
      <c r="O145" s="1" t="s">
        <v>65</v>
      </c>
      <c r="P145" s="5">
        <v>0.0</v>
      </c>
      <c r="Q145" s="5">
        <v>0.0</v>
      </c>
      <c r="R145" s="5">
        <v>5.0</v>
      </c>
      <c r="S145" s="5">
        <v>0.0</v>
      </c>
      <c r="T145" s="1"/>
      <c r="U145" s="1" t="s">
        <v>65</v>
      </c>
      <c r="V145" s="1"/>
      <c r="W145" s="1" t="s">
        <v>65</v>
      </c>
      <c r="X145" s="1"/>
      <c r="Y145" s="1"/>
      <c r="Z145" s="1"/>
      <c r="AA145" s="1"/>
      <c r="AB145" s="1"/>
      <c r="AC145" s="1" t="s">
        <v>65</v>
      </c>
      <c r="AD145" s="1" t="s">
        <v>65</v>
      </c>
      <c r="AE145" s="1"/>
      <c r="AF145" s="1" t="s">
        <v>65</v>
      </c>
      <c r="AG145" s="1" t="s">
        <v>561</v>
      </c>
      <c r="AH145" s="7" t="s">
        <v>3397</v>
      </c>
      <c r="AI145" s="7" t="s">
        <v>3398</v>
      </c>
      <c r="AJ145" s="1"/>
      <c r="AK145" s="1"/>
      <c r="AL145" s="1"/>
      <c r="AM145" s="1"/>
      <c r="AN145" s="1"/>
    </row>
    <row r="146" hidden="1">
      <c r="A146" s="1" t="s">
        <v>3401</v>
      </c>
      <c r="B146" s="1" t="s">
        <v>3401</v>
      </c>
      <c r="C146" s="4">
        <v>44792.96172453704</v>
      </c>
      <c r="D146" s="5">
        <v>1.660950293E9</v>
      </c>
      <c r="E146" s="7" t="s">
        <v>3402</v>
      </c>
      <c r="F146" s="1" t="s">
        <v>3406</v>
      </c>
      <c r="G146" s="1" t="s">
        <v>3407</v>
      </c>
      <c r="H146" s="1" t="s">
        <v>3408</v>
      </c>
      <c r="I146" s="5">
        <v>6.5364769E7</v>
      </c>
      <c r="J146" s="7" t="s">
        <v>3409</v>
      </c>
      <c r="K146" s="7" t="s">
        <v>3414</v>
      </c>
      <c r="L146" s="9" t="b">
        <v>0</v>
      </c>
      <c r="M146" s="1" t="s">
        <v>66</v>
      </c>
      <c r="N146" s="1" t="s">
        <v>68</v>
      </c>
      <c r="O146" s="1" t="s">
        <v>65</v>
      </c>
      <c r="P146" s="5">
        <v>0.0</v>
      </c>
      <c r="Q146" s="5">
        <v>0.0</v>
      </c>
      <c r="R146" s="5">
        <v>2.0</v>
      </c>
      <c r="S146" s="5">
        <v>0.0</v>
      </c>
      <c r="T146" s="1"/>
      <c r="U146" s="1" t="s">
        <v>65</v>
      </c>
      <c r="V146" s="1"/>
      <c r="W146" s="1" t="s">
        <v>65</v>
      </c>
      <c r="X146" s="1"/>
      <c r="Y146" s="1"/>
      <c r="Z146" s="1"/>
      <c r="AA146" s="1"/>
      <c r="AB146" s="1"/>
      <c r="AC146" s="1" t="s">
        <v>65</v>
      </c>
      <c r="AD146" s="1" t="s">
        <v>65</v>
      </c>
      <c r="AE146" s="1"/>
      <c r="AF146" s="1" t="s">
        <v>65</v>
      </c>
      <c r="AG146" s="1" t="s">
        <v>1967</v>
      </c>
      <c r="AH146" s="7" t="s">
        <v>3418</v>
      </c>
      <c r="AI146" s="1"/>
      <c r="AJ146" s="1"/>
      <c r="AK146" s="1"/>
      <c r="AL146" s="1"/>
      <c r="AM146" s="1"/>
      <c r="AN146" s="1"/>
    </row>
    <row r="147" hidden="1">
      <c r="A147" s="1" t="s">
        <v>3421</v>
      </c>
      <c r="B147" s="1" t="s">
        <v>3421</v>
      </c>
      <c r="C147" s="4">
        <v>44790.740648148145</v>
      </c>
      <c r="D147" s="5">
        <v>1.660758392E9</v>
      </c>
      <c r="E147" s="7" t="s">
        <v>3423</v>
      </c>
      <c r="F147" s="1" t="s">
        <v>3424</v>
      </c>
      <c r="G147" s="1" t="s">
        <v>3425</v>
      </c>
      <c r="H147" s="1" t="s">
        <v>3427</v>
      </c>
      <c r="I147" s="1" t="s">
        <v>3428</v>
      </c>
      <c r="J147" s="7" t="s">
        <v>3430</v>
      </c>
      <c r="K147" s="1"/>
      <c r="L147" s="9" t="b">
        <v>0</v>
      </c>
      <c r="M147" s="1" t="s">
        <v>2805</v>
      </c>
      <c r="N147" s="1" t="s">
        <v>68</v>
      </c>
      <c r="O147" s="1" t="s">
        <v>65</v>
      </c>
      <c r="P147" s="5">
        <v>0.0</v>
      </c>
      <c r="Q147" s="5">
        <v>0.0</v>
      </c>
      <c r="R147" s="5">
        <v>0.0</v>
      </c>
      <c r="S147" s="5">
        <v>0.0</v>
      </c>
      <c r="T147" s="1"/>
      <c r="U147" s="1" t="s">
        <v>65</v>
      </c>
      <c r="V147" s="1"/>
      <c r="W147" s="1" t="s">
        <v>65</v>
      </c>
      <c r="X147" s="1"/>
      <c r="Y147" s="1"/>
      <c r="Z147" s="1"/>
      <c r="AA147" s="1"/>
      <c r="AB147" s="1"/>
      <c r="AC147" s="1" t="s">
        <v>65</v>
      </c>
      <c r="AD147" s="1" t="s">
        <v>65</v>
      </c>
      <c r="AE147" s="1"/>
      <c r="AF147" s="1" t="s">
        <v>65</v>
      </c>
      <c r="AG147" s="1" t="s">
        <v>472</v>
      </c>
      <c r="AH147" s="7" t="s">
        <v>3439</v>
      </c>
      <c r="AI147" s="1"/>
      <c r="AJ147" s="1"/>
      <c r="AK147" s="1"/>
      <c r="AL147" s="1"/>
      <c r="AM147" s="1"/>
      <c r="AN147" s="1"/>
    </row>
    <row r="148">
      <c r="A148" s="1" t="s">
        <v>3444</v>
      </c>
      <c r="B148" s="1" t="s">
        <v>3444</v>
      </c>
      <c r="C148" s="4">
        <v>44788.869675925926</v>
      </c>
      <c r="D148" s="5">
        <v>1.66059674E9</v>
      </c>
      <c r="E148" s="7" t="s">
        <v>3445</v>
      </c>
      <c r="F148" s="1" t="s">
        <v>3447</v>
      </c>
      <c r="G148" s="1" t="s">
        <v>2062</v>
      </c>
      <c r="H148" s="1" t="s">
        <v>2064</v>
      </c>
      <c r="I148" s="5">
        <v>1.3611946E8</v>
      </c>
      <c r="J148" s="7" t="s">
        <v>2065</v>
      </c>
      <c r="K148" s="7" t="s">
        <v>2069</v>
      </c>
      <c r="L148" s="9" t="b">
        <v>0</v>
      </c>
      <c r="M148" s="1" t="s">
        <v>67</v>
      </c>
      <c r="N148" s="1" t="s">
        <v>64</v>
      </c>
      <c r="O148" s="1" t="s">
        <v>65</v>
      </c>
      <c r="P148" s="5">
        <v>0.0</v>
      </c>
      <c r="Q148" s="5">
        <v>0.0</v>
      </c>
      <c r="R148" s="5">
        <v>1.0</v>
      </c>
      <c r="S148" s="5">
        <v>0.0</v>
      </c>
      <c r="T148" s="1"/>
      <c r="U148" s="1" t="s">
        <v>65</v>
      </c>
      <c r="V148" s="1"/>
      <c r="W148" s="1" t="s">
        <v>65</v>
      </c>
      <c r="X148" s="1"/>
      <c r="Y148" s="1"/>
      <c r="Z148" s="1"/>
      <c r="AA148" s="1"/>
      <c r="AB148" s="1"/>
      <c r="AC148" s="1" t="s">
        <v>65</v>
      </c>
      <c r="AD148" s="1" t="s">
        <v>65</v>
      </c>
      <c r="AE148" s="1"/>
      <c r="AF148" s="1" t="s">
        <v>65</v>
      </c>
      <c r="AG148" s="1" t="s">
        <v>3456</v>
      </c>
      <c r="AH148" s="1"/>
      <c r="AI148" s="7" t="s">
        <v>3458</v>
      </c>
      <c r="AJ148" s="1"/>
      <c r="AK148" s="1"/>
      <c r="AL148" s="1"/>
      <c r="AM148" s="1"/>
      <c r="AN148" s="1"/>
    </row>
    <row r="149" hidden="1">
      <c r="A149" s="1" t="s">
        <v>3466</v>
      </c>
      <c r="B149" s="1" t="s">
        <v>3466</v>
      </c>
      <c r="C149" s="4">
        <v>44781.038935185185</v>
      </c>
      <c r="D149" s="5">
        <v>1.659920164E9</v>
      </c>
      <c r="E149" s="7" t="s">
        <v>3467</v>
      </c>
      <c r="F149" s="1" t="s">
        <v>3468</v>
      </c>
      <c r="G149" s="1" t="s">
        <v>2731</v>
      </c>
      <c r="H149" s="1" t="s">
        <v>2733</v>
      </c>
      <c r="I149" s="5">
        <v>1.6407741E7</v>
      </c>
      <c r="J149" s="7" t="s">
        <v>2735</v>
      </c>
      <c r="K149" s="7" t="s">
        <v>2737</v>
      </c>
      <c r="L149" s="9" t="b">
        <v>0</v>
      </c>
      <c r="M149" s="1" t="s">
        <v>85</v>
      </c>
      <c r="N149" s="1" t="s">
        <v>68</v>
      </c>
      <c r="O149" s="1" t="s">
        <v>65</v>
      </c>
      <c r="P149" s="5">
        <v>0.0</v>
      </c>
      <c r="Q149" s="5">
        <v>0.0</v>
      </c>
      <c r="R149" s="5">
        <v>1.0</v>
      </c>
      <c r="S149" s="5">
        <v>0.0</v>
      </c>
      <c r="T149" s="1"/>
      <c r="U149" s="1" t="s">
        <v>65</v>
      </c>
      <c r="V149" s="1"/>
      <c r="W149" s="1" t="s">
        <v>65</v>
      </c>
      <c r="X149" s="1"/>
      <c r="Y149" s="1"/>
      <c r="Z149" s="1"/>
      <c r="AA149" s="1"/>
      <c r="AB149" s="1"/>
      <c r="AC149" s="1" t="s">
        <v>65</v>
      </c>
      <c r="AD149" s="1" t="s">
        <v>65</v>
      </c>
      <c r="AE149" s="1"/>
      <c r="AF149" s="1" t="s">
        <v>65</v>
      </c>
      <c r="AG149" s="1" t="s">
        <v>906</v>
      </c>
      <c r="AH149" s="1"/>
      <c r="AI149" s="1"/>
      <c r="AJ149" s="1"/>
      <c r="AK149" s="1"/>
      <c r="AL149" s="1"/>
      <c r="AM149" s="1"/>
      <c r="AN149" s="1"/>
    </row>
    <row r="150" hidden="1">
      <c r="A150" s="1" t="s">
        <v>3469</v>
      </c>
      <c r="B150" s="1" t="s">
        <v>3469</v>
      </c>
      <c r="C150" s="4">
        <v>44772.93802083333</v>
      </c>
      <c r="D150" s="5">
        <v>1.659220245E9</v>
      </c>
      <c r="E150" s="7" t="s">
        <v>3470</v>
      </c>
      <c r="F150" s="1" t="s">
        <v>3471</v>
      </c>
      <c r="G150" s="1" t="s">
        <v>3472</v>
      </c>
      <c r="H150" s="1" t="s">
        <v>3473</v>
      </c>
      <c r="I150" s="1" t="s">
        <v>3474</v>
      </c>
      <c r="J150" s="7" t="s">
        <v>3475</v>
      </c>
      <c r="K150" s="1"/>
      <c r="L150" s="9" t="b">
        <v>0</v>
      </c>
      <c r="M150" s="1" t="s">
        <v>2805</v>
      </c>
      <c r="N150" s="1" t="s">
        <v>68</v>
      </c>
      <c r="O150" s="1" t="s">
        <v>65</v>
      </c>
      <c r="P150" s="5">
        <v>0.0</v>
      </c>
      <c r="Q150" s="5">
        <v>0.0</v>
      </c>
      <c r="R150" s="5">
        <v>0.0</v>
      </c>
      <c r="S150" s="5">
        <v>0.0</v>
      </c>
      <c r="T150" s="1"/>
      <c r="U150" s="1" t="s">
        <v>65</v>
      </c>
      <c r="V150" s="1"/>
      <c r="W150" s="1" t="s">
        <v>65</v>
      </c>
      <c r="X150" s="1"/>
      <c r="Y150" s="1"/>
      <c r="Z150" s="1"/>
      <c r="AA150" s="1"/>
      <c r="AB150" s="1"/>
      <c r="AC150" s="1" t="s">
        <v>65</v>
      </c>
      <c r="AD150" s="1" t="s">
        <v>65</v>
      </c>
      <c r="AE150" s="1"/>
      <c r="AF150" s="1" t="s">
        <v>65</v>
      </c>
      <c r="AG150" s="1" t="s">
        <v>3481</v>
      </c>
      <c r="AH150" s="7" t="s">
        <v>3482</v>
      </c>
      <c r="AI150" s="1"/>
      <c r="AJ150" s="1"/>
      <c r="AK150" s="1"/>
      <c r="AL150" s="1"/>
      <c r="AM150" s="1"/>
      <c r="AN150" s="1"/>
    </row>
    <row r="151">
      <c r="A151" s="1" t="s">
        <v>3488</v>
      </c>
      <c r="B151" s="1" t="s">
        <v>3488</v>
      </c>
      <c r="C151" s="4">
        <v>44766.510717592595</v>
      </c>
      <c r="D151" s="5">
        <v>1.658664926E9</v>
      </c>
      <c r="E151" s="7" t="s">
        <v>3490</v>
      </c>
      <c r="F151" s="1" t="s">
        <v>3491</v>
      </c>
      <c r="G151" s="1" t="s">
        <v>2197</v>
      </c>
      <c r="H151" s="1" t="s">
        <v>2198</v>
      </c>
      <c r="I151" s="5">
        <v>4.017379276E9</v>
      </c>
      <c r="J151" s="7" t="s">
        <v>2199</v>
      </c>
      <c r="K151" s="7" t="s">
        <v>2205</v>
      </c>
      <c r="L151" s="9" t="b">
        <v>0</v>
      </c>
      <c r="M151" s="7" t="s">
        <v>2210</v>
      </c>
      <c r="N151" s="1" t="s">
        <v>64</v>
      </c>
      <c r="O151" s="1" t="s">
        <v>65</v>
      </c>
      <c r="P151" s="5">
        <v>1.0</v>
      </c>
      <c r="Q151" s="5">
        <v>0.0</v>
      </c>
      <c r="R151" s="5">
        <v>0.0</v>
      </c>
      <c r="S151" s="5">
        <v>0.0</v>
      </c>
      <c r="T151" s="1"/>
      <c r="U151" s="1" t="s">
        <v>65</v>
      </c>
      <c r="V151" s="1"/>
      <c r="W151" s="1" t="s">
        <v>65</v>
      </c>
      <c r="X151" s="1"/>
      <c r="Y151" s="1"/>
      <c r="Z151" s="1"/>
      <c r="AA151" s="1"/>
      <c r="AB151" s="1"/>
      <c r="AC151" s="1" t="s">
        <v>65</v>
      </c>
      <c r="AD151" s="1" t="s">
        <v>65</v>
      </c>
      <c r="AE151" s="1"/>
      <c r="AF151" s="1" t="s">
        <v>65</v>
      </c>
      <c r="AG151" s="1" t="s">
        <v>2214</v>
      </c>
      <c r="AH151" s="7" t="s">
        <v>3495</v>
      </c>
      <c r="AI151" s="7" t="s">
        <v>3498</v>
      </c>
      <c r="AJ151" s="1"/>
      <c r="AK151" s="1"/>
      <c r="AL151" s="1"/>
      <c r="AM151" s="1"/>
      <c r="AN151" s="1"/>
    </row>
    <row r="152" hidden="1">
      <c r="A152" s="1" t="s">
        <v>3500</v>
      </c>
      <c r="B152" s="1" t="s">
        <v>3500</v>
      </c>
      <c r="C152" s="4">
        <v>44765.941041666665</v>
      </c>
      <c r="D152" s="5">
        <v>1.658615706E9</v>
      </c>
      <c r="E152" s="7" t="s">
        <v>3501</v>
      </c>
      <c r="F152" s="1" t="s">
        <v>3503</v>
      </c>
      <c r="G152" s="1" t="s">
        <v>2731</v>
      </c>
      <c r="H152" s="1" t="s">
        <v>2733</v>
      </c>
      <c r="I152" s="5">
        <v>1.6407741E7</v>
      </c>
      <c r="J152" s="7" t="s">
        <v>2735</v>
      </c>
      <c r="K152" s="7" t="s">
        <v>2737</v>
      </c>
      <c r="L152" s="9" t="b">
        <v>0</v>
      </c>
      <c r="M152" s="1" t="s">
        <v>85</v>
      </c>
      <c r="N152" s="1" t="s">
        <v>68</v>
      </c>
      <c r="O152" s="1" t="s">
        <v>65</v>
      </c>
      <c r="P152" s="5">
        <v>0.0</v>
      </c>
      <c r="Q152" s="5">
        <v>0.0</v>
      </c>
      <c r="R152" s="5">
        <v>0.0</v>
      </c>
      <c r="S152" s="5">
        <v>0.0</v>
      </c>
      <c r="T152" s="1"/>
      <c r="U152" s="1" t="s">
        <v>65</v>
      </c>
      <c r="V152" s="1"/>
      <c r="W152" s="1" t="s">
        <v>65</v>
      </c>
      <c r="X152" s="1"/>
      <c r="Y152" s="1"/>
      <c r="Z152" s="1"/>
      <c r="AA152" s="1"/>
      <c r="AB152" s="1"/>
      <c r="AC152" s="1" t="s">
        <v>65</v>
      </c>
      <c r="AD152" s="1" t="s">
        <v>65</v>
      </c>
      <c r="AE152" s="1"/>
      <c r="AF152" s="1" t="s">
        <v>65</v>
      </c>
      <c r="AG152" s="1" t="s">
        <v>1215</v>
      </c>
      <c r="AH152" s="1"/>
      <c r="AI152" s="1"/>
      <c r="AJ152" s="1"/>
      <c r="AK152" s="1"/>
      <c r="AL152" s="1"/>
      <c r="AM152" s="1"/>
      <c r="AN152" s="1"/>
    </row>
    <row r="153" hidden="1">
      <c r="A153" s="1" t="s">
        <v>3510</v>
      </c>
      <c r="B153" s="1" t="s">
        <v>3510</v>
      </c>
      <c r="C153" s="4">
        <v>44765.718877314815</v>
      </c>
      <c r="D153" s="5">
        <v>1.658596511E9</v>
      </c>
      <c r="E153" s="7" t="s">
        <v>3511</v>
      </c>
      <c r="F153" s="1" t="s">
        <v>3517</v>
      </c>
      <c r="G153" s="1" t="s">
        <v>3518</v>
      </c>
      <c r="H153" s="1" t="s">
        <v>3519</v>
      </c>
      <c r="I153" s="1" t="s">
        <v>3520</v>
      </c>
      <c r="J153" s="7" t="s">
        <v>3521</v>
      </c>
      <c r="K153" s="7" t="s">
        <v>3524</v>
      </c>
      <c r="L153" s="9" t="b">
        <v>0</v>
      </c>
      <c r="M153" s="1" t="s">
        <v>67</v>
      </c>
      <c r="N153" s="1" t="s">
        <v>68</v>
      </c>
      <c r="O153" s="1" t="s">
        <v>65</v>
      </c>
      <c r="P153" s="5">
        <v>0.0</v>
      </c>
      <c r="Q153" s="5">
        <v>1.0</v>
      </c>
      <c r="R153" s="5">
        <v>0.0</v>
      </c>
      <c r="S153" s="5">
        <v>0.0</v>
      </c>
      <c r="T153" s="1"/>
      <c r="U153" s="1" t="s">
        <v>65</v>
      </c>
      <c r="V153" s="1"/>
      <c r="W153" s="1" t="s">
        <v>65</v>
      </c>
      <c r="X153" s="1"/>
      <c r="Y153" s="1"/>
      <c r="Z153" s="1"/>
      <c r="AA153" s="1"/>
      <c r="AB153" s="1"/>
      <c r="AC153" s="1" t="s">
        <v>65</v>
      </c>
      <c r="AD153" s="1" t="s">
        <v>65</v>
      </c>
      <c r="AE153" s="1"/>
      <c r="AF153" s="1" t="s">
        <v>65</v>
      </c>
      <c r="AG153" s="1" t="s">
        <v>3534</v>
      </c>
      <c r="AH153" s="1"/>
      <c r="AI153" s="1"/>
      <c r="AJ153" s="1"/>
      <c r="AK153" s="1"/>
      <c r="AL153" s="1"/>
      <c r="AM153" s="1"/>
      <c r="AN153" s="1"/>
    </row>
    <row r="154" hidden="1">
      <c r="A154" s="1" t="s">
        <v>3536</v>
      </c>
      <c r="B154" s="1" t="s">
        <v>3536</v>
      </c>
      <c r="C154" s="4">
        <v>44765.56905092593</v>
      </c>
      <c r="D154" s="5">
        <v>1.658583566E9</v>
      </c>
      <c r="E154" s="7" t="s">
        <v>3537</v>
      </c>
      <c r="F154" s="1" t="s">
        <v>3544</v>
      </c>
      <c r="G154" s="1" t="s">
        <v>3518</v>
      </c>
      <c r="H154" s="1" t="s">
        <v>3519</v>
      </c>
      <c r="I154" s="1" t="s">
        <v>3520</v>
      </c>
      <c r="J154" s="7" t="s">
        <v>3521</v>
      </c>
      <c r="K154" s="7" t="s">
        <v>3524</v>
      </c>
      <c r="L154" s="9" t="b">
        <v>0</v>
      </c>
      <c r="M154" s="1" t="s">
        <v>67</v>
      </c>
      <c r="N154" s="1" t="s">
        <v>68</v>
      </c>
      <c r="O154" s="1" t="s">
        <v>65</v>
      </c>
      <c r="P154" s="5">
        <v>0.0</v>
      </c>
      <c r="Q154" s="5">
        <v>3.0</v>
      </c>
      <c r="R154" s="5">
        <v>0.0</v>
      </c>
      <c r="S154" s="5">
        <v>0.0</v>
      </c>
      <c r="T154" s="1"/>
      <c r="U154" s="1" t="s">
        <v>65</v>
      </c>
      <c r="V154" s="1"/>
      <c r="W154" s="1" t="s">
        <v>65</v>
      </c>
      <c r="X154" s="1"/>
      <c r="Y154" s="1"/>
      <c r="Z154" s="1"/>
      <c r="AA154" s="1"/>
      <c r="AB154" s="1"/>
      <c r="AC154" s="1" t="s">
        <v>65</v>
      </c>
      <c r="AD154" s="1" t="s">
        <v>65</v>
      </c>
      <c r="AE154" s="1"/>
      <c r="AF154" s="1" t="s">
        <v>65</v>
      </c>
      <c r="AG154" s="1" t="s">
        <v>1967</v>
      </c>
      <c r="AH154" s="1"/>
      <c r="AI154" s="1"/>
      <c r="AJ154" s="1"/>
      <c r="AK154" s="1"/>
      <c r="AL154" s="1"/>
      <c r="AM154" s="1"/>
      <c r="AN154" s="1"/>
    </row>
    <row r="155">
      <c r="A155" s="1" t="s">
        <v>3548</v>
      </c>
      <c r="B155" s="1" t="s">
        <v>3548</v>
      </c>
      <c r="C155" s="4">
        <v>44765.48289351852</v>
      </c>
      <c r="D155" s="5">
        <v>1.658576122E9</v>
      </c>
      <c r="E155" s="7" t="s">
        <v>3549</v>
      </c>
      <c r="F155" s="1" t="s">
        <v>3552</v>
      </c>
      <c r="G155" s="1" t="s">
        <v>2197</v>
      </c>
      <c r="H155" s="1" t="s">
        <v>2198</v>
      </c>
      <c r="I155" s="5">
        <v>4.017379276E9</v>
      </c>
      <c r="J155" s="7" t="s">
        <v>2199</v>
      </c>
      <c r="K155" s="7" t="s">
        <v>2205</v>
      </c>
      <c r="L155" s="9" t="b">
        <v>0</v>
      </c>
      <c r="M155" s="7" t="s">
        <v>2210</v>
      </c>
      <c r="N155" s="1" t="s">
        <v>64</v>
      </c>
      <c r="O155" s="1" t="s">
        <v>65</v>
      </c>
      <c r="P155" s="5">
        <v>1.0</v>
      </c>
      <c r="Q155" s="5">
        <v>0.0</v>
      </c>
      <c r="R155" s="5">
        <v>4.0</v>
      </c>
      <c r="S155" s="5">
        <v>0.0</v>
      </c>
      <c r="T155" s="1"/>
      <c r="U155" s="1" t="s">
        <v>65</v>
      </c>
      <c r="V155" s="1"/>
      <c r="W155" s="1" t="s">
        <v>65</v>
      </c>
      <c r="X155" s="1"/>
      <c r="Y155" s="1"/>
      <c r="Z155" s="1"/>
      <c r="AA155" s="1"/>
      <c r="AB155" s="1"/>
      <c r="AC155" s="1" t="s">
        <v>65</v>
      </c>
      <c r="AD155" s="1" t="s">
        <v>65</v>
      </c>
      <c r="AE155" s="1"/>
      <c r="AF155" s="1" t="s">
        <v>65</v>
      </c>
      <c r="AG155" s="1" t="s">
        <v>3558</v>
      </c>
      <c r="AH155" s="7" t="s">
        <v>3559</v>
      </c>
      <c r="AI155" s="7" t="s">
        <v>3565</v>
      </c>
      <c r="AJ155" s="1"/>
      <c r="AK155" s="1"/>
      <c r="AL155" s="1"/>
      <c r="AM155" s="1"/>
      <c r="AN155" s="1"/>
    </row>
    <row r="156">
      <c r="A156" s="1" t="s">
        <v>3571</v>
      </c>
      <c r="B156" s="1" t="s">
        <v>3571</v>
      </c>
      <c r="C156" s="4">
        <v>44764.473703703705</v>
      </c>
      <c r="D156" s="5">
        <v>1.658488928E9</v>
      </c>
      <c r="E156" s="7" t="s">
        <v>3572</v>
      </c>
      <c r="F156" s="1" t="s">
        <v>3574</v>
      </c>
      <c r="G156" s="1" t="s">
        <v>2197</v>
      </c>
      <c r="H156" s="1" t="s">
        <v>2198</v>
      </c>
      <c r="I156" s="5">
        <v>4.017379276E9</v>
      </c>
      <c r="J156" s="7" t="s">
        <v>2199</v>
      </c>
      <c r="K156" s="7" t="s">
        <v>2205</v>
      </c>
      <c r="L156" s="9" t="b">
        <v>0</v>
      </c>
      <c r="M156" s="7" t="s">
        <v>2210</v>
      </c>
      <c r="N156" s="1" t="s">
        <v>64</v>
      </c>
      <c r="O156" s="1" t="s">
        <v>65</v>
      </c>
      <c r="P156" s="5">
        <v>1.0</v>
      </c>
      <c r="Q156" s="5">
        <v>0.0</v>
      </c>
      <c r="R156" s="5">
        <v>1.0</v>
      </c>
      <c r="S156" s="5">
        <v>0.0</v>
      </c>
      <c r="T156" s="1"/>
      <c r="U156" s="1" t="s">
        <v>65</v>
      </c>
      <c r="V156" s="1"/>
      <c r="W156" s="1" t="s">
        <v>65</v>
      </c>
      <c r="X156" s="1"/>
      <c r="Y156" s="1"/>
      <c r="Z156" s="1"/>
      <c r="AA156" s="1"/>
      <c r="AB156" s="1"/>
      <c r="AC156" s="1" t="s">
        <v>65</v>
      </c>
      <c r="AD156" s="1" t="s">
        <v>65</v>
      </c>
      <c r="AE156" s="1"/>
      <c r="AF156" s="1" t="s">
        <v>65</v>
      </c>
      <c r="AG156" s="1" t="s">
        <v>2214</v>
      </c>
      <c r="AH156" s="7" t="s">
        <v>2215</v>
      </c>
      <c r="AI156" s="7" t="s">
        <v>3579</v>
      </c>
      <c r="AJ156" s="1"/>
      <c r="AK156" s="1"/>
      <c r="AL156" s="1"/>
      <c r="AM156" s="1"/>
      <c r="AN156" s="1"/>
    </row>
    <row r="157">
      <c r="A157" s="1" t="s">
        <v>3582</v>
      </c>
      <c r="B157" s="1" t="s">
        <v>3582</v>
      </c>
      <c r="C157" s="4">
        <v>44760.596597222226</v>
      </c>
      <c r="D157" s="5">
        <v>1.658153946E9</v>
      </c>
      <c r="E157" s="7" t="s">
        <v>3583</v>
      </c>
      <c r="F157" s="1" t="s">
        <v>3590</v>
      </c>
      <c r="G157" s="1" t="s">
        <v>2816</v>
      </c>
      <c r="H157" s="1" t="s">
        <v>2817</v>
      </c>
      <c r="I157" s="1" t="s">
        <v>2818</v>
      </c>
      <c r="J157" s="7" t="s">
        <v>2820</v>
      </c>
      <c r="K157" s="7" t="s">
        <v>2825</v>
      </c>
      <c r="L157" s="9" t="b">
        <v>0</v>
      </c>
      <c r="M157" s="1" t="s">
        <v>67</v>
      </c>
      <c r="N157" s="1" t="s">
        <v>64</v>
      </c>
      <c r="O157" s="1" t="s">
        <v>65</v>
      </c>
      <c r="P157" s="5">
        <v>1.0</v>
      </c>
      <c r="Q157" s="5">
        <v>0.0</v>
      </c>
      <c r="R157" s="5">
        <v>1.0</v>
      </c>
      <c r="S157" s="5">
        <v>0.0</v>
      </c>
      <c r="T157" s="1"/>
      <c r="U157" s="1" t="s">
        <v>65</v>
      </c>
      <c r="V157" s="1"/>
      <c r="W157" s="1" t="s">
        <v>65</v>
      </c>
      <c r="X157" s="1"/>
      <c r="Y157" s="1"/>
      <c r="Z157" s="1"/>
      <c r="AA157" s="1"/>
      <c r="AB157" s="1"/>
      <c r="AC157" s="1" t="s">
        <v>65</v>
      </c>
      <c r="AD157" s="1" t="s">
        <v>65</v>
      </c>
      <c r="AE157" s="1"/>
      <c r="AF157" s="1" t="s">
        <v>65</v>
      </c>
      <c r="AG157" s="1" t="s">
        <v>3593</v>
      </c>
      <c r="AH157" s="1"/>
      <c r="AI157" s="7" t="s">
        <v>3594</v>
      </c>
      <c r="AJ157" s="1"/>
      <c r="AK157" s="1"/>
      <c r="AL157" s="1" t="s">
        <v>2831</v>
      </c>
      <c r="AM157" s="1" t="s">
        <v>2832</v>
      </c>
      <c r="AN157" s="1"/>
    </row>
    <row r="158" hidden="1">
      <c r="A158" s="1" t="s">
        <v>3595</v>
      </c>
      <c r="B158" s="1" t="s">
        <v>3595</v>
      </c>
      <c r="C158" s="4">
        <v>44756.80986111111</v>
      </c>
      <c r="D158" s="5">
        <v>1.657826772E9</v>
      </c>
      <c r="E158" s="7" t="s">
        <v>3597</v>
      </c>
      <c r="F158" s="1" t="s">
        <v>3599</v>
      </c>
      <c r="G158" s="1" t="s">
        <v>2731</v>
      </c>
      <c r="H158" s="1" t="s">
        <v>2733</v>
      </c>
      <c r="I158" s="5">
        <v>1.6407741E7</v>
      </c>
      <c r="J158" s="7" t="s">
        <v>2735</v>
      </c>
      <c r="K158" s="7" t="s">
        <v>2737</v>
      </c>
      <c r="L158" s="9" t="b">
        <v>0</v>
      </c>
      <c r="M158" s="1" t="s">
        <v>66</v>
      </c>
      <c r="N158" s="1" t="s">
        <v>68</v>
      </c>
      <c r="O158" s="1" t="s">
        <v>65</v>
      </c>
      <c r="P158" s="5">
        <v>0.0</v>
      </c>
      <c r="Q158" s="5">
        <v>0.0</v>
      </c>
      <c r="R158" s="5">
        <v>0.0</v>
      </c>
      <c r="S158" s="5">
        <v>0.0</v>
      </c>
      <c r="T158" s="1"/>
      <c r="U158" s="1" t="s">
        <v>65</v>
      </c>
      <c r="V158" s="1"/>
      <c r="W158" s="1" t="s">
        <v>65</v>
      </c>
      <c r="X158" s="1"/>
      <c r="Y158" s="1"/>
      <c r="Z158" s="1"/>
      <c r="AA158" s="1"/>
      <c r="AB158" s="1"/>
      <c r="AC158" s="1" t="s">
        <v>65</v>
      </c>
      <c r="AD158" s="1" t="s">
        <v>65</v>
      </c>
      <c r="AE158" s="1"/>
      <c r="AF158" s="1" t="s">
        <v>65</v>
      </c>
      <c r="AG158" s="1" t="s">
        <v>1215</v>
      </c>
      <c r="AH158" s="1"/>
      <c r="AI158" s="1"/>
      <c r="AJ158" s="1"/>
      <c r="AK158" s="1"/>
      <c r="AL158" s="1"/>
      <c r="AM158" s="1"/>
      <c r="AN158" s="1"/>
    </row>
    <row r="159">
      <c r="A159" s="1" t="s">
        <v>3602</v>
      </c>
      <c r="B159" s="1" t="s">
        <v>3602</v>
      </c>
      <c r="C159" s="4">
        <v>44755.95762731481</v>
      </c>
      <c r="D159" s="5">
        <v>1.657753139E9</v>
      </c>
      <c r="E159" s="7" t="s">
        <v>3603</v>
      </c>
      <c r="F159" s="1" t="s">
        <v>3606</v>
      </c>
      <c r="G159" s="1" t="s">
        <v>2038</v>
      </c>
      <c r="H159" s="1" t="s">
        <v>2039</v>
      </c>
      <c r="I159" s="1" t="s">
        <v>2040</v>
      </c>
      <c r="J159" s="7" t="s">
        <v>2041</v>
      </c>
      <c r="K159" s="7" t="s">
        <v>2044</v>
      </c>
      <c r="L159" s="9" t="b">
        <v>0</v>
      </c>
      <c r="M159" s="1" t="s">
        <v>2805</v>
      </c>
      <c r="N159" s="1" t="s">
        <v>64</v>
      </c>
      <c r="O159" s="1" t="s">
        <v>65</v>
      </c>
      <c r="P159" s="5">
        <v>1.0</v>
      </c>
      <c r="Q159" s="5">
        <v>0.0</v>
      </c>
      <c r="R159" s="5">
        <v>2.0</v>
      </c>
      <c r="S159" s="5">
        <v>0.0</v>
      </c>
      <c r="T159" s="1"/>
      <c r="U159" s="1" t="s">
        <v>65</v>
      </c>
      <c r="V159" s="1"/>
      <c r="W159" s="1" t="s">
        <v>65</v>
      </c>
      <c r="X159" s="1"/>
      <c r="Y159" s="1"/>
      <c r="Z159" s="1"/>
      <c r="AA159" s="1"/>
      <c r="AB159" s="1"/>
      <c r="AC159" s="1" t="s">
        <v>65</v>
      </c>
      <c r="AD159" s="1" t="s">
        <v>65</v>
      </c>
      <c r="AE159" s="1"/>
      <c r="AF159" s="1" t="s">
        <v>65</v>
      </c>
      <c r="AG159" s="1" t="s">
        <v>3608</v>
      </c>
      <c r="AH159" s="7" t="s">
        <v>3609</v>
      </c>
      <c r="AI159" s="1"/>
      <c r="AJ159" s="1"/>
      <c r="AK159" s="1"/>
      <c r="AL159" s="1"/>
      <c r="AM159" s="1"/>
      <c r="AN159" s="1"/>
    </row>
    <row r="160">
      <c r="A160" s="1" t="s">
        <v>3612</v>
      </c>
      <c r="B160" s="1" t="s">
        <v>3612</v>
      </c>
      <c r="C160" s="4">
        <v>44755.87501157408</v>
      </c>
      <c r="D160" s="5">
        <v>1.657746001E9</v>
      </c>
      <c r="E160" s="7" t="s">
        <v>3615</v>
      </c>
      <c r="F160" s="1" t="s">
        <v>3618</v>
      </c>
      <c r="G160" s="1" t="s">
        <v>3619</v>
      </c>
      <c r="H160" s="1" t="s">
        <v>3621</v>
      </c>
      <c r="I160" s="5">
        <v>2.33983755E8</v>
      </c>
      <c r="J160" s="7" t="s">
        <v>3622</v>
      </c>
      <c r="K160" s="7" t="s">
        <v>3625</v>
      </c>
      <c r="L160" s="9" t="b">
        <v>1</v>
      </c>
      <c r="M160" s="1" t="s">
        <v>66</v>
      </c>
      <c r="N160" s="1" t="s">
        <v>64</v>
      </c>
      <c r="O160" s="1" t="s">
        <v>65</v>
      </c>
      <c r="P160" s="5">
        <v>1.0</v>
      </c>
      <c r="Q160" s="5">
        <v>0.0</v>
      </c>
      <c r="R160" s="5">
        <v>4.0</v>
      </c>
      <c r="S160" s="5">
        <v>0.0</v>
      </c>
      <c r="T160" s="1"/>
      <c r="U160" s="1" t="s">
        <v>65</v>
      </c>
      <c r="V160" s="1"/>
      <c r="W160" s="1" t="s">
        <v>65</v>
      </c>
      <c r="X160" s="1"/>
      <c r="Y160" s="1"/>
      <c r="Z160" s="1"/>
      <c r="AA160" s="1"/>
      <c r="AB160" s="1"/>
      <c r="AC160" s="1" t="s">
        <v>65</v>
      </c>
      <c r="AD160" s="1" t="s">
        <v>65</v>
      </c>
      <c r="AE160" s="1"/>
      <c r="AF160" s="1" t="s">
        <v>65</v>
      </c>
      <c r="AG160" s="1" t="s">
        <v>3633</v>
      </c>
      <c r="AH160" s="1"/>
      <c r="AI160" s="7" t="s">
        <v>3634</v>
      </c>
      <c r="AJ160" s="7" t="s">
        <v>3638</v>
      </c>
      <c r="AK160" s="1"/>
      <c r="AL160" s="1"/>
      <c r="AM160" s="1"/>
      <c r="AN160" s="1"/>
    </row>
    <row r="161">
      <c r="A161" s="1" t="s">
        <v>3645</v>
      </c>
      <c r="B161" s="1" t="s">
        <v>3645</v>
      </c>
      <c r="C161" s="4">
        <v>44754.53383101852</v>
      </c>
      <c r="D161" s="5">
        <v>1.657630123E9</v>
      </c>
      <c r="E161" s="7" t="s">
        <v>3647</v>
      </c>
      <c r="F161" s="1" t="s">
        <v>3651</v>
      </c>
      <c r="G161" s="1" t="s">
        <v>3652</v>
      </c>
      <c r="H161" s="1" t="s">
        <v>3653</v>
      </c>
      <c r="I161" s="5">
        <v>2.76266211E8</v>
      </c>
      <c r="J161" s="7" t="s">
        <v>3654</v>
      </c>
      <c r="K161" s="7" t="s">
        <v>3659</v>
      </c>
      <c r="L161" s="9" t="b">
        <v>0</v>
      </c>
      <c r="M161" s="1" t="s">
        <v>85</v>
      </c>
      <c r="N161" s="1" t="s">
        <v>64</v>
      </c>
      <c r="O161" s="1" t="s">
        <v>65</v>
      </c>
      <c r="P161" s="5">
        <v>0.0</v>
      </c>
      <c r="Q161" s="5">
        <v>0.0</v>
      </c>
      <c r="R161" s="5">
        <v>0.0</v>
      </c>
      <c r="S161" s="5">
        <v>0.0</v>
      </c>
      <c r="T161" s="1"/>
      <c r="U161" s="1" t="s">
        <v>65</v>
      </c>
      <c r="V161" s="1"/>
      <c r="W161" s="1" t="s">
        <v>65</v>
      </c>
      <c r="X161" s="1"/>
      <c r="Y161" s="1"/>
      <c r="Z161" s="1"/>
      <c r="AA161" s="1"/>
      <c r="AB161" s="1"/>
      <c r="AC161" s="1" t="s">
        <v>65</v>
      </c>
      <c r="AD161" s="1" t="s">
        <v>65</v>
      </c>
      <c r="AE161" s="1"/>
      <c r="AF161" s="1" t="s">
        <v>65</v>
      </c>
      <c r="AG161" s="1" t="s">
        <v>3668</v>
      </c>
      <c r="AH161" s="1"/>
      <c r="AI161" s="7" t="s">
        <v>3670</v>
      </c>
      <c r="AJ161" s="1"/>
      <c r="AK161" s="1"/>
      <c r="AL161" s="1"/>
      <c r="AM161" s="1"/>
      <c r="AN161" s="1"/>
    </row>
    <row r="162">
      <c r="A162" s="1" t="s">
        <v>3678</v>
      </c>
      <c r="B162" s="1" t="s">
        <v>3678</v>
      </c>
      <c r="C162" s="4">
        <v>44748.725127314814</v>
      </c>
      <c r="D162" s="5">
        <v>1.657128251E9</v>
      </c>
      <c r="E162" s="7" t="s">
        <v>3679</v>
      </c>
      <c r="F162" s="1" t="s">
        <v>3686</v>
      </c>
      <c r="G162" s="1" t="s">
        <v>2816</v>
      </c>
      <c r="H162" s="1" t="s">
        <v>2817</v>
      </c>
      <c r="I162" s="1" t="s">
        <v>2818</v>
      </c>
      <c r="J162" s="7" t="s">
        <v>2820</v>
      </c>
      <c r="K162" s="7" t="s">
        <v>2825</v>
      </c>
      <c r="L162" s="9" t="b">
        <v>0</v>
      </c>
      <c r="M162" s="1" t="s">
        <v>67</v>
      </c>
      <c r="N162" s="1" t="s">
        <v>64</v>
      </c>
      <c r="O162" s="1" t="s">
        <v>65</v>
      </c>
      <c r="P162" s="5">
        <v>0.0</v>
      </c>
      <c r="Q162" s="5">
        <v>0.0</v>
      </c>
      <c r="R162" s="5">
        <v>1.0</v>
      </c>
      <c r="S162" s="5">
        <v>0.0</v>
      </c>
      <c r="T162" s="1"/>
      <c r="U162" s="1" t="s">
        <v>65</v>
      </c>
      <c r="V162" s="1"/>
      <c r="W162" s="1" t="s">
        <v>65</v>
      </c>
      <c r="X162" s="1"/>
      <c r="Y162" s="1"/>
      <c r="Z162" s="1"/>
      <c r="AA162" s="1"/>
      <c r="AB162" s="1"/>
      <c r="AC162" s="1" t="s">
        <v>65</v>
      </c>
      <c r="AD162" s="1" t="s">
        <v>65</v>
      </c>
      <c r="AE162" s="1"/>
      <c r="AF162" s="1" t="s">
        <v>65</v>
      </c>
      <c r="AG162" s="1" t="s">
        <v>3688</v>
      </c>
      <c r="AH162" s="1"/>
      <c r="AI162" s="7" t="s">
        <v>3689</v>
      </c>
      <c r="AJ162" s="1"/>
      <c r="AK162" s="1"/>
      <c r="AL162" s="1" t="s">
        <v>3690</v>
      </c>
      <c r="AM162" s="1" t="s">
        <v>3691</v>
      </c>
      <c r="AN162" s="1"/>
    </row>
    <row r="163">
      <c r="A163" s="1" t="s">
        <v>3692</v>
      </c>
      <c r="B163" s="1" t="s">
        <v>3692</v>
      </c>
      <c r="C163" s="4">
        <v>44748.72493055555</v>
      </c>
      <c r="D163" s="5">
        <v>1.657128234E9</v>
      </c>
      <c r="E163" s="7" t="s">
        <v>3696</v>
      </c>
      <c r="F163" s="1" t="s">
        <v>3704</v>
      </c>
      <c r="G163" s="1" t="s">
        <v>2816</v>
      </c>
      <c r="H163" s="1" t="s">
        <v>2817</v>
      </c>
      <c r="I163" s="1" t="s">
        <v>2818</v>
      </c>
      <c r="J163" s="7" t="s">
        <v>2820</v>
      </c>
      <c r="K163" s="7" t="s">
        <v>2825</v>
      </c>
      <c r="L163" s="9" t="b">
        <v>0</v>
      </c>
      <c r="M163" s="1" t="s">
        <v>67</v>
      </c>
      <c r="N163" s="1" t="s">
        <v>64</v>
      </c>
      <c r="O163" s="1" t="s">
        <v>65</v>
      </c>
      <c r="P163" s="5">
        <v>0.0</v>
      </c>
      <c r="Q163" s="5">
        <v>0.0</v>
      </c>
      <c r="R163" s="5">
        <v>0.0</v>
      </c>
      <c r="S163" s="5">
        <v>0.0</v>
      </c>
      <c r="T163" s="1"/>
      <c r="U163" s="1" t="s">
        <v>65</v>
      </c>
      <c r="V163" s="1"/>
      <c r="W163" s="1" t="s">
        <v>65</v>
      </c>
      <c r="X163" s="1"/>
      <c r="Y163" s="1"/>
      <c r="Z163" s="1"/>
      <c r="AA163" s="1"/>
      <c r="AB163" s="1"/>
      <c r="AC163" s="1" t="s">
        <v>65</v>
      </c>
      <c r="AD163" s="1" t="s">
        <v>65</v>
      </c>
      <c r="AE163" s="1"/>
      <c r="AF163" s="1" t="s">
        <v>65</v>
      </c>
      <c r="AG163" s="1" t="s">
        <v>3688</v>
      </c>
      <c r="AH163" s="1"/>
      <c r="AI163" s="7" t="s">
        <v>3711</v>
      </c>
      <c r="AJ163" s="1"/>
      <c r="AK163" s="1"/>
      <c r="AL163" s="1" t="s">
        <v>3690</v>
      </c>
      <c r="AM163" s="1" t="s">
        <v>3691</v>
      </c>
      <c r="AN163" s="1"/>
    </row>
    <row r="164">
      <c r="A164" s="1" t="s">
        <v>3713</v>
      </c>
      <c r="B164" s="1" t="s">
        <v>3713</v>
      </c>
      <c r="C164" s="4">
        <v>44748.716840277775</v>
      </c>
      <c r="D164" s="5">
        <v>1.657127535E9</v>
      </c>
      <c r="E164" s="7" t="s">
        <v>3716</v>
      </c>
      <c r="F164" s="1" t="s">
        <v>3718</v>
      </c>
      <c r="G164" s="1" t="s">
        <v>2816</v>
      </c>
      <c r="H164" s="1" t="s">
        <v>2817</v>
      </c>
      <c r="I164" s="1" t="s">
        <v>2818</v>
      </c>
      <c r="J164" s="7" t="s">
        <v>2820</v>
      </c>
      <c r="K164" s="7" t="s">
        <v>2825</v>
      </c>
      <c r="L164" s="9" t="b">
        <v>0</v>
      </c>
      <c r="M164" s="1" t="s">
        <v>67</v>
      </c>
      <c r="N164" s="1" t="s">
        <v>64</v>
      </c>
      <c r="O164" s="1" t="s">
        <v>65</v>
      </c>
      <c r="P164" s="5">
        <v>0.0</v>
      </c>
      <c r="Q164" s="5">
        <v>0.0</v>
      </c>
      <c r="R164" s="5">
        <v>1.0</v>
      </c>
      <c r="S164" s="5">
        <v>0.0</v>
      </c>
      <c r="T164" s="1"/>
      <c r="U164" s="1" t="s">
        <v>65</v>
      </c>
      <c r="V164" s="1"/>
      <c r="W164" s="1" t="s">
        <v>65</v>
      </c>
      <c r="X164" s="1"/>
      <c r="Y164" s="1"/>
      <c r="Z164" s="1"/>
      <c r="AA164" s="1"/>
      <c r="AB164" s="1"/>
      <c r="AC164" s="1" t="s">
        <v>65</v>
      </c>
      <c r="AD164" s="1" t="s">
        <v>65</v>
      </c>
      <c r="AE164" s="1"/>
      <c r="AF164" s="1" t="s">
        <v>65</v>
      </c>
      <c r="AG164" s="1" t="s">
        <v>3722</v>
      </c>
      <c r="AH164" s="1"/>
      <c r="AI164" s="7" t="s">
        <v>3723</v>
      </c>
      <c r="AJ164" s="1"/>
      <c r="AK164" s="1"/>
      <c r="AL164" s="1" t="s">
        <v>3690</v>
      </c>
      <c r="AM164" s="1" t="s">
        <v>3691</v>
      </c>
      <c r="AN164" s="1"/>
    </row>
    <row r="165" hidden="1">
      <c r="A165" s="1" t="s">
        <v>3728</v>
      </c>
      <c r="B165" s="1" t="s">
        <v>3728</v>
      </c>
      <c r="C165" s="4">
        <v>44742.73653935185</v>
      </c>
      <c r="D165" s="5">
        <v>1.656610837E9</v>
      </c>
      <c r="E165" s="7" t="s">
        <v>3729</v>
      </c>
      <c r="F165" s="1" t="s">
        <v>3737</v>
      </c>
      <c r="G165" s="1" t="s">
        <v>2657</v>
      </c>
      <c r="H165" s="1" t="s">
        <v>2658</v>
      </c>
      <c r="I165" s="1" t="s">
        <v>2659</v>
      </c>
      <c r="J165" s="7" t="s">
        <v>2660</v>
      </c>
      <c r="K165" s="7" t="s">
        <v>2666</v>
      </c>
      <c r="L165" s="9" t="b">
        <v>0</v>
      </c>
      <c r="M165" s="1" t="s">
        <v>67</v>
      </c>
      <c r="N165" s="1" t="s">
        <v>2138</v>
      </c>
      <c r="O165" s="1" t="s">
        <v>65</v>
      </c>
      <c r="P165" s="5">
        <v>0.0</v>
      </c>
      <c r="Q165" s="5">
        <v>0.0</v>
      </c>
      <c r="R165" s="5">
        <v>1.0</v>
      </c>
      <c r="S165" s="5">
        <v>1.0</v>
      </c>
      <c r="T165" s="1"/>
      <c r="U165" s="1" t="s">
        <v>65</v>
      </c>
      <c r="V165" s="1"/>
      <c r="W165" s="1" t="s">
        <v>71</v>
      </c>
      <c r="X165" s="1" t="s">
        <v>3743</v>
      </c>
      <c r="Y165" s="1" t="s">
        <v>959</v>
      </c>
      <c r="Z165" s="1" t="s">
        <v>3744</v>
      </c>
      <c r="AA165" s="7" t="s">
        <v>3745</v>
      </c>
      <c r="AB165" s="1"/>
      <c r="AC165" s="1" t="s">
        <v>65</v>
      </c>
      <c r="AD165" s="1" t="s">
        <v>65</v>
      </c>
      <c r="AE165" s="1"/>
      <c r="AF165" s="1" t="s">
        <v>65</v>
      </c>
      <c r="AG165" s="1" t="s">
        <v>472</v>
      </c>
      <c r="AH165" s="1"/>
      <c r="AI165" s="1"/>
      <c r="AJ165" s="1"/>
      <c r="AK165" s="1"/>
      <c r="AL165" s="1" t="s">
        <v>3748</v>
      </c>
      <c r="AM165" s="1" t="s">
        <v>3749</v>
      </c>
      <c r="AN165" s="1"/>
    </row>
    <row r="166">
      <c r="A166" s="1" t="s">
        <v>3750</v>
      </c>
      <c r="B166" s="1" t="s">
        <v>3750</v>
      </c>
      <c r="C166" s="4">
        <v>44742.24649305556</v>
      </c>
      <c r="D166" s="5">
        <v>1.656568497E9</v>
      </c>
      <c r="E166" s="7" t="s">
        <v>3752</v>
      </c>
      <c r="F166" s="1" t="s">
        <v>3761</v>
      </c>
      <c r="G166" s="1" t="s">
        <v>2816</v>
      </c>
      <c r="H166" s="1" t="s">
        <v>2817</v>
      </c>
      <c r="I166" s="1" t="s">
        <v>2818</v>
      </c>
      <c r="J166" s="7" t="s">
        <v>2820</v>
      </c>
      <c r="K166" s="7" t="s">
        <v>2825</v>
      </c>
      <c r="L166" s="9" t="b">
        <v>0</v>
      </c>
      <c r="M166" s="1" t="s">
        <v>67</v>
      </c>
      <c r="N166" s="1" t="s">
        <v>64</v>
      </c>
      <c r="O166" s="1" t="s">
        <v>65</v>
      </c>
      <c r="P166" s="5">
        <v>0.0</v>
      </c>
      <c r="Q166" s="5">
        <v>0.0</v>
      </c>
      <c r="R166" s="5">
        <v>1.0</v>
      </c>
      <c r="S166" s="5">
        <v>0.0</v>
      </c>
      <c r="T166" s="1"/>
      <c r="U166" s="1" t="s">
        <v>65</v>
      </c>
      <c r="V166" s="1"/>
      <c r="W166" s="1" t="s">
        <v>65</v>
      </c>
      <c r="X166" s="1"/>
      <c r="Y166" s="1"/>
      <c r="Z166" s="1"/>
      <c r="AA166" s="1"/>
      <c r="AB166" s="1"/>
      <c r="AC166" s="1" t="s">
        <v>65</v>
      </c>
      <c r="AD166" s="1" t="s">
        <v>65</v>
      </c>
      <c r="AE166" s="1"/>
      <c r="AF166" s="1" t="s">
        <v>65</v>
      </c>
      <c r="AG166" s="1" t="s">
        <v>3768</v>
      </c>
      <c r="AH166" s="7" t="s">
        <v>3770</v>
      </c>
      <c r="AI166" s="1"/>
      <c r="AJ166" s="1"/>
      <c r="AK166" s="1"/>
      <c r="AL166" s="1" t="s">
        <v>2831</v>
      </c>
      <c r="AM166" s="1" t="s">
        <v>2832</v>
      </c>
      <c r="AN166" s="1"/>
    </row>
    <row r="167">
      <c r="A167" s="1" t="s">
        <v>3773</v>
      </c>
      <c r="B167" s="1" t="s">
        <v>3773</v>
      </c>
      <c r="C167" s="4">
        <v>44741.92145833333</v>
      </c>
      <c r="D167" s="5">
        <v>1.656540414E9</v>
      </c>
      <c r="E167" s="7" t="s">
        <v>3775</v>
      </c>
      <c r="F167" s="1" t="s">
        <v>3776</v>
      </c>
      <c r="G167" s="1" t="s">
        <v>3777</v>
      </c>
      <c r="H167" s="1" t="s">
        <v>3778</v>
      </c>
      <c r="I167" s="1" t="s">
        <v>3780</v>
      </c>
      <c r="J167" s="7" t="s">
        <v>3781</v>
      </c>
      <c r="K167" s="7" t="s">
        <v>3786</v>
      </c>
      <c r="L167" s="9" t="b">
        <v>0</v>
      </c>
      <c r="M167" s="1" t="s">
        <v>67</v>
      </c>
      <c r="N167" s="1" t="s">
        <v>64</v>
      </c>
      <c r="O167" s="1" t="s">
        <v>65</v>
      </c>
      <c r="P167" s="5">
        <v>0.0</v>
      </c>
      <c r="Q167" s="5">
        <v>0.0</v>
      </c>
      <c r="R167" s="5">
        <v>2.0</v>
      </c>
      <c r="S167" s="5">
        <v>0.0</v>
      </c>
      <c r="T167" s="1"/>
      <c r="U167" s="1" t="s">
        <v>65</v>
      </c>
      <c r="V167" s="1"/>
      <c r="W167" s="1" t="s">
        <v>65</v>
      </c>
      <c r="X167" s="1"/>
      <c r="Y167" s="1"/>
      <c r="Z167" s="1"/>
      <c r="AA167" s="1"/>
      <c r="AB167" s="1"/>
      <c r="AC167" s="1" t="s">
        <v>65</v>
      </c>
      <c r="AD167" s="1" t="s">
        <v>65</v>
      </c>
      <c r="AE167" s="1"/>
      <c r="AF167" s="1" t="s">
        <v>65</v>
      </c>
      <c r="AG167" s="1" t="s">
        <v>3796</v>
      </c>
      <c r="AH167" s="1"/>
      <c r="AI167" s="1"/>
      <c r="AJ167" s="1"/>
      <c r="AK167" s="1"/>
      <c r="AL167" s="1"/>
      <c r="AM167" s="1"/>
      <c r="AN167" s="1"/>
    </row>
    <row r="168">
      <c r="A168" s="1" t="s">
        <v>3797</v>
      </c>
      <c r="B168" s="1" t="s">
        <v>3797</v>
      </c>
      <c r="C168" s="4">
        <v>44741.918807870374</v>
      </c>
      <c r="D168" s="5">
        <v>1.656540185E9</v>
      </c>
      <c r="E168" s="7" t="s">
        <v>3798</v>
      </c>
      <c r="F168" s="1" t="s">
        <v>3800</v>
      </c>
      <c r="G168" s="1" t="s">
        <v>3777</v>
      </c>
      <c r="H168" s="1" t="s">
        <v>3778</v>
      </c>
      <c r="I168" s="1" t="s">
        <v>3780</v>
      </c>
      <c r="J168" s="7" t="s">
        <v>3781</v>
      </c>
      <c r="K168" s="7" t="s">
        <v>3786</v>
      </c>
      <c r="L168" s="9" t="b">
        <v>0</v>
      </c>
      <c r="M168" s="1" t="s">
        <v>67</v>
      </c>
      <c r="N168" s="1" t="s">
        <v>64</v>
      </c>
      <c r="O168" s="1" t="s">
        <v>65</v>
      </c>
      <c r="P168" s="5">
        <v>1.0</v>
      </c>
      <c r="Q168" s="5">
        <v>0.0</v>
      </c>
      <c r="R168" s="5">
        <v>5.0</v>
      </c>
      <c r="S168" s="5">
        <v>0.0</v>
      </c>
      <c r="T168" s="1"/>
      <c r="U168" s="1" t="s">
        <v>65</v>
      </c>
      <c r="V168" s="1"/>
      <c r="W168" s="1" t="s">
        <v>65</v>
      </c>
      <c r="X168" s="1"/>
      <c r="Y168" s="1"/>
      <c r="Z168" s="1"/>
      <c r="AA168" s="1"/>
      <c r="AB168" s="1"/>
      <c r="AC168" s="1" t="s">
        <v>65</v>
      </c>
      <c r="AD168" s="1" t="s">
        <v>65</v>
      </c>
      <c r="AE168" s="1"/>
      <c r="AF168" s="1" t="s">
        <v>65</v>
      </c>
      <c r="AG168" s="1" t="s">
        <v>3802</v>
      </c>
      <c r="AH168" s="1"/>
      <c r="AI168" s="7" t="s">
        <v>3803</v>
      </c>
      <c r="AJ168" s="7" t="s">
        <v>3807</v>
      </c>
      <c r="AK168" s="1"/>
      <c r="AL168" s="1"/>
      <c r="AM168" s="1"/>
      <c r="AN168" s="1"/>
    </row>
    <row r="169" hidden="1">
      <c r="A169" s="1" t="s">
        <v>3809</v>
      </c>
      <c r="B169" s="1" t="s">
        <v>3809</v>
      </c>
      <c r="C169" s="4">
        <v>44740.050416666665</v>
      </c>
      <c r="D169" s="5">
        <v>1.656378756E9</v>
      </c>
      <c r="E169" s="7" t="s">
        <v>3810</v>
      </c>
      <c r="F169" s="1" t="s">
        <v>3816</v>
      </c>
      <c r="G169" s="1" t="s">
        <v>1253</v>
      </c>
      <c r="H169" s="1" t="s">
        <v>1255</v>
      </c>
      <c r="I169" s="1" t="s">
        <v>1256</v>
      </c>
      <c r="J169" s="7" t="s">
        <v>1257</v>
      </c>
      <c r="K169" s="7" t="s">
        <v>1264</v>
      </c>
      <c r="L169" s="9" t="b">
        <v>0</v>
      </c>
      <c r="M169" s="1" t="s">
        <v>67</v>
      </c>
      <c r="N169" s="1" t="s">
        <v>68</v>
      </c>
      <c r="O169" s="1" t="s">
        <v>65</v>
      </c>
      <c r="P169" s="5">
        <v>5.0</v>
      </c>
      <c r="Q169" s="5">
        <v>2.0</v>
      </c>
      <c r="R169" s="5">
        <v>36.0</v>
      </c>
      <c r="S169" s="5">
        <v>3.0</v>
      </c>
      <c r="T169" s="1"/>
      <c r="U169" s="1" t="s">
        <v>65</v>
      </c>
      <c r="V169" s="1"/>
      <c r="W169" s="1" t="s">
        <v>65</v>
      </c>
      <c r="X169" s="1"/>
      <c r="Y169" s="1"/>
      <c r="Z169" s="1"/>
      <c r="AA169" s="1"/>
      <c r="AB169" s="1"/>
      <c r="AC169" s="1" t="s">
        <v>65</v>
      </c>
      <c r="AD169" s="1" t="s">
        <v>65</v>
      </c>
      <c r="AE169" s="1"/>
      <c r="AF169" s="1" t="s">
        <v>65</v>
      </c>
      <c r="AG169" s="1" t="s">
        <v>3826</v>
      </c>
      <c r="AH169" s="1"/>
      <c r="AI169" s="1"/>
      <c r="AJ169" s="1"/>
      <c r="AK169" s="1"/>
      <c r="AL169" s="1"/>
      <c r="AM169" s="1"/>
      <c r="AN169" s="1"/>
    </row>
    <row r="170" hidden="1">
      <c r="A170" s="1" t="s">
        <v>3828</v>
      </c>
      <c r="B170" s="1" t="s">
        <v>3828</v>
      </c>
      <c r="C170" s="4">
        <v>44729.03671296296</v>
      </c>
      <c r="D170" s="5">
        <v>1.655427172E9</v>
      </c>
      <c r="E170" s="7" t="s">
        <v>3829</v>
      </c>
      <c r="F170" s="1" t="s">
        <v>3831</v>
      </c>
      <c r="G170" s="1" t="s">
        <v>2799</v>
      </c>
      <c r="H170" s="1" t="s">
        <v>2800</v>
      </c>
      <c r="I170" s="1" t="s">
        <v>2801</v>
      </c>
      <c r="J170" s="7" t="s">
        <v>2802</v>
      </c>
      <c r="K170" s="1"/>
      <c r="L170" s="9" t="b">
        <v>0</v>
      </c>
      <c r="M170" s="1" t="s">
        <v>2805</v>
      </c>
      <c r="N170" s="1" t="s">
        <v>68</v>
      </c>
      <c r="O170" s="1" t="s">
        <v>65</v>
      </c>
      <c r="P170" s="5">
        <v>0.0</v>
      </c>
      <c r="Q170" s="5">
        <v>0.0</v>
      </c>
      <c r="R170" s="5">
        <v>0.0</v>
      </c>
      <c r="S170" s="5">
        <v>0.0</v>
      </c>
      <c r="T170" s="1"/>
      <c r="U170" s="1" t="s">
        <v>65</v>
      </c>
      <c r="V170" s="1"/>
      <c r="W170" s="1" t="s">
        <v>65</v>
      </c>
      <c r="X170" s="1"/>
      <c r="Y170" s="1"/>
      <c r="Z170" s="1"/>
      <c r="AA170" s="1"/>
      <c r="AB170" s="1"/>
      <c r="AC170" s="1" t="s">
        <v>65</v>
      </c>
      <c r="AD170" s="1" t="s">
        <v>65</v>
      </c>
      <c r="AE170" s="1"/>
      <c r="AF170" s="1" t="s">
        <v>65</v>
      </c>
      <c r="AG170" s="1" t="s">
        <v>3835</v>
      </c>
      <c r="AH170" s="7" t="s">
        <v>3836</v>
      </c>
      <c r="AI170" s="1"/>
      <c r="AJ170" s="1"/>
      <c r="AK170" s="1" t="s">
        <v>3841</v>
      </c>
      <c r="AL170" s="1"/>
      <c r="AM170" s="1"/>
      <c r="AN170" s="1"/>
    </row>
    <row r="171" hidden="1">
      <c r="A171" s="1" t="s">
        <v>3842</v>
      </c>
      <c r="B171" s="1" t="s">
        <v>3842</v>
      </c>
      <c r="C171" s="4">
        <v>44727.756585648145</v>
      </c>
      <c r="D171" s="5">
        <v>1.655316569E9</v>
      </c>
      <c r="E171" s="7" t="s">
        <v>3843</v>
      </c>
      <c r="F171" s="1" t="s">
        <v>3845</v>
      </c>
      <c r="G171" s="1" t="s">
        <v>2731</v>
      </c>
      <c r="H171" s="1" t="s">
        <v>2733</v>
      </c>
      <c r="I171" s="5">
        <v>1.6407741E7</v>
      </c>
      <c r="J171" s="7" t="s">
        <v>2735</v>
      </c>
      <c r="K171" s="7" t="s">
        <v>2737</v>
      </c>
      <c r="L171" s="9" t="b">
        <v>0</v>
      </c>
      <c r="M171" s="1" t="s">
        <v>85</v>
      </c>
      <c r="N171" s="1" t="s">
        <v>68</v>
      </c>
      <c r="O171" s="1" t="s">
        <v>65</v>
      </c>
      <c r="P171" s="5">
        <v>0.0</v>
      </c>
      <c r="Q171" s="5">
        <v>0.0</v>
      </c>
      <c r="R171" s="5">
        <v>0.0</v>
      </c>
      <c r="S171" s="5">
        <v>0.0</v>
      </c>
      <c r="T171" s="1"/>
      <c r="U171" s="1" t="s">
        <v>65</v>
      </c>
      <c r="V171" s="1"/>
      <c r="W171" s="1" t="s">
        <v>65</v>
      </c>
      <c r="X171" s="1"/>
      <c r="Y171" s="1"/>
      <c r="Z171" s="1"/>
      <c r="AA171" s="1"/>
      <c r="AB171" s="1"/>
      <c r="AC171" s="1" t="s">
        <v>65</v>
      </c>
      <c r="AD171" s="1" t="s">
        <v>65</v>
      </c>
      <c r="AE171" s="1"/>
      <c r="AF171" s="1" t="s">
        <v>65</v>
      </c>
      <c r="AG171" s="1" t="s">
        <v>882</v>
      </c>
      <c r="AH171" s="1"/>
      <c r="AI171" s="1"/>
      <c r="AJ171" s="1"/>
      <c r="AK171" s="1"/>
      <c r="AL171" s="1"/>
      <c r="AM171" s="1"/>
      <c r="AN171" s="1"/>
    </row>
    <row r="172" hidden="1">
      <c r="A172" s="1" t="s">
        <v>3848</v>
      </c>
      <c r="B172" s="1" t="s">
        <v>3848</v>
      </c>
      <c r="C172" s="4">
        <v>44726.1655787037</v>
      </c>
      <c r="D172" s="5">
        <v>1.655179106E9</v>
      </c>
      <c r="E172" s="7" t="s">
        <v>3849</v>
      </c>
      <c r="F172" s="1" t="s">
        <v>3851</v>
      </c>
      <c r="G172" s="1" t="s">
        <v>2731</v>
      </c>
      <c r="H172" s="1" t="s">
        <v>2733</v>
      </c>
      <c r="I172" s="5">
        <v>1.6407741E7</v>
      </c>
      <c r="J172" s="7" t="s">
        <v>2735</v>
      </c>
      <c r="K172" s="7" t="s">
        <v>2737</v>
      </c>
      <c r="L172" s="9" t="b">
        <v>0</v>
      </c>
      <c r="M172" s="1" t="s">
        <v>85</v>
      </c>
      <c r="N172" s="1" t="s">
        <v>68</v>
      </c>
      <c r="O172" s="1" t="s">
        <v>65</v>
      </c>
      <c r="P172" s="5">
        <v>0.0</v>
      </c>
      <c r="Q172" s="5">
        <v>0.0</v>
      </c>
      <c r="R172" s="5">
        <v>2.0</v>
      </c>
      <c r="S172" s="5">
        <v>0.0</v>
      </c>
      <c r="T172" s="1"/>
      <c r="U172" s="1" t="s">
        <v>65</v>
      </c>
      <c r="V172" s="1"/>
      <c r="W172" s="1" t="s">
        <v>65</v>
      </c>
      <c r="X172" s="1"/>
      <c r="Y172" s="1"/>
      <c r="Z172" s="1"/>
      <c r="AA172" s="1"/>
      <c r="AB172" s="1"/>
      <c r="AC172" s="1" t="s">
        <v>65</v>
      </c>
      <c r="AD172" s="1" t="s">
        <v>65</v>
      </c>
      <c r="AE172" s="1"/>
      <c r="AF172" s="1" t="s">
        <v>65</v>
      </c>
      <c r="AG172" s="1" t="s">
        <v>882</v>
      </c>
      <c r="AH172" s="1"/>
      <c r="AI172" s="1"/>
      <c r="AJ172" s="1"/>
      <c r="AK172" s="1"/>
      <c r="AL172" s="1"/>
      <c r="AM172" s="1"/>
      <c r="AN172" s="1"/>
    </row>
    <row r="173" hidden="1">
      <c r="A173" s="1" t="s">
        <v>3853</v>
      </c>
      <c r="B173" s="1" t="s">
        <v>3853</v>
      </c>
      <c r="C173" s="4">
        <v>44725.875081018516</v>
      </c>
      <c r="D173" s="5">
        <v>1.655154007E9</v>
      </c>
      <c r="E173" s="7" t="s">
        <v>3854</v>
      </c>
      <c r="F173" s="1" t="s">
        <v>3857</v>
      </c>
      <c r="G173" s="1" t="s">
        <v>2731</v>
      </c>
      <c r="H173" s="1" t="s">
        <v>2733</v>
      </c>
      <c r="I173" s="5">
        <v>1.6407741E7</v>
      </c>
      <c r="J173" s="7" t="s">
        <v>2735</v>
      </c>
      <c r="K173" s="7" t="s">
        <v>2737</v>
      </c>
      <c r="L173" s="9" t="b">
        <v>0</v>
      </c>
      <c r="M173" s="1" t="s">
        <v>85</v>
      </c>
      <c r="N173" s="1" t="s">
        <v>68</v>
      </c>
      <c r="O173" s="1" t="s">
        <v>65</v>
      </c>
      <c r="P173" s="5">
        <v>0.0</v>
      </c>
      <c r="Q173" s="5">
        <v>0.0</v>
      </c>
      <c r="R173" s="5">
        <v>0.0</v>
      </c>
      <c r="S173" s="5">
        <v>0.0</v>
      </c>
      <c r="T173" s="1"/>
      <c r="U173" s="1" t="s">
        <v>65</v>
      </c>
      <c r="V173" s="1"/>
      <c r="W173" s="1" t="s">
        <v>65</v>
      </c>
      <c r="X173" s="1"/>
      <c r="Y173" s="1"/>
      <c r="Z173" s="1"/>
      <c r="AA173" s="1"/>
      <c r="AB173" s="1"/>
      <c r="AC173" s="1" t="s">
        <v>65</v>
      </c>
      <c r="AD173" s="1" t="s">
        <v>65</v>
      </c>
      <c r="AE173" s="1"/>
      <c r="AF173" s="1" t="s">
        <v>65</v>
      </c>
      <c r="AG173" s="1" t="s">
        <v>1967</v>
      </c>
      <c r="AH173" s="1"/>
      <c r="AI173" s="1"/>
      <c r="AJ173" s="1"/>
      <c r="AK173" s="1"/>
      <c r="AL173" s="1"/>
      <c r="AM173" s="1"/>
      <c r="AN173" s="1"/>
    </row>
    <row r="174" hidden="1">
      <c r="A174" s="1" t="s">
        <v>3863</v>
      </c>
      <c r="B174" s="1" t="s">
        <v>3863</v>
      </c>
      <c r="C174" s="4">
        <v>44703.54597222222</v>
      </c>
      <c r="D174" s="5">
        <v>1.653224772E9</v>
      </c>
      <c r="E174" s="7" t="s">
        <v>3865</v>
      </c>
      <c r="F174" s="1" t="s">
        <v>3866</v>
      </c>
      <c r="G174" s="1" t="s">
        <v>3867</v>
      </c>
      <c r="H174" s="1" t="s">
        <v>3868</v>
      </c>
      <c r="I174" s="1" t="s">
        <v>3869</v>
      </c>
      <c r="J174" s="7" t="s">
        <v>3870</v>
      </c>
      <c r="K174" s="7" t="s">
        <v>3875</v>
      </c>
      <c r="L174" s="9" t="b">
        <v>0</v>
      </c>
      <c r="M174" s="1" t="s">
        <v>67</v>
      </c>
      <c r="N174" s="1" t="s">
        <v>68</v>
      </c>
      <c r="O174" s="1" t="s">
        <v>65</v>
      </c>
      <c r="P174" s="5">
        <v>0.0</v>
      </c>
      <c r="Q174" s="5">
        <v>0.0</v>
      </c>
      <c r="R174" s="5">
        <v>0.0</v>
      </c>
      <c r="S174" s="5">
        <v>0.0</v>
      </c>
      <c r="T174" s="1"/>
      <c r="U174" s="1" t="s">
        <v>65</v>
      </c>
      <c r="V174" s="1"/>
      <c r="W174" s="1" t="s">
        <v>65</v>
      </c>
      <c r="X174" s="1"/>
      <c r="Y174" s="1"/>
      <c r="Z174" s="1"/>
      <c r="AA174" s="1"/>
      <c r="AB174" s="1"/>
      <c r="AC174" s="1" t="s">
        <v>65</v>
      </c>
      <c r="AD174" s="1" t="s">
        <v>65</v>
      </c>
      <c r="AE174" s="1"/>
      <c r="AF174" s="1" t="s">
        <v>65</v>
      </c>
      <c r="AG174" s="1" t="s">
        <v>414</v>
      </c>
      <c r="AH174" s="7" t="s">
        <v>3882</v>
      </c>
      <c r="AI174" s="1"/>
      <c r="AJ174" s="1"/>
      <c r="AK174" s="1"/>
      <c r="AL174" s="1"/>
      <c r="AM174" s="1"/>
      <c r="AN174" s="1"/>
    </row>
    <row r="175" hidden="1">
      <c r="A175" s="1" t="s">
        <v>3885</v>
      </c>
      <c r="B175" s="1" t="s">
        <v>3885</v>
      </c>
      <c r="C175" s="4">
        <v>44698.43586805555</v>
      </c>
      <c r="D175" s="5">
        <v>1.652783259E9</v>
      </c>
      <c r="E175" s="7" t="s">
        <v>3887</v>
      </c>
      <c r="F175" s="1" t="s">
        <v>3889</v>
      </c>
      <c r="G175" s="1" t="s">
        <v>2657</v>
      </c>
      <c r="H175" s="1" t="s">
        <v>2658</v>
      </c>
      <c r="I175" s="1" t="s">
        <v>2659</v>
      </c>
      <c r="J175" s="7" t="s">
        <v>2660</v>
      </c>
      <c r="K175" s="7" t="s">
        <v>2666</v>
      </c>
      <c r="L175" s="9" t="b">
        <v>0</v>
      </c>
      <c r="M175" s="1" t="s">
        <v>67</v>
      </c>
      <c r="N175" s="1" t="s">
        <v>2138</v>
      </c>
      <c r="O175" s="1" t="s">
        <v>65</v>
      </c>
      <c r="P175" s="5">
        <v>0.0</v>
      </c>
      <c r="Q175" s="5">
        <v>0.0</v>
      </c>
      <c r="R175" s="5">
        <v>4.0</v>
      </c>
      <c r="S175" s="5">
        <v>0.0</v>
      </c>
      <c r="T175" s="1"/>
      <c r="U175" s="1" t="s">
        <v>65</v>
      </c>
      <c r="V175" s="1"/>
      <c r="W175" s="1" t="s">
        <v>71</v>
      </c>
      <c r="X175" s="1" t="s">
        <v>3895</v>
      </c>
      <c r="Y175" s="1" t="s">
        <v>959</v>
      </c>
      <c r="Z175" s="1" t="s">
        <v>3896</v>
      </c>
      <c r="AA175" s="7" t="s">
        <v>3897</v>
      </c>
      <c r="AB175" s="1"/>
      <c r="AC175" s="1" t="s">
        <v>65</v>
      </c>
      <c r="AD175" s="1" t="s">
        <v>65</v>
      </c>
      <c r="AE175" s="1"/>
      <c r="AF175" s="1" t="s">
        <v>65</v>
      </c>
      <c r="AG175" s="1" t="s">
        <v>3899</v>
      </c>
      <c r="AH175" s="1"/>
      <c r="AI175" s="1"/>
      <c r="AJ175" s="1"/>
      <c r="AK175" s="1"/>
      <c r="AL175" s="1" t="s">
        <v>3748</v>
      </c>
      <c r="AM175" s="1" t="s">
        <v>3749</v>
      </c>
      <c r="AN175" s="1"/>
    </row>
    <row r="176" hidden="1">
      <c r="A176" s="1" t="s">
        <v>3900</v>
      </c>
      <c r="B176" s="1" t="s">
        <v>3901</v>
      </c>
      <c r="C176" s="4">
        <v>44696.247083333335</v>
      </c>
      <c r="D176" s="5">
        <v>1.652594148E9</v>
      </c>
      <c r="E176" s="7" t="s">
        <v>3903</v>
      </c>
      <c r="F176" s="1" t="s">
        <v>3907</v>
      </c>
      <c r="G176" s="1" t="s">
        <v>3003</v>
      </c>
      <c r="H176" s="1" t="s">
        <v>3004</v>
      </c>
      <c r="I176" s="1" t="s">
        <v>3005</v>
      </c>
      <c r="J176" s="7" t="s">
        <v>3006</v>
      </c>
      <c r="K176" s="1"/>
      <c r="L176" s="9" t="b">
        <v>0</v>
      </c>
      <c r="M176" s="1" t="s">
        <v>67</v>
      </c>
      <c r="N176" s="1" t="s">
        <v>68</v>
      </c>
      <c r="O176" s="1" t="s">
        <v>65</v>
      </c>
      <c r="P176" s="5">
        <v>0.0</v>
      </c>
      <c r="Q176" s="5">
        <v>0.0</v>
      </c>
      <c r="R176" s="5">
        <v>8.0</v>
      </c>
      <c r="S176" s="5">
        <v>0.0</v>
      </c>
      <c r="T176" s="1"/>
      <c r="U176" s="1" t="s">
        <v>65</v>
      </c>
      <c r="V176" s="1"/>
      <c r="W176" s="1" t="s">
        <v>65</v>
      </c>
      <c r="X176" s="1"/>
      <c r="Y176" s="1"/>
      <c r="Z176" s="1"/>
      <c r="AA176" s="1"/>
      <c r="AB176" s="1"/>
      <c r="AC176" s="1" t="s">
        <v>65</v>
      </c>
      <c r="AD176" s="1" t="s">
        <v>71</v>
      </c>
      <c r="AE176" s="1" t="s">
        <v>3003</v>
      </c>
      <c r="AF176" s="1" t="s">
        <v>65</v>
      </c>
      <c r="AG176" s="1" t="s">
        <v>3910</v>
      </c>
      <c r="AH176" s="1"/>
      <c r="AI176" s="1"/>
      <c r="AJ176" s="1"/>
      <c r="AK176" s="1"/>
      <c r="AL176" s="1"/>
      <c r="AM176" s="1"/>
      <c r="AN176" s="1"/>
    </row>
    <row r="177">
      <c r="A177" s="1" t="s">
        <v>3912</v>
      </c>
      <c r="B177" s="1" t="s">
        <v>3912</v>
      </c>
      <c r="C177" s="4">
        <v>44691.50273148148</v>
      </c>
      <c r="D177" s="5">
        <v>1.652184236E9</v>
      </c>
      <c r="E177" s="7" t="s">
        <v>3913</v>
      </c>
      <c r="F177" s="1" t="s">
        <v>3914</v>
      </c>
      <c r="G177" s="1" t="s">
        <v>3915</v>
      </c>
      <c r="H177" s="1" t="s">
        <v>3916</v>
      </c>
      <c r="I177" s="1" t="s">
        <v>3917</v>
      </c>
      <c r="J177" s="7" t="s">
        <v>3918</v>
      </c>
      <c r="K177" s="7" t="s">
        <v>3920</v>
      </c>
      <c r="L177" s="9" t="b">
        <v>0</v>
      </c>
      <c r="M177" s="1" t="s">
        <v>67</v>
      </c>
      <c r="N177" s="1" t="s">
        <v>64</v>
      </c>
      <c r="O177" s="1" t="s">
        <v>65</v>
      </c>
      <c r="P177" s="5">
        <v>0.0</v>
      </c>
      <c r="Q177" s="5">
        <v>0.0</v>
      </c>
      <c r="R177" s="5">
        <v>0.0</v>
      </c>
      <c r="S177" s="5">
        <v>0.0</v>
      </c>
      <c r="T177" s="1"/>
      <c r="U177" s="1" t="s">
        <v>65</v>
      </c>
      <c r="V177" s="1"/>
      <c r="W177" s="1" t="s">
        <v>65</v>
      </c>
      <c r="X177" s="1"/>
      <c r="Y177" s="1"/>
      <c r="Z177" s="1"/>
      <c r="AA177" s="1"/>
      <c r="AB177" s="1"/>
      <c r="AC177" s="1" t="s">
        <v>65</v>
      </c>
      <c r="AD177" s="1" t="s">
        <v>65</v>
      </c>
      <c r="AE177" s="1"/>
      <c r="AF177" s="1" t="s">
        <v>65</v>
      </c>
      <c r="AG177" s="1" t="s">
        <v>3925</v>
      </c>
      <c r="AH177" s="1"/>
      <c r="AI177" s="7" t="s">
        <v>3926</v>
      </c>
      <c r="AJ177" s="1"/>
      <c r="AK177" s="1"/>
      <c r="AL177" s="1"/>
      <c r="AM177" s="1"/>
      <c r="AN177" s="1"/>
    </row>
    <row r="178" hidden="1">
      <c r="A178" s="1" t="s">
        <v>3931</v>
      </c>
      <c r="B178" s="1" t="s">
        <v>3931</v>
      </c>
      <c r="C178" s="4">
        <v>44685.573379629626</v>
      </c>
      <c r="D178" s="5">
        <v>1.65167194E9</v>
      </c>
      <c r="E178" s="7" t="s">
        <v>3932</v>
      </c>
      <c r="F178" s="1" t="s">
        <v>3934</v>
      </c>
      <c r="G178" s="1" t="s">
        <v>3935</v>
      </c>
      <c r="H178" s="1" t="s">
        <v>3936</v>
      </c>
      <c r="I178" s="1" t="s">
        <v>3937</v>
      </c>
      <c r="J178" s="7" t="s">
        <v>3938</v>
      </c>
      <c r="K178" s="7" t="s">
        <v>3943</v>
      </c>
      <c r="L178" s="9" t="b">
        <v>0</v>
      </c>
      <c r="M178" s="1" t="s">
        <v>2805</v>
      </c>
      <c r="N178" s="1" t="s">
        <v>824</v>
      </c>
      <c r="O178" s="1" t="s">
        <v>65</v>
      </c>
      <c r="P178" s="5">
        <v>0.0</v>
      </c>
      <c r="Q178" s="5">
        <v>0.0</v>
      </c>
      <c r="R178" s="5">
        <v>0.0</v>
      </c>
      <c r="S178" s="5">
        <v>0.0</v>
      </c>
      <c r="T178" s="1"/>
      <c r="U178" s="1" t="s">
        <v>65</v>
      </c>
      <c r="V178" s="1"/>
      <c r="W178" s="1" t="s">
        <v>65</v>
      </c>
      <c r="X178" s="1"/>
      <c r="Y178" s="1"/>
      <c r="Z178" s="1"/>
      <c r="AA178" s="1"/>
      <c r="AB178" s="1"/>
      <c r="AC178" s="1" t="s">
        <v>65</v>
      </c>
      <c r="AD178" s="1" t="s">
        <v>65</v>
      </c>
      <c r="AE178" s="1"/>
      <c r="AF178" s="1" t="s">
        <v>65</v>
      </c>
      <c r="AG178" s="1" t="s">
        <v>3949</v>
      </c>
      <c r="AH178" s="7" t="s">
        <v>3950</v>
      </c>
      <c r="AI178" s="1"/>
      <c r="AJ178" s="1"/>
      <c r="AK178" s="1"/>
      <c r="AL178" s="1"/>
      <c r="AM178" s="1"/>
      <c r="AN178" s="1"/>
    </row>
    <row r="179">
      <c r="A179" s="1" t="s">
        <v>3953</v>
      </c>
      <c r="B179" s="1" t="s">
        <v>3953</v>
      </c>
      <c r="C179" s="4">
        <v>44679.340902777774</v>
      </c>
      <c r="D179" s="5">
        <v>1.651133454E9</v>
      </c>
      <c r="E179" s="7" t="s">
        <v>3954</v>
      </c>
      <c r="F179" s="1" t="s">
        <v>3958</v>
      </c>
      <c r="G179" s="1" t="s">
        <v>3055</v>
      </c>
      <c r="H179" s="1" t="s">
        <v>3057</v>
      </c>
      <c r="I179" s="5">
        <v>8.83094708E8</v>
      </c>
      <c r="J179" s="7" t="s">
        <v>3058</v>
      </c>
      <c r="K179" s="7" t="s">
        <v>3060</v>
      </c>
      <c r="L179" s="9" t="b">
        <v>0</v>
      </c>
      <c r="M179" s="1" t="s">
        <v>66</v>
      </c>
      <c r="N179" s="1" t="s">
        <v>64</v>
      </c>
      <c r="O179" s="1" t="s">
        <v>65</v>
      </c>
      <c r="P179" s="5">
        <v>2.0</v>
      </c>
      <c r="Q179" s="5">
        <v>0.0</v>
      </c>
      <c r="R179" s="5">
        <v>3.0</v>
      </c>
      <c r="S179" s="5">
        <v>0.0</v>
      </c>
      <c r="T179" s="1"/>
      <c r="U179" s="1" t="s">
        <v>65</v>
      </c>
      <c r="V179" s="1"/>
      <c r="W179" s="1" t="s">
        <v>65</v>
      </c>
      <c r="X179" s="1"/>
      <c r="Y179" s="1"/>
      <c r="Z179" s="1"/>
      <c r="AA179" s="1"/>
      <c r="AB179" s="1"/>
      <c r="AC179" s="1" t="s">
        <v>65</v>
      </c>
      <c r="AD179" s="1" t="s">
        <v>65</v>
      </c>
      <c r="AE179" s="1"/>
      <c r="AF179" s="1" t="s">
        <v>65</v>
      </c>
      <c r="AG179" s="1" t="s">
        <v>3967</v>
      </c>
      <c r="AH179" s="7" t="s">
        <v>3968</v>
      </c>
      <c r="AI179" s="1"/>
      <c r="AJ179" s="1"/>
      <c r="AK179" s="1" t="s">
        <v>959</v>
      </c>
      <c r="AL179" s="1"/>
      <c r="AM179" s="1"/>
      <c r="AN179" s="1"/>
    </row>
    <row r="180" hidden="1">
      <c r="A180" s="1" t="s">
        <v>3977</v>
      </c>
      <c r="B180" s="1" t="s">
        <v>3977</v>
      </c>
      <c r="C180" s="4">
        <v>44673.850335648145</v>
      </c>
      <c r="D180" s="5">
        <v>1.650659069E9</v>
      </c>
      <c r="E180" s="7" t="s">
        <v>3978</v>
      </c>
      <c r="F180" s="1" t="s">
        <v>3983</v>
      </c>
      <c r="G180" s="1" t="s">
        <v>3984</v>
      </c>
      <c r="H180" s="1" t="s">
        <v>3985</v>
      </c>
      <c r="I180" s="5">
        <v>6.6186992E7</v>
      </c>
      <c r="J180" s="7" t="s">
        <v>3986</v>
      </c>
      <c r="K180" s="7" t="s">
        <v>3992</v>
      </c>
      <c r="L180" s="9" t="b">
        <v>0</v>
      </c>
      <c r="M180" s="1" t="s">
        <v>2805</v>
      </c>
      <c r="N180" s="1" t="s">
        <v>2012</v>
      </c>
      <c r="O180" s="1" t="s">
        <v>65</v>
      </c>
      <c r="P180" s="5">
        <v>0.0</v>
      </c>
      <c r="Q180" s="5">
        <v>0.0</v>
      </c>
      <c r="R180" s="5">
        <v>0.0</v>
      </c>
      <c r="S180" s="5">
        <v>0.0</v>
      </c>
      <c r="T180" s="1"/>
      <c r="U180" s="1" t="s">
        <v>65</v>
      </c>
      <c r="V180" s="1"/>
      <c r="W180" s="1" t="s">
        <v>65</v>
      </c>
      <c r="X180" s="1"/>
      <c r="Y180" s="1"/>
      <c r="Z180" s="1"/>
      <c r="AA180" s="1"/>
      <c r="AB180" s="1"/>
      <c r="AC180" s="1" t="s">
        <v>65</v>
      </c>
      <c r="AD180" s="1" t="s">
        <v>65</v>
      </c>
      <c r="AE180" s="1"/>
      <c r="AF180" s="1" t="s">
        <v>65</v>
      </c>
      <c r="AG180" s="1" t="s">
        <v>4004</v>
      </c>
      <c r="AH180" s="7" t="s">
        <v>4005</v>
      </c>
      <c r="AI180" s="1"/>
      <c r="AJ180" s="1"/>
      <c r="AK180" s="1"/>
      <c r="AL180" s="1"/>
      <c r="AM180" s="1"/>
      <c r="AN180" s="1"/>
    </row>
    <row r="181" hidden="1">
      <c r="A181" s="1" t="s">
        <v>4008</v>
      </c>
      <c r="B181" s="1" t="s">
        <v>4008</v>
      </c>
      <c r="C181" s="4">
        <v>44670.67606481481</v>
      </c>
      <c r="D181" s="5">
        <v>1.650384812E9</v>
      </c>
      <c r="E181" s="7" t="s">
        <v>4009</v>
      </c>
      <c r="F181" s="1" t="s">
        <v>4016</v>
      </c>
      <c r="G181" s="1" t="s">
        <v>4017</v>
      </c>
      <c r="H181" s="1" t="s">
        <v>4018</v>
      </c>
      <c r="I181" s="5">
        <v>2.9438265E7</v>
      </c>
      <c r="J181" s="7" t="s">
        <v>4020</v>
      </c>
      <c r="K181" s="7" t="s">
        <v>4030</v>
      </c>
      <c r="L181" s="9" t="b">
        <v>0</v>
      </c>
      <c r="M181" s="1" t="s">
        <v>2805</v>
      </c>
      <c r="N181" s="1" t="s">
        <v>68</v>
      </c>
      <c r="O181" s="1" t="s">
        <v>65</v>
      </c>
      <c r="P181" s="5">
        <v>0.0</v>
      </c>
      <c r="Q181" s="5">
        <v>0.0</v>
      </c>
      <c r="R181" s="5">
        <v>0.0</v>
      </c>
      <c r="S181" s="5">
        <v>0.0</v>
      </c>
      <c r="T181" s="1"/>
      <c r="U181" s="1" t="s">
        <v>65</v>
      </c>
      <c r="V181" s="1"/>
      <c r="W181" s="1" t="s">
        <v>65</v>
      </c>
      <c r="X181" s="1"/>
      <c r="Y181" s="1"/>
      <c r="Z181" s="1"/>
      <c r="AA181" s="1"/>
      <c r="AB181" s="1"/>
      <c r="AC181" s="1" t="s">
        <v>65</v>
      </c>
      <c r="AD181" s="1" t="s">
        <v>65</v>
      </c>
      <c r="AE181" s="1"/>
      <c r="AF181" s="1" t="s">
        <v>65</v>
      </c>
      <c r="AG181" s="1" t="s">
        <v>4034</v>
      </c>
      <c r="AH181" s="7" t="s">
        <v>4035</v>
      </c>
      <c r="AI181" s="1"/>
      <c r="AJ181" s="1"/>
      <c r="AK181" s="1"/>
      <c r="AL181" s="1"/>
      <c r="AM181" s="1"/>
      <c r="AN181" s="1"/>
    </row>
    <row r="182" hidden="1">
      <c r="A182" s="1" t="s">
        <v>4041</v>
      </c>
      <c r="B182" s="1" t="s">
        <v>4041</v>
      </c>
      <c r="C182" s="4">
        <v>44669.56524305556</v>
      </c>
      <c r="D182" s="5">
        <v>1.650288837E9</v>
      </c>
      <c r="E182" s="7" t="s">
        <v>4046</v>
      </c>
      <c r="F182" s="1" t="s">
        <v>4053</v>
      </c>
      <c r="G182" s="1" t="s">
        <v>4017</v>
      </c>
      <c r="H182" s="1" t="s">
        <v>4018</v>
      </c>
      <c r="I182" s="5">
        <v>2.9438265E7</v>
      </c>
      <c r="J182" s="7" t="s">
        <v>4020</v>
      </c>
      <c r="K182" s="7" t="s">
        <v>4030</v>
      </c>
      <c r="L182" s="9" t="b">
        <v>0</v>
      </c>
      <c r="M182" s="1" t="s">
        <v>2805</v>
      </c>
      <c r="N182" s="1" t="s">
        <v>68</v>
      </c>
      <c r="O182" s="1" t="s">
        <v>65</v>
      </c>
      <c r="P182" s="5">
        <v>0.0</v>
      </c>
      <c r="Q182" s="5">
        <v>0.0</v>
      </c>
      <c r="R182" s="5">
        <v>0.0</v>
      </c>
      <c r="S182" s="5">
        <v>0.0</v>
      </c>
      <c r="T182" s="1"/>
      <c r="U182" s="1" t="s">
        <v>65</v>
      </c>
      <c r="V182" s="1"/>
      <c r="W182" s="1" t="s">
        <v>65</v>
      </c>
      <c r="X182" s="1"/>
      <c r="Y182" s="1"/>
      <c r="Z182" s="1"/>
      <c r="AA182" s="1"/>
      <c r="AB182" s="1"/>
      <c r="AC182" s="1" t="s">
        <v>65</v>
      </c>
      <c r="AD182" s="1" t="s">
        <v>65</v>
      </c>
      <c r="AE182" s="1"/>
      <c r="AF182" s="1" t="s">
        <v>65</v>
      </c>
      <c r="AG182" s="1" t="s">
        <v>4056</v>
      </c>
      <c r="AH182" s="7" t="s">
        <v>4057</v>
      </c>
      <c r="AI182" s="1"/>
      <c r="AJ182" s="1"/>
      <c r="AK182" s="1"/>
      <c r="AL182" s="1"/>
      <c r="AM182" s="1"/>
      <c r="AN182" s="1"/>
    </row>
    <row r="183" hidden="1">
      <c r="A183" s="1" t="s">
        <v>4066</v>
      </c>
      <c r="B183" s="1" t="s">
        <v>4066</v>
      </c>
      <c r="C183" s="4">
        <v>44669.43587962963</v>
      </c>
      <c r="D183" s="5">
        <v>1.65027766E9</v>
      </c>
      <c r="E183" s="7" t="s">
        <v>4068</v>
      </c>
      <c r="F183" s="1" t="s">
        <v>4071</v>
      </c>
      <c r="G183" s="1" t="s">
        <v>4072</v>
      </c>
      <c r="H183" s="1" t="s">
        <v>4074</v>
      </c>
      <c r="I183" s="1" t="s">
        <v>4076</v>
      </c>
      <c r="J183" s="7" t="s">
        <v>4078</v>
      </c>
      <c r="K183" s="7" t="s">
        <v>4086</v>
      </c>
      <c r="L183" s="9" t="b">
        <v>0</v>
      </c>
      <c r="M183" s="1" t="s">
        <v>67</v>
      </c>
      <c r="N183" s="1" t="s">
        <v>2138</v>
      </c>
      <c r="O183" s="1" t="s">
        <v>65</v>
      </c>
      <c r="P183" s="5">
        <v>0.0</v>
      </c>
      <c r="Q183" s="5">
        <v>0.0</v>
      </c>
      <c r="R183" s="5">
        <v>0.0</v>
      </c>
      <c r="S183" s="5">
        <v>0.0</v>
      </c>
      <c r="T183" s="1"/>
      <c r="U183" s="1" t="s">
        <v>65</v>
      </c>
      <c r="V183" s="1"/>
      <c r="W183" s="1" t="s">
        <v>71</v>
      </c>
      <c r="X183" s="1" t="s">
        <v>4089</v>
      </c>
      <c r="Y183" s="1" t="s">
        <v>959</v>
      </c>
      <c r="Z183" s="1" t="s">
        <v>4090</v>
      </c>
      <c r="AA183" s="7" t="s">
        <v>4092</v>
      </c>
      <c r="AB183" s="1"/>
      <c r="AC183" s="1" t="s">
        <v>65</v>
      </c>
      <c r="AD183" s="1" t="s">
        <v>65</v>
      </c>
      <c r="AE183" s="1"/>
      <c r="AF183" s="1" t="s">
        <v>65</v>
      </c>
      <c r="AG183" s="1" t="s">
        <v>4101</v>
      </c>
      <c r="AH183" s="1"/>
      <c r="AI183" s="1"/>
      <c r="AJ183" s="1"/>
      <c r="AK183" s="1"/>
      <c r="AL183" s="1"/>
      <c r="AM183" s="1"/>
      <c r="AN183" s="1"/>
    </row>
    <row r="184">
      <c r="A184" s="1" t="s">
        <v>4102</v>
      </c>
      <c r="B184" s="1" t="s">
        <v>4102</v>
      </c>
      <c r="C184" s="4">
        <v>44654.87295138889</v>
      </c>
      <c r="D184" s="5">
        <v>1.649019423E9</v>
      </c>
      <c r="E184" s="7" t="s">
        <v>4103</v>
      </c>
      <c r="F184" s="1" t="s">
        <v>4109</v>
      </c>
      <c r="G184" s="1" t="s">
        <v>2816</v>
      </c>
      <c r="H184" s="1" t="s">
        <v>2817</v>
      </c>
      <c r="I184" s="1" t="s">
        <v>2818</v>
      </c>
      <c r="J184" s="7" t="s">
        <v>2820</v>
      </c>
      <c r="K184" s="7" t="s">
        <v>2825</v>
      </c>
      <c r="L184" s="9" t="b">
        <v>0</v>
      </c>
      <c r="M184" s="1" t="s">
        <v>67</v>
      </c>
      <c r="N184" s="1" t="s">
        <v>64</v>
      </c>
      <c r="O184" s="1" t="s">
        <v>65</v>
      </c>
      <c r="P184" s="5">
        <v>0.0</v>
      </c>
      <c r="Q184" s="5">
        <v>0.0</v>
      </c>
      <c r="R184" s="5">
        <v>0.0</v>
      </c>
      <c r="S184" s="5">
        <v>0.0</v>
      </c>
      <c r="T184" s="1"/>
      <c r="U184" s="1" t="s">
        <v>65</v>
      </c>
      <c r="V184" s="1"/>
      <c r="W184" s="1" t="s">
        <v>71</v>
      </c>
      <c r="X184" s="1" t="s">
        <v>4111</v>
      </c>
      <c r="Y184" s="1" t="s">
        <v>4112</v>
      </c>
      <c r="Z184" s="1" t="s">
        <v>4113</v>
      </c>
      <c r="AA184" s="1"/>
      <c r="AB184" s="1"/>
      <c r="AC184" s="1" t="s">
        <v>65</v>
      </c>
      <c r="AD184" s="1" t="s">
        <v>65</v>
      </c>
      <c r="AE184" s="1"/>
      <c r="AF184" s="1" t="s">
        <v>65</v>
      </c>
      <c r="AG184" s="1" t="s">
        <v>4114</v>
      </c>
      <c r="AH184" s="1"/>
      <c r="AI184" s="1"/>
      <c r="AJ184" s="1"/>
      <c r="AK184" s="1"/>
      <c r="AL184" s="1" t="s">
        <v>2831</v>
      </c>
      <c r="AM184" s="1" t="s">
        <v>2832</v>
      </c>
      <c r="AN184" s="1"/>
    </row>
    <row r="185">
      <c r="A185" s="1" t="s">
        <v>4117</v>
      </c>
      <c r="B185" s="1" t="s">
        <v>4117</v>
      </c>
      <c r="C185" s="4">
        <v>44654.70070601852</v>
      </c>
      <c r="D185" s="5">
        <v>1.649004541E9</v>
      </c>
      <c r="E185" s="7" t="s">
        <v>4118</v>
      </c>
      <c r="F185" s="1" t="s">
        <v>4119</v>
      </c>
      <c r="G185" s="1" t="s">
        <v>2816</v>
      </c>
      <c r="H185" s="1" t="s">
        <v>2817</v>
      </c>
      <c r="I185" s="1" t="s">
        <v>2818</v>
      </c>
      <c r="J185" s="7" t="s">
        <v>2820</v>
      </c>
      <c r="K185" s="7" t="s">
        <v>2825</v>
      </c>
      <c r="L185" s="9" t="b">
        <v>0</v>
      </c>
      <c r="M185" s="1" t="s">
        <v>67</v>
      </c>
      <c r="N185" s="1" t="s">
        <v>64</v>
      </c>
      <c r="O185" s="1" t="s">
        <v>65</v>
      </c>
      <c r="P185" s="5">
        <v>0.0</v>
      </c>
      <c r="Q185" s="5">
        <v>0.0</v>
      </c>
      <c r="R185" s="5">
        <v>1.0</v>
      </c>
      <c r="S185" s="5">
        <v>0.0</v>
      </c>
      <c r="T185" s="1"/>
      <c r="U185" s="1" t="s">
        <v>65</v>
      </c>
      <c r="V185" s="1"/>
      <c r="W185" s="1" t="s">
        <v>65</v>
      </c>
      <c r="X185" s="1"/>
      <c r="Y185" s="1"/>
      <c r="Z185" s="1"/>
      <c r="AA185" s="1"/>
      <c r="AB185" s="1"/>
      <c r="AC185" s="1" t="s">
        <v>65</v>
      </c>
      <c r="AD185" s="1" t="s">
        <v>65</v>
      </c>
      <c r="AE185" s="1"/>
      <c r="AF185" s="1" t="s">
        <v>65</v>
      </c>
      <c r="AG185" s="1" t="s">
        <v>4125</v>
      </c>
      <c r="AH185" s="1"/>
      <c r="AI185" s="7" t="s">
        <v>4126</v>
      </c>
      <c r="AJ185" s="1"/>
      <c r="AK185" s="1"/>
      <c r="AL185" s="1" t="s">
        <v>2831</v>
      </c>
      <c r="AM185" s="1" t="s">
        <v>2832</v>
      </c>
      <c r="AN185" s="1"/>
    </row>
    <row r="186" hidden="1">
      <c r="A186" s="1" t="s">
        <v>4133</v>
      </c>
      <c r="B186" s="1" t="s">
        <v>4133</v>
      </c>
      <c r="C186" s="4">
        <v>44653.40244212963</v>
      </c>
      <c r="D186" s="5">
        <v>1.648892371E9</v>
      </c>
      <c r="E186" s="7" t="s">
        <v>4138</v>
      </c>
      <c r="F186" s="1" t="s">
        <v>4140</v>
      </c>
      <c r="G186" s="1" t="s">
        <v>4072</v>
      </c>
      <c r="H186" s="1" t="s">
        <v>4074</v>
      </c>
      <c r="I186" s="1" t="s">
        <v>4076</v>
      </c>
      <c r="J186" s="7" t="s">
        <v>4078</v>
      </c>
      <c r="K186" s="7" t="s">
        <v>4086</v>
      </c>
      <c r="L186" s="9" t="b">
        <v>0</v>
      </c>
      <c r="M186" s="1" t="s">
        <v>67</v>
      </c>
      <c r="N186" s="1" t="s">
        <v>2138</v>
      </c>
      <c r="O186" s="1" t="s">
        <v>65</v>
      </c>
      <c r="P186" s="5">
        <v>0.0</v>
      </c>
      <c r="Q186" s="5">
        <v>0.0</v>
      </c>
      <c r="R186" s="5">
        <v>2.0</v>
      </c>
      <c r="S186" s="5">
        <v>0.0</v>
      </c>
      <c r="T186" s="1"/>
      <c r="U186" s="1" t="s">
        <v>65</v>
      </c>
      <c r="V186" s="1"/>
      <c r="W186" s="1" t="s">
        <v>71</v>
      </c>
      <c r="X186" s="1" t="s">
        <v>4145</v>
      </c>
      <c r="Y186" s="1" t="s">
        <v>959</v>
      </c>
      <c r="Z186" s="1" t="s">
        <v>4146</v>
      </c>
      <c r="AA186" s="7" t="s">
        <v>4148</v>
      </c>
      <c r="AB186" s="1"/>
      <c r="AC186" s="1" t="s">
        <v>65</v>
      </c>
      <c r="AD186" s="1" t="s">
        <v>65</v>
      </c>
      <c r="AE186" s="1"/>
      <c r="AF186" s="1" t="s">
        <v>65</v>
      </c>
      <c r="AG186" s="1" t="s">
        <v>4154</v>
      </c>
      <c r="AH186" s="1"/>
      <c r="AI186" s="1"/>
      <c r="AJ186" s="1"/>
      <c r="AK186" s="1"/>
      <c r="AL186" s="1"/>
      <c r="AM186" s="1"/>
      <c r="AN186" s="1"/>
    </row>
    <row r="187">
      <c r="A187" s="1" t="s">
        <v>4156</v>
      </c>
      <c r="B187" s="1" t="s">
        <v>4156</v>
      </c>
      <c r="C187" s="4">
        <v>44652.89611111111</v>
      </c>
      <c r="D187" s="5">
        <v>1.648848624E9</v>
      </c>
      <c r="E187" s="7" t="s">
        <v>4158</v>
      </c>
      <c r="F187" s="1" t="s">
        <v>4160</v>
      </c>
      <c r="G187" s="1" t="s">
        <v>4161</v>
      </c>
      <c r="H187" s="1" t="s">
        <v>4163</v>
      </c>
      <c r="I187" s="1" t="s">
        <v>4165</v>
      </c>
      <c r="J187" s="7" t="s">
        <v>4167</v>
      </c>
      <c r="K187" s="7" t="s">
        <v>4174</v>
      </c>
      <c r="L187" s="9" t="b">
        <v>0</v>
      </c>
      <c r="M187" s="1" t="s">
        <v>67</v>
      </c>
      <c r="N187" s="1" t="s">
        <v>64</v>
      </c>
      <c r="O187" s="1" t="s">
        <v>65</v>
      </c>
      <c r="P187" s="5">
        <v>0.0</v>
      </c>
      <c r="Q187" s="5">
        <v>0.0</v>
      </c>
      <c r="R187" s="5">
        <v>2.0</v>
      </c>
      <c r="S187" s="5">
        <v>0.0</v>
      </c>
      <c r="T187" s="1"/>
      <c r="U187" s="1" t="s">
        <v>65</v>
      </c>
      <c r="V187" s="1"/>
      <c r="W187" s="1" t="s">
        <v>65</v>
      </c>
      <c r="X187" s="1"/>
      <c r="Y187" s="1"/>
      <c r="Z187" s="1"/>
      <c r="AA187" s="1"/>
      <c r="AB187" s="1"/>
      <c r="AC187" s="1" t="s">
        <v>65</v>
      </c>
      <c r="AD187" s="1" t="s">
        <v>65</v>
      </c>
      <c r="AE187" s="1"/>
      <c r="AF187" s="1" t="s">
        <v>65</v>
      </c>
      <c r="AG187" s="1" t="s">
        <v>4178</v>
      </c>
      <c r="AH187" s="7" t="s">
        <v>4179</v>
      </c>
      <c r="AI187" s="1"/>
      <c r="AJ187" s="1"/>
      <c r="AK187" s="1" t="s">
        <v>4186</v>
      </c>
      <c r="AL187" s="1"/>
      <c r="AM187" s="1"/>
      <c r="AN187" s="1"/>
    </row>
    <row r="188" hidden="1">
      <c r="A188" s="1" t="s">
        <v>4187</v>
      </c>
      <c r="B188" s="1" t="s">
        <v>4187</v>
      </c>
      <c r="C188" s="4">
        <v>44652.43351851852</v>
      </c>
      <c r="D188" s="5">
        <v>1.648808656E9</v>
      </c>
      <c r="E188" s="7" t="s">
        <v>4188</v>
      </c>
      <c r="F188" s="1" t="s">
        <v>4195</v>
      </c>
      <c r="G188" s="1" t="s">
        <v>3129</v>
      </c>
      <c r="H188" s="1" t="s">
        <v>3131</v>
      </c>
      <c r="I188" s="5">
        <v>2.809175032E9</v>
      </c>
      <c r="J188" s="7" t="s">
        <v>3133</v>
      </c>
      <c r="K188" s="7" t="s">
        <v>3136</v>
      </c>
      <c r="L188" s="9" t="b">
        <v>0</v>
      </c>
      <c r="M188" s="1" t="s">
        <v>67</v>
      </c>
      <c r="N188" s="1" t="s">
        <v>2138</v>
      </c>
      <c r="O188" s="1" t="s">
        <v>65</v>
      </c>
      <c r="P188" s="5">
        <v>2.0</v>
      </c>
      <c r="Q188" s="5">
        <v>0.0</v>
      </c>
      <c r="R188" s="5">
        <v>2.0</v>
      </c>
      <c r="S188" s="5">
        <v>0.0</v>
      </c>
      <c r="T188" s="1"/>
      <c r="U188" s="1" t="s">
        <v>65</v>
      </c>
      <c r="V188" s="1"/>
      <c r="W188" s="1" t="s">
        <v>71</v>
      </c>
      <c r="X188" s="1" t="s">
        <v>4198</v>
      </c>
      <c r="Y188" s="1" t="s">
        <v>959</v>
      </c>
      <c r="Z188" s="1" t="s">
        <v>4201</v>
      </c>
      <c r="AA188" s="7" t="s">
        <v>4203</v>
      </c>
      <c r="AB188" s="1"/>
      <c r="AC188" s="1" t="s">
        <v>65</v>
      </c>
      <c r="AD188" s="1" t="s">
        <v>65</v>
      </c>
      <c r="AE188" s="1"/>
      <c r="AF188" s="1" t="s">
        <v>65</v>
      </c>
      <c r="AG188" s="1" t="s">
        <v>472</v>
      </c>
      <c r="AH188" s="1"/>
      <c r="AI188" s="1"/>
      <c r="AJ188" s="1"/>
      <c r="AK188" s="1"/>
      <c r="AL188" s="1"/>
      <c r="AM188" s="1"/>
      <c r="AN188" s="1"/>
    </row>
    <row r="189" hidden="1">
      <c r="A189" s="1" t="s">
        <v>4210</v>
      </c>
      <c r="B189" s="1" t="s">
        <v>4210</v>
      </c>
      <c r="C189" s="4">
        <v>44652.33931712963</v>
      </c>
      <c r="D189" s="5">
        <v>1.648800517E9</v>
      </c>
      <c r="E189" s="7" t="s">
        <v>4212</v>
      </c>
      <c r="F189" s="1" t="s">
        <v>4215</v>
      </c>
      <c r="G189" s="1" t="s">
        <v>2657</v>
      </c>
      <c r="H189" s="1" t="s">
        <v>2658</v>
      </c>
      <c r="I189" s="1" t="s">
        <v>2659</v>
      </c>
      <c r="J189" s="7" t="s">
        <v>2660</v>
      </c>
      <c r="K189" s="7" t="s">
        <v>2666</v>
      </c>
      <c r="L189" s="9" t="b">
        <v>0</v>
      </c>
      <c r="M189" s="1" t="s">
        <v>67</v>
      </c>
      <c r="N189" s="1" t="s">
        <v>2138</v>
      </c>
      <c r="O189" s="1" t="s">
        <v>65</v>
      </c>
      <c r="P189" s="5">
        <v>0.0</v>
      </c>
      <c r="Q189" s="5">
        <v>0.0</v>
      </c>
      <c r="R189" s="5">
        <v>2.0</v>
      </c>
      <c r="S189" s="5">
        <v>0.0</v>
      </c>
      <c r="T189" s="1"/>
      <c r="U189" s="1" t="s">
        <v>65</v>
      </c>
      <c r="V189" s="1"/>
      <c r="W189" s="1" t="s">
        <v>71</v>
      </c>
      <c r="X189" s="1" t="s">
        <v>4145</v>
      </c>
      <c r="Y189" s="1" t="s">
        <v>959</v>
      </c>
      <c r="Z189" s="1" t="s">
        <v>4146</v>
      </c>
      <c r="AA189" s="7" t="s">
        <v>4148</v>
      </c>
      <c r="AB189" s="1"/>
      <c r="AC189" s="1" t="s">
        <v>65</v>
      </c>
      <c r="AD189" s="1" t="s">
        <v>65</v>
      </c>
      <c r="AE189" s="1"/>
      <c r="AF189" s="1" t="s">
        <v>65</v>
      </c>
      <c r="AG189" s="1" t="s">
        <v>4230</v>
      </c>
      <c r="AH189" s="1"/>
      <c r="AI189" s="1"/>
      <c r="AJ189" s="1"/>
      <c r="AK189" s="1"/>
      <c r="AL189" s="1" t="s">
        <v>4231</v>
      </c>
      <c r="AM189" s="1" t="s">
        <v>4232</v>
      </c>
      <c r="AN189" s="1"/>
    </row>
    <row r="190" hidden="1">
      <c r="A190" s="1" t="s">
        <v>4233</v>
      </c>
      <c r="B190" s="1" t="s">
        <v>4233</v>
      </c>
      <c r="C190" s="4">
        <v>44650.75344907407</v>
      </c>
      <c r="D190" s="5">
        <v>1.648663498E9</v>
      </c>
      <c r="E190" s="7" t="s">
        <v>4234</v>
      </c>
      <c r="F190" s="1" t="s">
        <v>4236</v>
      </c>
      <c r="G190" s="1" t="s">
        <v>4238</v>
      </c>
      <c r="H190" s="1" t="s">
        <v>4239</v>
      </c>
      <c r="I190" s="5">
        <v>2.774265712E9</v>
      </c>
      <c r="J190" s="7" t="s">
        <v>4240</v>
      </c>
      <c r="K190" s="7" t="s">
        <v>4243</v>
      </c>
      <c r="L190" s="9" t="b">
        <v>0</v>
      </c>
      <c r="M190" s="1" t="s">
        <v>85</v>
      </c>
      <c r="N190" s="1" t="s">
        <v>68</v>
      </c>
      <c r="O190" s="1" t="s">
        <v>65</v>
      </c>
      <c r="P190" s="5">
        <v>0.0</v>
      </c>
      <c r="Q190" s="5">
        <v>0.0</v>
      </c>
      <c r="R190" s="5">
        <v>0.0</v>
      </c>
      <c r="S190" s="5">
        <v>0.0</v>
      </c>
      <c r="T190" s="1"/>
      <c r="U190" s="1" t="s">
        <v>65</v>
      </c>
      <c r="V190" s="1"/>
      <c r="W190" s="1" t="s">
        <v>65</v>
      </c>
      <c r="X190" s="1"/>
      <c r="Y190" s="1"/>
      <c r="Z190" s="1"/>
      <c r="AA190" s="1"/>
      <c r="AB190" s="1"/>
      <c r="AC190" s="1" t="s">
        <v>65</v>
      </c>
      <c r="AD190" s="1" t="s">
        <v>65</v>
      </c>
      <c r="AE190" s="1"/>
      <c r="AF190" s="1" t="s">
        <v>65</v>
      </c>
      <c r="AG190" s="1" t="s">
        <v>414</v>
      </c>
      <c r="AH190" s="1"/>
      <c r="AI190" s="1"/>
      <c r="AJ190" s="1"/>
      <c r="AK190" s="1"/>
      <c r="AL190" s="1"/>
      <c r="AM190" s="1"/>
      <c r="AN190" s="1"/>
    </row>
    <row r="191">
      <c r="A191" s="1" t="s">
        <v>4250</v>
      </c>
      <c r="B191" s="1" t="s">
        <v>4250</v>
      </c>
      <c r="C191" s="4">
        <v>44645.666134259256</v>
      </c>
      <c r="D191" s="5">
        <v>1.648223954E9</v>
      </c>
      <c r="E191" s="7" t="s">
        <v>4252</v>
      </c>
      <c r="F191" s="1" t="s">
        <v>4254</v>
      </c>
      <c r="G191" s="1" t="s">
        <v>1510</v>
      </c>
      <c r="H191" s="1" t="s">
        <v>1511</v>
      </c>
      <c r="I191" s="1" t="s">
        <v>1513</v>
      </c>
      <c r="J191" s="7" t="s">
        <v>1514</v>
      </c>
      <c r="K191" s="7" t="s">
        <v>1519</v>
      </c>
      <c r="L191" s="9" t="b">
        <v>0</v>
      </c>
      <c r="M191" s="1" t="s">
        <v>2805</v>
      </c>
      <c r="N191" s="1" t="s">
        <v>64</v>
      </c>
      <c r="O191" s="1" t="s">
        <v>65</v>
      </c>
      <c r="P191" s="5">
        <v>1.0</v>
      </c>
      <c r="Q191" s="5">
        <v>0.0</v>
      </c>
      <c r="R191" s="5">
        <v>1.0</v>
      </c>
      <c r="S191" s="5">
        <v>0.0</v>
      </c>
      <c r="T191" s="1"/>
      <c r="U191" s="1" t="s">
        <v>65</v>
      </c>
      <c r="V191" s="1"/>
      <c r="W191" s="1" t="s">
        <v>65</v>
      </c>
      <c r="X191" s="1"/>
      <c r="Y191" s="1"/>
      <c r="Z191" s="1"/>
      <c r="AA191" s="1"/>
      <c r="AB191" s="1"/>
      <c r="AC191" s="1" t="s">
        <v>65</v>
      </c>
      <c r="AD191" s="1" t="s">
        <v>65</v>
      </c>
      <c r="AE191" s="1"/>
      <c r="AF191" s="1" t="s">
        <v>65</v>
      </c>
      <c r="AG191" s="1" t="s">
        <v>414</v>
      </c>
      <c r="AH191" s="7" t="s">
        <v>4255</v>
      </c>
      <c r="AI191" s="1"/>
      <c r="AJ191" s="1"/>
      <c r="AK191" s="1"/>
      <c r="AL191" s="1"/>
      <c r="AM191" s="1"/>
      <c r="AN191" s="1"/>
    </row>
    <row r="192">
      <c r="A192" s="1" t="s">
        <v>4259</v>
      </c>
      <c r="B192" s="1" t="s">
        <v>4259</v>
      </c>
      <c r="C192" s="4">
        <v>44638.661875</v>
      </c>
      <c r="D192" s="5">
        <v>1.647618786E9</v>
      </c>
      <c r="E192" s="7" t="s">
        <v>4260</v>
      </c>
      <c r="F192" s="1" t="s">
        <v>4261</v>
      </c>
      <c r="G192" s="1" t="s">
        <v>1510</v>
      </c>
      <c r="H192" s="1" t="s">
        <v>1511</v>
      </c>
      <c r="I192" s="1" t="s">
        <v>1513</v>
      </c>
      <c r="J192" s="7" t="s">
        <v>1514</v>
      </c>
      <c r="K192" s="7" t="s">
        <v>1519</v>
      </c>
      <c r="L192" s="9" t="b">
        <v>0</v>
      </c>
      <c r="M192" s="1" t="s">
        <v>2805</v>
      </c>
      <c r="N192" s="1" t="s">
        <v>64</v>
      </c>
      <c r="O192" s="1" t="s">
        <v>65</v>
      </c>
      <c r="P192" s="5">
        <v>0.0</v>
      </c>
      <c r="Q192" s="5">
        <v>0.0</v>
      </c>
      <c r="R192" s="5">
        <v>1.0</v>
      </c>
      <c r="S192" s="5">
        <v>0.0</v>
      </c>
      <c r="T192" s="1"/>
      <c r="U192" s="1" t="s">
        <v>65</v>
      </c>
      <c r="V192" s="1"/>
      <c r="W192" s="1" t="s">
        <v>65</v>
      </c>
      <c r="X192" s="1"/>
      <c r="Y192" s="1"/>
      <c r="Z192" s="1"/>
      <c r="AA192" s="1"/>
      <c r="AB192" s="1"/>
      <c r="AC192" s="1" t="s">
        <v>65</v>
      </c>
      <c r="AD192" s="1" t="s">
        <v>65</v>
      </c>
      <c r="AE192" s="1"/>
      <c r="AF192" s="1" t="s">
        <v>65</v>
      </c>
      <c r="AG192" s="1" t="s">
        <v>414</v>
      </c>
      <c r="AH192" s="7" t="s">
        <v>4264</v>
      </c>
      <c r="AI192" s="1"/>
      <c r="AJ192" s="1"/>
      <c r="AK192" s="1"/>
      <c r="AL192" s="1"/>
      <c r="AM192" s="1"/>
      <c r="AN192" s="1"/>
    </row>
    <row r="193">
      <c r="A193" s="1" t="s">
        <v>4266</v>
      </c>
      <c r="B193" s="1" t="s">
        <v>4266</v>
      </c>
      <c r="C193" s="4">
        <v>44637.696076388886</v>
      </c>
      <c r="D193" s="5">
        <v>1.647535341E9</v>
      </c>
      <c r="E193" s="7" t="s">
        <v>4267</v>
      </c>
      <c r="F193" s="1" t="s">
        <v>4268</v>
      </c>
      <c r="G193" s="1" t="s">
        <v>4269</v>
      </c>
      <c r="H193" s="1" t="s">
        <v>4269</v>
      </c>
      <c r="I193" s="5">
        <v>3.329875162E9</v>
      </c>
      <c r="J193" s="7" t="s">
        <v>4270</v>
      </c>
      <c r="K193" s="7" t="s">
        <v>4271</v>
      </c>
      <c r="L193" s="9" t="b">
        <v>0</v>
      </c>
      <c r="M193" s="1" t="s">
        <v>67</v>
      </c>
      <c r="N193" s="1" t="s">
        <v>64</v>
      </c>
      <c r="O193" s="1" t="s">
        <v>65</v>
      </c>
      <c r="P193" s="5">
        <v>2.0</v>
      </c>
      <c r="Q193" s="5">
        <v>0.0</v>
      </c>
      <c r="R193" s="5">
        <v>4.0</v>
      </c>
      <c r="S193" s="5">
        <v>0.0</v>
      </c>
      <c r="T193" s="1"/>
      <c r="U193" s="1" t="s">
        <v>65</v>
      </c>
      <c r="V193" s="1"/>
      <c r="W193" s="1" t="s">
        <v>71</v>
      </c>
      <c r="X193" s="1" t="s">
        <v>4089</v>
      </c>
      <c r="Y193" s="1" t="s">
        <v>959</v>
      </c>
      <c r="Z193" s="1" t="s">
        <v>4090</v>
      </c>
      <c r="AA193" s="7" t="s">
        <v>4092</v>
      </c>
      <c r="AB193" s="1"/>
      <c r="AC193" s="1" t="s">
        <v>65</v>
      </c>
      <c r="AD193" s="1" t="s">
        <v>65</v>
      </c>
      <c r="AE193" s="1"/>
      <c r="AF193" s="1" t="s">
        <v>65</v>
      </c>
      <c r="AG193" s="1" t="s">
        <v>1215</v>
      </c>
      <c r="AH193" s="1"/>
      <c r="AI193" s="1"/>
      <c r="AJ193" s="1"/>
      <c r="AK193" s="1" t="s">
        <v>4285</v>
      </c>
      <c r="AL193" s="1"/>
      <c r="AM193" s="1"/>
      <c r="AN193" s="1"/>
    </row>
    <row r="194" hidden="1">
      <c r="A194" s="1" t="s">
        <v>4286</v>
      </c>
      <c r="B194" s="1" t="s">
        <v>4286</v>
      </c>
      <c r="C194" s="4">
        <v>44629.72666666667</v>
      </c>
      <c r="D194" s="5">
        <v>1.646846784E9</v>
      </c>
      <c r="E194" s="7" t="s">
        <v>4287</v>
      </c>
      <c r="F194" s="1" t="s">
        <v>4291</v>
      </c>
      <c r="G194" s="1" t="s">
        <v>4292</v>
      </c>
      <c r="H194" s="1" t="s">
        <v>4293</v>
      </c>
      <c r="I194" s="5">
        <v>3.6596327E7</v>
      </c>
      <c r="J194" s="7" t="s">
        <v>4296</v>
      </c>
      <c r="K194" s="7" t="s">
        <v>4309</v>
      </c>
      <c r="L194" s="9" t="b">
        <v>0</v>
      </c>
      <c r="M194" s="1" t="s">
        <v>2805</v>
      </c>
      <c r="N194" s="1" t="s">
        <v>68</v>
      </c>
      <c r="O194" s="1" t="s">
        <v>65</v>
      </c>
      <c r="P194" s="5">
        <v>0.0</v>
      </c>
      <c r="Q194" s="5">
        <v>0.0</v>
      </c>
      <c r="R194" s="5">
        <v>0.0</v>
      </c>
      <c r="S194" s="5">
        <v>0.0</v>
      </c>
      <c r="T194" s="1"/>
      <c r="U194" s="1" t="s">
        <v>65</v>
      </c>
      <c r="V194" s="1"/>
      <c r="W194" s="1" t="s">
        <v>65</v>
      </c>
      <c r="X194" s="1"/>
      <c r="Y194" s="1"/>
      <c r="Z194" s="1"/>
      <c r="AA194" s="1"/>
      <c r="AB194" s="1"/>
      <c r="AC194" s="1" t="s">
        <v>65</v>
      </c>
      <c r="AD194" s="1" t="s">
        <v>65</v>
      </c>
      <c r="AE194" s="1"/>
      <c r="AF194" s="1" t="s">
        <v>65</v>
      </c>
      <c r="AG194" s="1" t="s">
        <v>4317</v>
      </c>
      <c r="AH194" s="7" t="s">
        <v>4319</v>
      </c>
      <c r="AI194" s="1"/>
      <c r="AJ194" s="1"/>
      <c r="AK194" s="1" t="s">
        <v>4329</v>
      </c>
      <c r="AL194" s="1" t="s">
        <v>4330</v>
      </c>
      <c r="AM194" s="1" t="s">
        <v>4331</v>
      </c>
      <c r="AN194" s="1"/>
    </row>
    <row r="195" hidden="1">
      <c r="A195" s="1" t="s">
        <v>4332</v>
      </c>
      <c r="B195" s="1" t="s">
        <v>4332</v>
      </c>
      <c r="C195" s="4">
        <v>44623.61956018519</v>
      </c>
      <c r="D195" s="5">
        <v>1.64631913E9</v>
      </c>
      <c r="E195" s="7" t="s">
        <v>4334</v>
      </c>
      <c r="F195" s="1" t="s">
        <v>4340</v>
      </c>
      <c r="G195" s="1" t="s">
        <v>4341</v>
      </c>
      <c r="H195" s="1" t="s">
        <v>4342</v>
      </c>
      <c r="I195" s="1" t="s">
        <v>4343</v>
      </c>
      <c r="J195" s="7" t="s">
        <v>4344</v>
      </c>
      <c r="K195" s="7" t="s">
        <v>4348</v>
      </c>
      <c r="L195" s="9" t="b">
        <v>0</v>
      </c>
      <c r="M195" s="1" t="s">
        <v>2805</v>
      </c>
      <c r="N195" s="1" t="s">
        <v>68</v>
      </c>
      <c r="O195" s="1" t="s">
        <v>65</v>
      </c>
      <c r="P195" s="5">
        <v>0.0</v>
      </c>
      <c r="Q195" s="5">
        <v>0.0</v>
      </c>
      <c r="R195" s="5">
        <v>0.0</v>
      </c>
      <c r="S195" s="5">
        <v>0.0</v>
      </c>
      <c r="T195" s="1"/>
      <c r="U195" s="1" t="s">
        <v>65</v>
      </c>
      <c r="V195" s="1"/>
      <c r="W195" s="1" t="s">
        <v>65</v>
      </c>
      <c r="X195" s="1"/>
      <c r="Y195" s="1"/>
      <c r="Z195" s="1"/>
      <c r="AA195" s="1"/>
      <c r="AB195" s="1"/>
      <c r="AC195" s="1" t="s">
        <v>65</v>
      </c>
      <c r="AD195" s="1" t="s">
        <v>65</v>
      </c>
      <c r="AE195" s="1"/>
      <c r="AF195" s="1" t="s">
        <v>65</v>
      </c>
      <c r="AG195" s="1" t="s">
        <v>4056</v>
      </c>
      <c r="AH195" s="7" t="s">
        <v>4358</v>
      </c>
      <c r="AI195" s="1"/>
      <c r="AJ195" s="1"/>
      <c r="AK195" s="1"/>
      <c r="AL195" s="1"/>
      <c r="AM195" s="1"/>
      <c r="AN195" s="1"/>
    </row>
    <row r="196" hidden="1">
      <c r="A196" s="1" t="s">
        <v>4364</v>
      </c>
      <c r="B196" s="1" t="s">
        <v>4364</v>
      </c>
      <c r="C196" s="4">
        <v>44622.8350462963</v>
      </c>
      <c r="D196" s="5">
        <v>1.646251348E9</v>
      </c>
      <c r="E196" s="7" t="s">
        <v>4366</v>
      </c>
      <c r="F196" s="1" t="s">
        <v>4369</v>
      </c>
      <c r="G196" s="1" t="s">
        <v>4292</v>
      </c>
      <c r="H196" s="1" t="s">
        <v>4293</v>
      </c>
      <c r="I196" s="5">
        <v>3.6596327E7</v>
      </c>
      <c r="J196" s="7" t="s">
        <v>4296</v>
      </c>
      <c r="K196" s="7" t="s">
        <v>4309</v>
      </c>
      <c r="L196" s="9" t="b">
        <v>0</v>
      </c>
      <c r="M196" s="1" t="s">
        <v>2805</v>
      </c>
      <c r="N196" s="1" t="s">
        <v>68</v>
      </c>
      <c r="O196" s="1" t="s">
        <v>65</v>
      </c>
      <c r="P196" s="5">
        <v>0.0</v>
      </c>
      <c r="Q196" s="5">
        <v>0.0</v>
      </c>
      <c r="R196" s="5">
        <v>0.0</v>
      </c>
      <c r="S196" s="5">
        <v>0.0</v>
      </c>
      <c r="T196" s="1"/>
      <c r="U196" s="1" t="s">
        <v>65</v>
      </c>
      <c r="V196" s="1"/>
      <c r="W196" s="1" t="s">
        <v>65</v>
      </c>
      <c r="X196" s="1"/>
      <c r="Y196" s="1"/>
      <c r="Z196" s="1"/>
      <c r="AA196" s="1"/>
      <c r="AB196" s="1"/>
      <c r="AC196" s="1" t="s">
        <v>65</v>
      </c>
      <c r="AD196" s="1" t="s">
        <v>65</v>
      </c>
      <c r="AE196" s="1"/>
      <c r="AF196" s="1" t="s">
        <v>65</v>
      </c>
      <c r="AG196" s="1" t="s">
        <v>4370</v>
      </c>
      <c r="AH196" s="7" t="s">
        <v>4371</v>
      </c>
      <c r="AI196" s="1"/>
      <c r="AJ196" s="1"/>
      <c r="AK196" s="1"/>
      <c r="AL196" s="1" t="s">
        <v>4330</v>
      </c>
      <c r="AM196" s="1" t="s">
        <v>4331</v>
      </c>
      <c r="AN196" s="1"/>
    </row>
    <row r="197">
      <c r="A197" s="1" t="s">
        <v>4379</v>
      </c>
      <c r="B197" s="1" t="s">
        <v>4379</v>
      </c>
      <c r="C197" s="4">
        <v>44619.96554398148</v>
      </c>
      <c r="D197" s="5">
        <v>1.646003423E9</v>
      </c>
      <c r="E197" s="7" t="s">
        <v>4380</v>
      </c>
      <c r="F197" s="1" t="s">
        <v>4387</v>
      </c>
      <c r="G197" s="1" t="s">
        <v>2816</v>
      </c>
      <c r="H197" s="1" t="s">
        <v>2817</v>
      </c>
      <c r="I197" s="1" t="s">
        <v>2818</v>
      </c>
      <c r="J197" s="7" t="s">
        <v>2820</v>
      </c>
      <c r="K197" s="7" t="s">
        <v>2825</v>
      </c>
      <c r="L197" s="9" t="b">
        <v>0</v>
      </c>
      <c r="M197" s="1" t="s">
        <v>67</v>
      </c>
      <c r="N197" s="1" t="s">
        <v>64</v>
      </c>
      <c r="O197" s="1" t="s">
        <v>65</v>
      </c>
      <c r="P197" s="5">
        <v>0.0</v>
      </c>
      <c r="Q197" s="5">
        <v>0.0</v>
      </c>
      <c r="R197" s="5">
        <v>1.0</v>
      </c>
      <c r="S197" s="5">
        <v>0.0</v>
      </c>
      <c r="T197" s="1"/>
      <c r="U197" s="1" t="s">
        <v>65</v>
      </c>
      <c r="V197" s="1"/>
      <c r="W197" s="1" t="s">
        <v>65</v>
      </c>
      <c r="X197" s="1"/>
      <c r="Y197" s="1"/>
      <c r="Z197" s="1"/>
      <c r="AA197" s="1"/>
      <c r="AB197" s="1"/>
      <c r="AC197" s="1" t="s">
        <v>65</v>
      </c>
      <c r="AD197" s="1" t="s">
        <v>65</v>
      </c>
      <c r="AE197" s="1"/>
      <c r="AF197" s="1" t="s">
        <v>65</v>
      </c>
      <c r="AG197" s="1" t="s">
        <v>4389</v>
      </c>
      <c r="AH197" s="1"/>
      <c r="AI197" s="7" t="s">
        <v>4390</v>
      </c>
      <c r="AJ197" s="7" t="s">
        <v>4396</v>
      </c>
      <c r="AK197" s="1"/>
      <c r="AL197" s="1" t="s">
        <v>2831</v>
      </c>
      <c r="AM197" s="1" t="s">
        <v>2832</v>
      </c>
      <c r="AN197" s="1"/>
    </row>
    <row r="198">
      <c r="A198" s="1" t="s">
        <v>4403</v>
      </c>
      <c r="B198" s="1" t="s">
        <v>4404</v>
      </c>
      <c r="C198" s="4">
        <v>44610.90697916667</v>
      </c>
      <c r="D198" s="5">
        <v>1.645220763E9</v>
      </c>
      <c r="E198" s="7" t="s">
        <v>4406</v>
      </c>
      <c r="F198" s="1" t="s">
        <v>4410</v>
      </c>
      <c r="G198" s="1" t="s">
        <v>3003</v>
      </c>
      <c r="H198" s="1" t="s">
        <v>3004</v>
      </c>
      <c r="I198" s="1" t="s">
        <v>3005</v>
      </c>
      <c r="J198" s="7" t="s">
        <v>3006</v>
      </c>
      <c r="K198" s="1"/>
      <c r="L198" s="9" t="b">
        <v>0</v>
      </c>
      <c r="M198" s="1" t="s">
        <v>67</v>
      </c>
      <c r="N198" s="1" t="s">
        <v>64</v>
      </c>
      <c r="O198" s="1" t="s">
        <v>65</v>
      </c>
      <c r="P198" s="5">
        <v>0.0</v>
      </c>
      <c r="Q198" s="5">
        <v>0.0</v>
      </c>
      <c r="R198" s="5">
        <v>2.0</v>
      </c>
      <c r="S198" s="5">
        <v>0.0</v>
      </c>
      <c r="T198" s="1"/>
      <c r="U198" s="1" t="s">
        <v>65</v>
      </c>
      <c r="V198" s="1"/>
      <c r="W198" s="1" t="s">
        <v>65</v>
      </c>
      <c r="X198" s="1"/>
      <c r="Y198" s="1"/>
      <c r="Z198" s="1"/>
      <c r="AA198" s="1"/>
      <c r="AB198" s="1"/>
      <c r="AC198" s="1" t="s">
        <v>65</v>
      </c>
      <c r="AD198" s="1" t="s">
        <v>71</v>
      </c>
      <c r="AE198" s="1" t="s">
        <v>3003</v>
      </c>
      <c r="AF198" s="1" t="s">
        <v>65</v>
      </c>
      <c r="AG198" s="1" t="s">
        <v>4414</v>
      </c>
      <c r="AH198" s="1"/>
      <c r="AI198" s="1"/>
      <c r="AJ198" s="1"/>
      <c r="AK198" s="1"/>
      <c r="AL198" s="1"/>
      <c r="AM198" s="1"/>
      <c r="AN198" s="1"/>
    </row>
    <row r="199">
      <c r="A199" s="1" t="s">
        <v>4418</v>
      </c>
      <c r="B199" s="1" t="s">
        <v>4418</v>
      </c>
      <c r="C199" s="4">
        <v>44608.816342592596</v>
      </c>
      <c r="D199" s="5">
        <v>1.645040132E9</v>
      </c>
      <c r="E199" s="7" t="s">
        <v>4419</v>
      </c>
      <c r="F199" s="1" t="s">
        <v>4421</v>
      </c>
      <c r="G199" s="1" t="s">
        <v>4423</v>
      </c>
      <c r="H199" s="1" t="s">
        <v>4425</v>
      </c>
      <c r="I199" s="1" t="s">
        <v>4426</v>
      </c>
      <c r="J199" s="7" t="s">
        <v>4428</v>
      </c>
      <c r="K199" s="7" t="s">
        <v>4435</v>
      </c>
      <c r="L199" s="9" t="b">
        <v>0</v>
      </c>
      <c r="M199" s="1" t="s">
        <v>67</v>
      </c>
      <c r="N199" s="1" t="s">
        <v>64</v>
      </c>
      <c r="O199" s="1" t="s">
        <v>65</v>
      </c>
      <c r="P199" s="5">
        <v>0.0</v>
      </c>
      <c r="Q199" s="5">
        <v>0.0</v>
      </c>
      <c r="R199" s="5">
        <v>2.0</v>
      </c>
      <c r="S199" s="5">
        <v>0.0</v>
      </c>
      <c r="T199" s="1"/>
      <c r="U199" s="1" t="s">
        <v>65</v>
      </c>
      <c r="V199" s="1"/>
      <c r="W199" s="1" t="s">
        <v>65</v>
      </c>
      <c r="X199" s="1"/>
      <c r="Y199" s="1"/>
      <c r="Z199" s="1"/>
      <c r="AA199" s="1"/>
      <c r="AB199" s="1"/>
      <c r="AC199" s="1" t="s">
        <v>65</v>
      </c>
      <c r="AD199" s="1" t="s">
        <v>65</v>
      </c>
      <c r="AE199" s="1"/>
      <c r="AF199" s="1" t="s">
        <v>65</v>
      </c>
      <c r="AG199" s="1" t="s">
        <v>4443</v>
      </c>
      <c r="AH199" s="1"/>
      <c r="AI199" s="7" t="s">
        <v>4444</v>
      </c>
      <c r="AJ199" s="1"/>
      <c r="AK199" s="1"/>
      <c r="AL199" s="1"/>
      <c r="AM199" s="1"/>
      <c r="AN199" s="1"/>
    </row>
    <row r="200" hidden="1">
      <c r="A200" s="1" t="s">
        <v>4455</v>
      </c>
      <c r="B200" s="1" t="s">
        <v>4455</v>
      </c>
      <c r="C200" s="4">
        <v>44587.82335648148</v>
      </c>
      <c r="D200" s="5">
        <v>1.643226338E9</v>
      </c>
      <c r="E200" s="7" t="s">
        <v>4458</v>
      </c>
      <c r="F200" s="1" t="s">
        <v>4464</v>
      </c>
      <c r="G200" s="1" t="s">
        <v>4465</v>
      </c>
      <c r="H200" s="1" t="s">
        <v>4467</v>
      </c>
      <c r="I200" s="1" t="s">
        <v>4468</v>
      </c>
      <c r="J200" s="7" t="s">
        <v>4469</v>
      </c>
      <c r="K200" s="7" t="s">
        <v>4471</v>
      </c>
      <c r="L200" s="9" t="b">
        <v>0</v>
      </c>
      <c r="M200" s="1" t="s">
        <v>721</v>
      </c>
      <c r="N200" s="1" t="s">
        <v>4475</v>
      </c>
      <c r="O200" s="1" t="s">
        <v>65</v>
      </c>
      <c r="P200" s="5">
        <v>5.0</v>
      </c>
      <c r="Q200" s="5">
        <v>1.0</v>
      </c>
      <c r="R200" s="5">
        <v>14.0</v>
      </c>
      <c r="S200" s="5">
        <v>1.0</v>
      </c>
      <c r="T200" s="1"/>
      <c r="U200" s="1" t="s">
        <v>65</v>
      </c>
      <c r="V200" s="1"/>
      <c r="W200" s="1" t="s">
        <v>65</v>
      </c>
      <c r="X200" s="1"/>
      <c r="Y200" s="1"/>
      <c r="Z200" s="1"/>
      <c r="AA200" s="1"/>
      <c r="AB200" s="1"/>
      <c r="AC200" s="1" t="s">
        <v>65</v>
      </c>
      <c r="AD200" s="1" t="s">
        <v>65</v>
      </c>
      <c r="AE200" s="1"/>
      <c r="AF200" s="1" t="s">
        <v>65</v>
      </c>
      <c r="AG200" s="1" t="s">
        <v>4481</v>
      </c>
      <c r="AH200" s="1"/>
      <c r="AI200" s="7" t="s">
        <v>4482</v>
      </c>
      <c r="AJ200" s="1"/>
      <c r="AK200" s="1"/>
      <c r="AL200" s="1"/>
      <c r="AM200" s="1"/>
      <c r="AN200" s="1"/>
    </row>
    <row r="201" hidden="1">
      <c r="A201" s="1" t="s">
        <v>4485</v>
      </c>
      <c r="B201" s="1" t="s">
        <v>4485</v>
      </c>
      <c r="C201" s="4">
        <v>44587.5534375</v>
      </c>
      <c r="D201" s="5">
        <v>1.643203017E9</v>
      </c>
      <c r="E201" s="7" t="s">
        <v>4487</v>
      </c>
      <c r="F201" s="1" t="s">
        <v>4493</v>
      </c>
      <c r="G201" s="1" t="s">
        <v>4017</v>
      </c>
      <c r="H201" s="1" t="s">
        <v>4018</v>
      </c>
      <c r="I201" s="5">
        <v>2.9438265E7</v>
      </c>
      <c r="J201" s="7" t="s">
        <v>4020</v>
      </c>
      <c r="K201" s="7" t="s">
        <v>4030</v>
      </c>
      <c r="L201" s="9" t="b">
        <v>0</v>
      </c>
      <c r="M201" s="1" t="s">
        <v>66</v>
      </c>
      <c r="N201" s="1" t="s">
        <v>68</v>
      </c>
      <c r="O201" s="1" t="s">
        <v>65</v>
      </c>
      <c r="P201" s="5">
        <v>0.0</v>
      </c>
      <c r="Q201" s="5">
        <v>0.0</v>
      </c>
      <c r="R201" s="5">
        <v>0.0</v>
      </c>
      <c r="S201" s="5">
        <v>0.0</v>
      </c>
      <c r="T201" s="1"/>
      <c r="U201" s="1" t="s">
        <v>65</v>
      </c>
      <c r="V201" s="1"/>
      <c r="W201" s="1" t="s">
        <v>65</v>
      </c>
      <c r="X201" s="1"/>
      <c r="Y201" s="1"/>
      <c r="Z201" s="1"/>
      <c r="AA201" s="1"/>
      <c r="AB201" s="1"/>
      <c r="AC201" s="1" t="s">
        <v>65</v>
      </c>
      <c r="AD201" s="1" t="s">
        <v>65</v>
      </c>
      <c r="AE201" s="1"/>
      <c r="AF201" s="1" t="s">
        <v>65</v>
      </c>
      <c r="AG201" s="1" t="s">
        <v>4498</v>
      </c>
      <c r="AH201" s="7" t="s">
        <v>4499</v>
      </c>
      <c r="AI201" s="1"/>
      <c r="AJ201" s="1"/>
      <c r="AK201" s="1" t="s">
        <v>4017</v>
      </c>
      <c r="AL201" s="1" t="s">
        <v>4502</v>
      </c>
      <c r="AM201" s="1" t="s">
        <v>4503</v>
      </c>
      <c r="AN201" s="1"/>
    </row>
    <row r="202" hidden="1">
      <c r="A202" s="1" t="s">
        <v>4504</v>
      </c>
      <c r="B202" s="1" t="s">
        <v>4504</v>
      </c>
      <c r="C202" s="4">
        <v>44581.19496527778</v>
      </c>
      <c r="D202" s="5">
        <v>1.642653645E9</v>
      </c>
      <c r="E202" s="7" t="s">
        <v>4505</v>
      </c>
      <c r="F202" s="1" t="s">
        <v>4508</v>
      </c>
      <c r="G202" s="1" t="s">
        <v>4509</v>
      </c>
      <c r="H202" s="1" t="s">
        <v>4510</v>
      </c>
      <c r="I202" s="1" t="s">
        <v>4511</v>
      </c>
      <c r="J202" s="7" t="s">
        <v>4512</v>
      </c>
      <c r="K202" s="7" t="s">
        <v>4521</v>
      </c>
      <c r="L202" s="9" t="b">
        <v>0</v>
      </c>
      <c r="M202" s="1" t="s">
        <v>67</v>
      </c>
      <c r="N202" s="1" t="s">
        <v>68</v>
      </c>
      <c r="O202" s="1" t="s">
        <v>65</v>
      </c>
      <c r="P202" s="5">
        <v>0.0</v>
      </c>
      <c r="Q202" s="5">
        <v>0.0</v>
      </c>
      <c r="R202" s="5">
        <v>0.0</v>
      </c>
      <c r="S202" s="5">
        <v>0.0</v>
      </c>
      <c r="T202" s="1"/>
      <c r="U202" s="1" t="s">
        <v>65</v>
      </c>
      <c r="V202" s="1"/>
      <c r="W202" s="1" t="s">
        <v>65</v>
      </c>
      <c r="X202" s="1"/>
      <c r="Y202" s="1"/>
      <c r="Z202" s="1"/>
      <c r="AA202" s="1"/>
      <c r="AB202" s="1"/>
      <c r="AC202" s="1" t="s">
        <v>65</v>
      </c>
      <c r="AD202" s="1" t="s">
        <v>65</v>
      </c>
      <c r="AE202" s="1"/>
      <c r="AF202" s="1" t="s">
        <v>65</v>
      </c>
      <c r="AG202" s="1" t="s">
        <v>1967</v>
      </c>
      <c r="AH202" s="1"/>
      <c r="AI202" s="7" t="s">
        <v>4526</v>
      </c>
      <c r="AJ202" s="1"/>
      <c r="AK202" s="1"/>
      <c r="AL202" s="1"/>
      <c r="AM202" s="1"/>
      <c r="AN202" s="1"/>
    </row>
    <row r="203" hidden="1">
      <c r="A203" s="1" t="s">
        <v>4534</v>
      </c>
      <c r="B203" s="1" t="s">
        <v>4534</v>
      </c>
      <c r="C203" s="4">
        <v>44581.186736111114</v>
      </c>
      <c r="D203" s="5">
        <v>1.642652934E9</v>
      </c>
      <c r="E203" s="7" t="s">
        <v>4535</v>
      </c>
      <c r="F203" s="1" t="s">
        <v>4540</v>
      </c>
      <c r="G203" s="1" t="s">
        <v>4509</v>
      </c>
      <c r="H203" s="1" t="s">
        <v>4510</v>
      </c>
      <c r="I203" s="1" t="s">
        <v>4511</v>
      </c>
      <c r="J203" s="7" t="s">
        <v>4512</v>
      </c>
      <c r="K203" s="7" t="s">
        <v>4521</v>
      </c>
      <c r="L203" s="9" t="b">
        <v>0</v>
      </c>
      <c r="M203" s="1" t="s">
        <v>67</v>
      </c>
      <c r="N203" s="1" t="s">
        <v>824</v>
      </c>
      <c r="O203" s="1" t="s">
        <v>65</v>
      </c>
      <c r="P203" s="5">
        <v>0.0</v>
      </c>
      <c r="Q203" s="5">
        <v>0.0</v>
      </c>
      <c r="R203" s="5">
        <v>0.0</v>
      </c>
      <c r="S203" s="5">
        <v>0.0</v>
      </c>
      <c r="T203" s="1"/>
      <c r="U203" s="1" t="s">
        <v>65</v>
      </c>
      <c r="V203" s="1"/>
      <c r="W203" s="1" t="s">
        <v>65</v>
      </c>
      <c r="X203" s="1"/>
      <c r="Y203" s="1"/>
      <c r="Z203" s="1"/>
      <c r="AA203" s="1"/>
      <c r="AB203" s="1"/>
      <c r="AC203" s="1" t="s">
        <v>65</v>
      </c>
      <c r="AD203" s="1" t="s">
        <v>65</v>
      </c>
      <c r="AE203" s="1"/>
      <c r="AF203" s="1" t="s">
        <v>65</v>
      </c>
      <c r="AG203" s="1" t="s">
        <v>4545</v>
      </c>
      <c r="AH203" s="1"/>
      <c r="AI203" s="7" t="s">
        <v>4547</v>
      </c>
      <c r="AJ203" s="1"/>
      <c r="AK203" s="1"/>
      <c r="AL203" s="1"/>
      <c r="AM203" s="1"/>
      <c r="AN203" s="1"/>
    </row>
    <row r="204" hidden="1">
      <c r="A204" s="1" t="s">
        <v>4551</v>
      </c>
      <c r="B204" s="1" t="s">
        <v>4551</v>
      </c>
      <c r="C204" s="4">
        <v>44580.72356481481</v>
      </c>
      <c r="D204" s="5">
        <v>1.642612916E9</v>
      </c>
      <c r="E204" s="7" t="s">
        <v>4553</v>
      </c>
      <c r="F204" s="1" t="s">
        <v>4558</v>
      </c>
      <c r="G204" s="1" t="s">
        <v>4017</v>
      </c>
      <c r="H204" s="1" t="s">
        <v>4018</v>
      </c>
      <c r="I204" s="5">
        <v>2.9438265E7</v>
      </c>
      <c r="J204" s="7" t="s">
        <v>4020</v>
      </c>
      <c r="K204" s="7" t="s">
        <v>4030</v>
      </c>
      <c r="L204" s="9" t="b">
        <v>0</v>
      </c>
      <c r="M204" s="1" t="s">
        <v>66</v>
      </c>
      <c r="N204" s="1" t="s">
        <v>68</v>
      </c>
      <c r="O204" s="1" t="s">
        <v>65</v>
      </c>
      <c r="P204" s="5">
        <v>0.0</v>
      </c>
      <c r="Q204" s="5">
        <v>0.0</v>
      </c>
      <c r="R204" s="5">
        <v>0.0</v>
      </c>
      <c r="S204" s="5">
        <v>0.0</v>
      </c>
      <c r="T204" s="1"/>
      <c r="U204" s="1" t="s">
        <v>65</v>
      </c>
      <c r="V204" s="1"/>
      <c r="W204" s="1" t="s">
        <v>71</v>
      </c>
      <c r="X204" s="1" t="s">
        <v>4561</v>
      </c>
      <c r="Y204" s="1" t="s">
        <v>4562</v>
      </c>
      <c r="Z204" s="1" t="s">
        <v>4563</v>
      </c>
      <c r="AA204" s="1"/>
      <c r="AB204" s="7" t="s">
        <v>4564</v>
      </c>
      <c r="AC204" s="1" t="s">
        <v>65</v>
      </c>
      <c r="AD204" s="1" t="s">
        <v>65</v>
      </c>
      <c r="AE204" s="1"/>
      <c r="AF204" s="1" t="s">
        <v>65</v>
      </c>
      <c r="AG204" s="1" t="s">
        <v>4566</v>
      </c>
      <c r="AH204" s="1"/>
      <c r="AI204" s="1"/>
      <c r="AJ204" s="1"/>
      <c r="AK204" s="1"/>
      <c r="AL204" s="1" t="s">
        <v>4502</v>
      </c>
      <c r="AM204" s="1" t="s">
        <v>4503</v>
      </c>
      <c r="AN204" s="1"/>
    </row>
    <row r="205" hidden="1">
      <c r="A205" s="1" t="s">
        <v>4567</v>
      </c>
      <c r="B205" s="1" t="s">
        <v>4567</v>
      </c>
      <c r="C205" s="4">
        <v>44578.811215277776</v>
      </c>
      <c r="D205" s="5">
        <v>1.642447689E9</v>
      </c>
      <c r="E205" s="7" t="s">
        <v>4569</v>
      </c>
      <c r="F205" s="1" t="s">
        <v>4571</v>
      </c>
      <c r="G205" s="1" t="s">
        <v>4292</v>
      </c>
      <c r="H205" s="1" t="s">
        <v>4293</v>
      </c>
      <c r="I205" s="5">
        <v>3.6596327E7</v>
      </c>
      <c r="J205" s="7" t="s">
        <v>4296</v>
      </c>
      <c r="K205" s="7" t="s">
        <v>4309</v>
      </c>
      <c r="L205" s="9" t="b">
        <v>0</v>
      </c>
      <c r="M205" s="1" t="s">
        <v>2805</v>
      </c>
      <c r="N205" s="1" t="s">
        <v>68</v>
      </c>
      <c r="O205" s="1" t="s">
        <v>65</v>
      </c>
      <c r="P205" s="5">
        <v>0.0</v>
      </c>
      <c r="Q205" s="5">
        <v>0.0</v>
      </c>
      <c r="R205" s="5">
        <v>0.0</v>
      </c>
      <c r="S205" s="5">
        <v>0.0</v>
      </c>
      <c r="T205" s="1"/>
      <c r="U205" s="1" t="s">
        <v>65</v>
      </c>
      <c r="V205" s="1"/>
      <c r="W205" s="1" t="s">
        <v>65</v>
      </c>
      <c r="X205" s="1"/>
      <c r="Y205" s="1"/>
      <c r="Z205" s="1"/>
      <c r="AA205" s="1"/>
      <c r="AB205" s="1"/>
      <c r="AC205" s="1" t="s">
        <v>65</v>
      </c>
      <c r="AD205" s="1" t="s">
        <v>65</v>
      </c>
      <c r="AE205" s="1"/>
      <c r="AF205" s="1" t="s">
        <v>65</v>
      </c>
      <c r="AG205" s="1" t="s">
        <v>4576</v>
      </c>
      <c r="AH205" s="7" t="s">
        <v>4577</v>
      </c>
      <c r="AI205" s="1"/>
      <c r="AJ205" s="1"/>
      <c r="AK205" s="1"/>
      <c r="AL205" s="1" t="s">
        <v>4330</v>
      </c>
      <c r="AM205" s="1" t="s">
        <v>4331</v>
      </c>
      <c r="AN205" s="1"/>
    </row>
    <row r="206" hidden="1">
      <c r="A206" s="1" t="s">
        <v>4585</v>
      </c>
      <c r="B206" s="1" t="s">
        <v>4585</v>
      </c>
      <c r="C206" s="4">
        <v>44573.906805555554</v>
      </c>
      <c r="D206" s="5">
        <v>1.642023948E9</v>
      </c>
      <c r="E206" s="7" t="s">
        <v>4588</v>
      </c>
      <c r="F206" s="1" t="s">
        <v>4589</v>
      </c>
      <c r="G206" s="1" t="s">
        <v>4590</v>
      </c>
      <c r="H206" s="1" t="s">
        <v>4591</v>
      </c>
      <c r="I206" s="1" t="s">
        <v>4593</v>
      </c>
      <c r="J206" s="7" t="s">
        <v>4594</v>
      </c>
      <c r="K206" s="7" t="s">
        <v>4598</v>
      </c>
      <c r="L206" s="9" t="b">
        <v>0</v>
      </c>
      <c r="M206" s="1" t="s">
        <v>67</v>
      </c>
      <c r="N206" s="1" t="s">
        <v>68</v>
      </c>
      <c r="O206" s="1" t="s">
        <v>65</v>
      </c>
      <c r="P206" s="5">
        <v>0.0</v>
      </c>
      <c r="Q206" s="5">
        <v>0.0</v>
      </c>
      <c r="R206" s="5">
        <v>0.0</v>
      </c>
      <c r="S206" s="5">
        <v>0.0</v>
      </c>
      <c r="T206" s="1"/>
      <c r="U206" s="1" t="s">
        <v>65</v>
      </c>
      <c r="V206" s="1"/>
      <c r="W206" s="1" t="s">
        <v>65</v>
      </c>
      <c r="X206" s="1"/>
      <c r="Y206" s="1"/>
      <c r="Z206" s="1"/>
      <c r="AA206" s="1"/>
      <c r="AB206" s="1"/>
      <c r="AC206" s="1" t="s">
        <v>65</v>
      </c>
      <c r="AD206" s="1" t="s">
        <v>65</v>
      </c>
      <c r="AE206" s="1"/>
      <c r="AF206" s="1" t="s">
        <v>65</v>
      </c>
      <c r="AG206" s="1" t="s">
        <v>561</v>
      </c>
      <c r="AH206" s="1"/>
      <c r="AI206" s="1"/>
      <c r="AJ206" s="1"/>
      <c r="AK206" s="1"/>
      <c r="AL206" s="1"/>
      <c r="AM206" s="1"/>
      <c r="AN206" s="1"/>
    </row>
    <row r="207" hidden="1">
      <c r="A207" s="1" t="s">
        <v>4611</v>
      </c>
      <c r="B207" s="1" t="s">
        <v>4612</v>
      </c>
      <c r="C207" s="4">
        <v>44567.300532407404</v>
      </c>
      <c r="D207" s="5">
        <v>1.641453166E9</v>
      </c>
      <c r="E207" s="7" t="s">
        <v>4613</v>
      </c>
      <c r="F207" s="1" t="s">
        <v>4614</v>
      </c>
      <c r="G207" s="1" t="s">
        <v>4509</v>
      </c>
      <c r="H207" s="1" t="s">
        <v>4510</v>
      </c>
      <c r="I207" s="1" t="s">
        <v>4511</v>
      </c>
      <c r="J207" s="7" t="s">
        <v>4512</v>
      </c>
      <c r="K207" s="7" t="s">
        <v>4521</v>
      </c>
      <c r="L207" s="9" t="b">
        <v>0</v>
      </c>
      <c r="M207" s="1" t="s">
        <v>67</v>
      </c>
      <c r="N207" s="1" t="s">
        <v>68</v>
      </c>
      <c r="O207" s="1" t="s">
        <v>65</v>
      </c>
      <c r="P207" s="5">
        <v>0.0</v>
      </c>
      <c r="Q207" s="5">
        <v>0.0</v>
      </c>
      <c r="R207" s="5">
        <v>0.0</v>
      </c>
      <c r="S207" s="5">
        <v>0.0</v>
      </c>
      <c r="T207" s="1"/>
      <c r="U207" s="1" t="s">
        <v>65</v>
      </c>
      <c r="V207" s="1"/>
      <c r="W207" s="1" t="s">
        <v>65</v>
      </c>
      <c r="X207" s="1"/>
      <c r="Y207" s="1"/>
      <c r="Z207" s="1"/>
      <c r="AA207" s="1"/>
      <c r="AB207" s="1"/>
      <c r="AC207" s="1" t="s">
        <v>65</v>
      </c>
      <c r="AD207" s="1" t="s">
        <v>71</v>
      </c>
      <c r="AE207" s="1" t="s">
        <v>4509</v>
      </c>
      <c r="AF207" s="1" t="s">
        <v>65</v>
      </c>
      <c r="AG207" s="1" t="s">
        <v>4619</v>
      </c>
      <c r="AH207" s="1"/>
      <c r="AI207" s="1"/>
      <c r="AJ207" s="1"/>
      <c r="AK207" s="1"/>
      <c r="AL207" s="1"/>
      <c r="AM207" s="1"/>
      <c r="AN207" s="1"/>
    </row>
    <row r="208" hidden="1">
      <c r="A208" s="1" t="s">
        <v>4622</v>
      </c>
      <c r="B208" s="1" t="s">
        <v>4622</v>
      </c>
      <c r="C208" s="4">
        <v>44560.73289351852</v>
      </c>
      <c r="D208" s="5">
        <v>1.640885722E9</v>
      </c>
      <c r="E208" s="7" t="s">
        <v>4626</v>
      </c>
      <c r="F208" s="1" t="s">
        <v>4630</v>
      </c>
      <c r="G208" s="1" t="s">
        <v>4631</v>
      </c>
      <c r="H208" s="1" t="s">
        <v>4632</v>
      </c>
      <c r="I208" s="5">
        <v>3.9860881E7</v>
      </c>
      <c r="J208" s="7" t="s">
        <v>4634</v>
      </c>
      <c r="K208" s="1"/>
      <c r="L208" s="9" t="b">
        <v>0</v>
      </c>
      <c r="M208" s="1" t="s">
        <v>2805</v>
      </c>
      <c r="N208" s="1" t="s">
        <v>68</v>
      </c>
      <c r="O208" s="1" t="s">
        <v>65</v>
      </c>
      <c r="P208" s="5">
        <v>0.0</v>
      </c>
      <c r="Q208" s="5">
        <v>0.0</v>
      </c>
      <c r="R208" s="5">
        <v>0.0</v>
      </c>
      <c r="S208" s="5">
        <v>0.0</v>
      </c>
      <c r="T208" s="1"/>
      <c r="U208" s="1" t="s">
        <v>65</v>
      </c>
      <c r="V208" s="1"/>
      <c r="W208" s="1" t="s">
        <v>65</v>
      </c>
      <c r="X208" s="1"/>
      <c r="Y208" s="1"/>
      <c r="Z208" s="1"/>
      <c r="AA208" s="1"/>
      <c r="AB208" s="1"/>
      <c r="AC208" s="1" t="s">
        <v>65</v>
      </c>
      <c r="AD208" s="1" t="s">
        <v>65</v>
      </c>
      <c r="AE208" s="1"/>
      <c r="AF208" s="1" t="s">
        <v>65</v>
      </c>
      <c r="AG208" s="1" t="s">
        <v>4639</v>
      </c>
      <c r="AH208" s="7" t="s">
        <v>4641</v>
      </c>
      <c r="AI208" s="1"/>
      <c r="AJ208" s="1"/>
      <c r="AK208" s="1"/>
      <c r="AL208" s="1"/>
      <c r="AM208" s="1"/>
      <c r="AN208" s="1"/>
    </row>
    <row r="209" hidden="1">
      <c r="A209" s="1" t="s">
        <v>4647</v>
      </c>
      <c r="B209" s="1" t="s">
        <v>4647</v>
      </c>
      <c r="C209" s="4">
        <v>44560.73153935185</v>
      </c>
      <c r="D209" s="5">
        <v>1.640885605E9</v>
      </c>
      <c r="E209" s="7" t="s">
        <v>4649</v>
      </c>
      <c r="F209" s="1" t="s">
        <v>4656</v>
      </c>
      <c r="G209" s="1" t="s">
        <v>4631</v>
      </c>
      <c r="H209" s="1" t="s">
        <v>4632</v>
      </c>
      <c r="I209" s="5">
        <v>3.9860881E7</v>
      </c>
      <c r="J209" s="7" t="s">
        <v>4634</v>
      </c>
      <c r="K209" s="1"/>
      <c r="L209" s="9" t="b">
        <v>0</v>
      </c>
      <c r="M209" s="1" t="s">
        <v>2805</v>
      </c>
      <c r="N209" s="1" t="s">
        <v>68</v>
      </c>
      <c r="O209" s="1" t="s">
        <v>65</v>
      </c>
      <c r="P209" s="5">
        <v>0.0</v>
      </c>
      <c r="Q209" s="5">
        <v>0.0</v>
      </c>
      <c r="R209" s="5">
        <v>0.0</v>
      </c>
      <c r="S209" s="5">
        <v>0.0</v>
      </c>
      <c r="T209" s="1"/>
      <c r="U209" s="1" t="s">
        <v>65</v>
      </c>
      <c r="V209" s="1"/>
      <c r="W209" s="1" t="s">
        <v>65</v>
      </c>
      <c r="X209" s="1"/>
      <c r="Y209" s="1"/>
      <c r="Z209" s="1"/>
      <c r="AA209" s="1"/>
      <c r="AB209" s="1"/>
      <c r="AC209" s="1" t="s">
        <v>65</v>
      </c>
      <c r="AD209" s="1" t="s">
        <v>65</v>
      </c>
      <c r="AE209" s="1"/>
      <c r="AF209" s="1" t="s">
        <v>65</v>
      </c>
      <c r="AG209" s="1" t="s">
        <v>4639</v>
      </c>
      <c r="AH209" s="7" t="s">
        <v>4664</v>
      </c>
      <c r="AI209" s="1"/>
      <c r="AJ209" s="1"/>
      <c r="AK209" s="1"/>
      <c r="AL209" s="1"/>
      <c r="AM209" s="1"/>
      <c r="AN209" s="1"/>
    </row>
    <row r="210">
      <c r="A210" s="1" t="s">
        <v>4669</v>
      </c>
      <c r="B210" s="1" t="s">
        <v>4669</v>
      </c>
      <c r="C210" s="4">
        <v>44532.69244212963</v>
      </c>
      <c r="D210" s="5">
        <v>1.638463027E9</v>
      </c>
      <c r="E210" s="7" t="s">
        <v>4674</v>
      </c>
      <c r="F210" s="1" t="s">
        <v>4676</v>
      </c>
      <c r="G210" s="1" t="s">
        <v>3777</v>
      </c>
      <c r="H210" s="1" t="s">
        <v>3778</v>
      </c>
      <c r="I210" s="1" t="s">
        <v>3780</v>
      </c>
      <c r="J210" s="7" t="s">
        <v>3781</v>
      </c>
      <c r="K210" s="7" t="s">
        <v>3786</v>
      </c>
      <c r="L210" s="9" t="b">
        <v>0</v>
      </c>
      <c r="M210" s="1" t="s">
        <v>67</v>
      </c>
      <c r="N210" s="1" t="s">
        <v>64</v>
      </c>
      <c r="O210" s="1" t="s">
        <v>65</v>
      </c>
      <c r="P210" s="5">
        <v>0.0</v>
      </c>
      <c r="Q210" s="5">
        <v>0.0</v>
      </c>
      <c r="R210" s="5">
        <v>3.0</v>
      </c>
      <c r="S210" s="5">
        <v>0.0</v>
      </c>
      <c r="T210" s="1"/>
      <c r="U210" s="1" t="s">
        <v>65</v>
      </c>
      <c r="V210" s="1"/>
      <c r="W210" s="1" t="s">
        <v>65</v>
      </c>
      <c r="X210" s="1"/>
      <c r="Y210" s="1"/>
      <c r="Z210" s="1"/>
      <c r="AA210" s="1"/>
      <c r="AB210" s="1"/>
      <c r="AC210" s="1" t="s">
        <v>65</v>
      </c>
      <c r="AD210" s="1" t="s">
        <v>65</v>
      </c>
      <c r="AE210" s="1"/>
      <c r="AF210" s="1" t="s">
        <v>65</v>
      </c>
      <c r="AG210" s="1" t="s">
        <v>4681</v>
      </c>
      <c r="AH210" s="1"/>
      <c r="AI210" s="1"/>
      <c r="AJ210" s="1"/>
      <c r="AK210" s="1"/>
      <c r="AL210" s="1"/>
      <c r="AM210" s="1"/>
      <c r="AN210" s="1"/>
    </row>
    <row r="211">
      <c r="A211" s="1" t="s">
        <v>4682</v>
      </c>
      <c r="B211" s="1" t="s">
        <v>4682</v>
      </c>
      <c r="C211" s="4">
        <v>44521.50662037037</v>
      </c>
      <c r="D211" s="5">
        <v>1.637496572E9</v>
      </c>
      <c r="E211" s="7" t="s">
        <v>4683</v>
      </c>
      <c r="F211" s="1" t="s">
        <v>4692</v>
      </c>
      <c r="G211" s="1" t="s">
        <v>4693</v>
      </c>
      <c r="H211" s="1" t="s">
        <v>4694</v>
      </c>
      <c r="I211" s="5">
        <v>3.03479496E8</v>
      </c>
      <c r="J211" s="7" t="s">
        <v>4695</v>
      </c>
      <c r="K211" s="7" t="s">
        <v>4699</v>
      </c>
      <c r="L211" s="9" t="b">
        <v>0</v>
      </c>
      <c r="M211" s="1" t="s">
        <v>2805</v>
      </c>
      <c r="N211" s="1" t="s">
        <v>64</v>
      </c>
      <c r="O211" s="1" t="s">
        <v>65</v>
      </c>
      <c r="P211" s="5">
        <v>0.0</v>
      </c>
      <c r="Q211" s="5">
        <v>0.0</v>
      </c>
      <c r="R211" s="5">
        <v>0.0</v>
      </c>
      <c r="S211" s="5">
        <v>0.0</v>
      </c>
      <c r="T211" s="1"/>
      <c r="U211" s="1" t="s">
        <v>65</v>
      </c>
      <c r="V211" s="1"/>
      <c r="W211" s="1" t="s">
        <v>65</v>
      </c>
      <c r="X211" s="1"/>
      <c r="Y211" s="1"/>
      <c r="Z211" s="1"/>
      <c r="AA211" s="1"/>
      <c r="AB211" s="1"/>
      <c r="AC211" s="1" t="s">
        <v>65</v>
      </c>
      <c r="AD211" s="1" t="s">
        <v>65</v>
      </c>
      <c r="AE211" s="1"/>
      <c r="AF211" s="1" t="s">
        <v>65</v>
      </c>
      <c r="AG211" s="1" t="s">
        <v>4703</v>
      </c>
      <c r="AH211" s="7" t="s">
        <v>4704</v>
      </c>
      <c r="AI211" s="1"/>
      <c r="AJ211" s="1"/>
      <c r="AK211" s="1"/>
      <c r="AL211" s="1"/>
      <c r="AM211" s="1"/>
      <c r="AN211" s="1"/>
    </row>
    <row r="212">
      <c r="A212" s="1" t="s">
        <v>2247</v>
      </c>
      <c r="B212" s="1" t="s">
        <v>2247</v>
      </c>
      <c r="C212" s="4">
        <v>44518.81091435185</v>
      </c>
      <c r="D212" s="5">
        <v>1.637263663E9</v>
      </c>
      <c r="E212" s="7" t="s">
        <v>4714</v>
      </c>
      <c r="F212" s="1" t="s">
        <v>2249</v>
      </c>
      <c r="G212" s="1" t="s">
        <v>2248</v>
      </c>
      <c r="H212" s="1" t="s">
        <v>4716</v>
      </c>
      <c r="I212" s="1" t="s">
        <v>4718</v>
      </c>
      <c r="J212" s="7" t="s">
        <v>4720</v>
      </c>
      <c r="K212" s="7" t="s">
        <v>4727</v>
      </c>
      <c r="L212" s="9" t="b">
        <v>0</v>
      </c>
      <c r="M212" s="1" t="s">
        <v>85</v>
      </c>
      <c r="N212" s="1" t="s">
        <v>64</v>
      </c>
      <c r="O212" s="1" t="s">
        <v>65</v>
      </c>
      <c r="P212" s="5">
        <v>0.0</v>
      </c>
      <c r="Q212" s="5">
        <v>1.0</v>
      </c>
      <c r="R212" s="5">
        <v>5.0</v>
      </c>
      <c r="S212" s="5">
        <v>1.0</v>
      </c>
      <c r="T212" s="1"/>
      <c r="U212" s="1" t="s">
        <v>65</v>
      </c>
      <c r="V212" s="1"/>
      <c r="W212" s="1" t="s">
        <v>65</v>
      </c>
      <c r="X212" s="1"/>
      <c r="Y212" s="1"/>
      <c r="Z212" s="1"/>
      <c r="AA212" s="1"/>
      <c r="AB212" s="1"/>
      <c r="AC212" s="1" t="s">
        <v>65</v>
      </c>
      <c r="AD212" s="1" t="s">
        <v>65</v>
      </c>
      <c r="AE212" s="1"/>
      <c r="AF212" s="1" t="s">
        <v>65</v>
      </c>
      <c r="AG212" s="1" t="s">
        <v>4736</v>
      </c>
      <c r="AH212" s="1"/>
      <c r="AI212" s="1"/>
      <c r="AJ212" s="1"/>
      <c r="AK212" s="1"/>
      <c r="AL212" s="1"/>
      <c r="AM212" s="1"/>
      <c r="AN212" s="1"/>
    </row>
    <row r="213" hidden="1">
      <c r="A213" s="1" t="s">
        <v>4739</v>
      </c>
      <c r="B213" s="1" t="s">
        <v>4739</v>
      </c>
      <c r="C213" s="4">
        <v>44518.77914351852</v>
      </c>
      <c r="D213" s="5">
        <v>1.637260918E9</v>
      </c>
      <c r="E213" s="7" t="s">
        <v>4741</v>
      </c>
      <c r="F213" s="1" t="s">
        <v>4743</v>
      </c>
      <c r="G213" s="1" t="s">
        <v>4745</v>
      </c>
      <c r="H213" s="1" t="s">
        <v>4747</v>
      </c>
      <c r="I213" s="5">
        <v>1.4816652E8</v>
      </c>
      <c r="J213" s="7" t="s">
        <v>4750</v>
      </c>
      <c r="K213" s="7" t="s">
        <v>4755</v>
      </c>
      <c r="L213" s="9" t="b">
        <v>0</v>
      </c>
      <c r="M213" s="1" t="s">
        <v>66</v>
      </c>
      <c r="N213" s="1" t="s">
        <v>68</v>
      </c>
      <c r="O213" s="1" t="s">
        <v>65</v>
      </c>
      <c r="P213" s="5">
        <v>0.0</v>
      </c>
      <c r="Q213" s="5">
        <v>0.0</v>
      </c>
      <c r="R213" s="5">
        <v>1.0</v>
      </c>
      <c r="S213" s="5">
        <v>0.0</v>
      </c>
      <c r="T213" s="1"/>
      <c r="U213" s="1" t="s">
        <v>65</v>
      </c>
      <c r="V213" s="1"/>
      <c r="W213" s="1" t="s">
        <v>65</v>
      </c>
      <c r="X213" s="1"/>
      <c r="Y213" s="1"/>
      <c r="Z213" s="1"/>
      <c r="AA213" s="1"/>
      <c r="AB213" s="1"/>
      <c r="AC213" s="1" t="s">
        <v>65</v>
      </c>
      <c r="AD213" s="1" t="s">
        <v>65</v>
      </c>
      <c r="AE213" s="1"/>
      <c r="AF213" s="1" t="s">
        <v>65</v>
      </c>
      <c r="AG213" s="1" t="s">
        <v>4764</v>
      </c>
      <c r="AH213" s="1"/>
      <c r="AI213" s="7" t="s">
        <v>4765</v>
      </c>
      <c r="AJ213" s="1"/>
      <c r="AK213" s="1"/>
      <c r="AL213" s="1"/>
      <c r="AM213" s="1"/>
      <c r="AN213" s="1"/>
    </row>
    <row r="214" hidden="1">
      <c r="A214" s="1" t="s">
        <v>4770</v>
      </c>
      <c r="B214" s="1" t="s">
        <v>4770</v>
      </c>
      <c r="C214" s="4">
        <v>44517.92422453704</v>
      </c>
      <c r="D214" s="5">
        <v>1.637187053E9</v>
      </c>
      <c r="E214" s="7" t="s">
        <v>4772</v>
      </c>
      <c r="F214" s="1" t="s">
        <v>4776</v>
      </c>
      <c r="G214" s="1" t="s">
        <v>4778</v>
      </c>
      <c r="H214" s="1" t="s">
        <v>4779</v>
      </c>
      <c r="I214" s="5">
        <v>8.5579025E7</v>
      </c>
      <c r="J214" s="7" t="s">
        <v>4780</v>
      </c>
      <c r="K214" s="7" t="s">
        <v>4783</v>
      </c>
      <c r="L214" s="9" t="b">
        <v>0</v>
      </c>
      <c r="M214" s="1" t="s">
        <v>2805</v>
      </c>
      <c r="N214" s="1" t="s">
        <v>68</v>
      </c>
      <c r="O214" s="1" t="s">
        <v>65</v>
      </c>
      <c r="P214" s="5">
        <v>0.0</v>
      </c>
      <c r="Q214" s="5">
        <v>0.0</v>
      </c>
      <c r="R214" s="5">
        <v>0.0</v>
      </c>
      <c r="S214" s="5">
        <v>0.0</v>
      </c>
      <c r="T214" s="1"/>
      <c r="U214" s="1" t="s">
        <v>65</v>
      </c>
      <c r="V214" s="1"/>
      <c r="W214" s="1" t="s">
        <v>65</v>
      </c>
      <c r="X214" s="1"/>
      <c r="Y214" s="1"/>
      <c r="Z214" s="1"/>
      <c r="AA214" s="1"/>
      <c r="AB214" s="1"/>
      <c r="AC214" s="1" t="s">
        <v>65</v>
      </c>
      <c r="AD214" s="1" t="s">
        <v>65</v>
      </c>
      <c r="AE214" s="1"/>
      <c r="AF214" s="1" t="s">
        <v>65</v>
      </c>
      <c r="AG214" s="1" t="s">
        <v>4796</v>
      </c>
      <c r="AH214" s="7" t="s">
        <v>4798</v>
      </c>
      <c r="AI214" s="1"/>
      <c r="AJ214" s="1"/>
      <c r="AK214" s="1"/>
      <c r="AL214" s="1"/>
      <c r="AM214" s="1"/>
      <c r="AN214" s="1"/>
    </row>
    <row r="215">
      <c r="A215" s="1" t="s">
        <v>4801</v>
      </c>
      <c r="B215" s="1" t="s">
        <v>4801</v>
      </c>
      <c r="C215" s="4">
        <v>44511.744108796294</v>
      </c>
      <c r="D215" s="5">
        <v>1.636653091E9</v>
      </c>
      <c r="E215" s="7" t="s">
        <v>4804</v>
      </c>
      <c r="F215" s="1" t="s">
        <v>4807</v>
      </c>
      <c r="G215" s="1" t="s">
        <v>4465</v>
      </c>
      <c r="H215" s="1" t="s">
        <v>4467</v>
      </c>
      <c r="I215" s="1" t="s">
        <v>4468</v>
      </c>
      <c r="J215" s="7" t="s">
        <v>4469</v>
      </c>
      <c r="K215" s="7" t="s">
        <v>4471</v>
      </c>
      <c r="L215" s="9" t="b">
        <v>0</v>
      </c>
      <c r="M215" s="1" t="s">
        <v>66</v>
      </c>
      <c r="N215" s="1" t="s">
        <v>64</v>
      </c>
      <c r="O215" s="1" t="s">
        <v>65</v>
      </c>
      <c r="P215" s="5">
        <v>0.0</v>
      </c>
      <c r="Q215" s="5">
        <v>0.0</v>
      </c>
      <c r="R215" s="5">
        <v>0.0</v>
      </c>
      <c r="S215" s="5">
        <v>0.0</v>
      </c>
      <c r="T215" s="1"/>
      <c r="U215" s="1" t="s">
        <v>65</v>
      </c>
      <c r="V215" s="1"/>
      <c r="W215" s="1" t="s">
        <v>71</v>
      </c>
      <c r="X215" s="1" t="s">
        <v>4815</v>
      </c>
      <c r="Y215" s="1" t="s">
        <v>4816</v>
      </c>
      <c r="Z215" s="1" t="s">
        <v>4817</v>
      </c>
      <c r="AA215" s="7" t="s">
        <v>4818</v>
      </c>
      <c r="AB215" s="1"/>
      <c r="AC215" s="1" t="s">
        <v>65</v>
      </c>
      <c r="AD215" s="1" t="s">
        <v>65</v>
      </c>
      <c r="AE215" s="1"/>
      <c r="AF215" s="1" t="s">
        <v>65</v>
      </c>
      <c r="AG215" s="1" t="s">
        <v>4825</v>
      </c>
      <c r="AH215" s="1"/>
      <c r="AI215" s="1"/>
      <c r="AJ215" s="1"/>
      <c r="AK215" s="1"/>
      <c r="AL215" s="1"/>
      <c r="AM215" s="1"/>
      <c r="AN215" s="1"/>
    </row>
    <row r="216" hidden="1">
      <c r="A216" s="1" t="s">
        <v>4826</v>
      </c>
      <c r="B216" s="1" t="s">
        <v>4826</v>
      </c>
      <c r="C216" s="4">
        <v>44496.03313657407</v>
      </c>
      <c r="D216" s="5">
        <v>1.635295663E9</v>
      </c>
      <c r="E216" s="7" t="s">
        <v>4830</v>
      </c>
      <c r="F216" s="1" t="s">
        <v>4835</v>
      </c>
      <c r="G216" s="1" t="s">
        <v>4836</v>
      </c>
      <c r="H216" s="1" t="s">
        <v>4837</v>
      </c>
      <c r="I216" s="1" t="s">
        <v>4838</v>
      </c>
      <c r="J216" s="7" t="s">
        <v>4839</v>
      </c>
      <c r="K216" s="7" t="s">
        <v>4844</v>
      </c>
      <c r="L216" s="9" t="b">
        <v>0</v>
      </c>
      <c r="M216" s="1" t="s">
        <v>85</v>
      </c>
      <c r="N216" s="1" t="s">
        <v>68</v>
      </c>
      <c r="O216" s="1" t="s">
        <v>65</v>
      </c>
      <c r="P216" s="5">
        <v>0.0</v>
      </c>
      <c r="Q216" s="5">
        <v>0.0</v>
      </c>
      <c r="R216" s="5">
        <v>1.0</v>
      </c>
      <c r="S216" s="5">
        <v>0.0</v>
      </c>
      <c r="T216" s="1"/>
      <c r="U216" s="1" t="s">
        <v>65</v>
      </c>
      <c r="V216" s="1"/>
      <c r="W216" s="1" t="s">
        <v>65</v>
      </c>
      <c r="X216" s="1"/>
      <c r="Y216" s="1"/>
      <c r="Z216" s="1"/>
      <c r="AA216" s="1"/>
      <c r="AB216" s="1"/>
      <c r="AC216" s="1" t="s">
        <v>65</v>
      </c>
      <c r="AD216" s="1" t="s">
        <v>65</v>
      </c>
      <c r="AE216" s="1"/>
      <c r="AF216" s="1" t="s">
        <v>65</v>
      </c>
      <c r="AG216" s="1" t="s">
        <v>561</v>
      </c>
      <c r="AH216" s="1"/>
      <c r="AI216" s="1"/>
      <c r="AJ216" s="1"/>
      <c r="AK216" s="1"/>
      <c r="AL216" s="1"/>
      <c r="AM216" s="1"/>
      <c r="AN216" s="1"/>
    </row>
    <row r="217" hidden="1">
      <c r="A217" s="1" t="s">
        <v>4855</v>
      </c>
      <c r="B217" s="1" t="s">
        <v>4855</v>
      </c>
      <c r="C217" s="4">
        <v>44493.231828703705</v>
      </c>
      <c r="D217" s="5">
        <v>1.63505363E9</v>
      </c>
      <c r="E217" s="7" t="s">
        <v>4856</v>
      </c>
      <c r="F217" s="1" t="s">
        <v>4860</v>
      </c>
      <c r="G217" s="1" t="s">
        <v>4861</v>
      </c>
      <c r="H217" s="1" t="s">
        <v>4863</v>
      </c>
      <c r="I217" s="1" t="s">
        <v>4864</v>
      </c>
      <c r="J217" s="7" t="s">
        <v>4865</v>
      </c>
      <c r="K217" s="7" t="s">
        <v>4870</v>
      </c>
      <c r="L217" s="9" t="b">
        <v>0</v>
      </c>
      <c r="M217" s="1" t="s">
        <v>2805</v>
      </c>
      <c r="N217" s="1" t="s">
        <v>824</v>
      </c>
      <c r="O217" s="1" t="s">
        <v>65</v>
      </c>
      <c r="P217" s="5">
        <v>0.0</v>
      </c>
      <c r="Q217" s="5">
        <v>0.0</v>
      </c>
      <c r="R217" s="5">
        <v>0.0</v>
      </c>
      <c r="S217" s="5">
        <v>0.0</v>
      </c>
      <c r="T217" s="1"/>
      <c r="U217" s="1" t="s">
        <v>65</v>
      </c>
      <c r="V217" s="1"/>
      <c r="W217" s="1" t="s">
        <v>65</v>
      </c>
      <c r="X217" s="1"/>
      <c r="Y217" s="1"/>
      <c r="Z217" s="1"/>
      <c r="AA217" s="1"/>
      <c r="AB217" s="1"/>
      <c r="AC217" s="1" t="s">
        <v>65</v>
      </c>
      <c r="AD217" s="1" t="s">
        <v>65</v>
      </c>
      <c r="AE217" s="1"/>
      <c r="AF217" s="1" t="s">
        <v>65</v>
      </c>
      <c r="AG217" s="1" t="s">
        <v>561</v>
      </c>
      <c r="AH217" s="7" t="s">
        <v>4873</v>
      </c>
      <c r="AI217" s="1"/>
      <c r="AJ217" s="1"/>
      <c r="AK217" s="1"/>
      <c r="AL217" s="1"/>
      <c r="AM217" s="1"/>
      <c r="AN217" s="1"/>
    </row>
    <row r="218" hidden="1">
      <c r="A218" s="1" t="s">
        <v>4880</v>
      </c>
      <c r="B218" s="1" t="s">
        <v>4880</v>
      </c>
      <c r="C218" s="4">
        <v>44491.811875</v>
      </c>
      <c r="D218" s="5">
        <v>1.634930946E9</v>
      </c>
      <c r="E218" s="7" t="s">
        <v>4881</v>
      </c>
      <c r="F218" s="1" t="s">
        <v>4195</v>
      </c>
      <c r="G218" s="1" t="s">
        <v>4072</v>
      </c>
      <c r="H218" s="1" t="s">
        <v>4074</v>
      </c>
      <c r="I218" s="1" t="s">
        <v>4076</v>
      </c>
      <c r="J218" s="7" t="s">
        <v>4078</v>
      </c>
      <c r="K218" s="7" t="s">
        <v>4086</v>
      </c>
      <c r="L218" s="9" t="b">
        <v>0</v>
      </c>
      <c r="M218" s="1" t="s">
        <v>67</v>
      </c>
      <c r="N218" s="1" t="s">
        <v>2138</v>
      </c>
      <c r="O218" s="1" t="s">
        <v>65</v>
      </c>
      <c r="P218" s="5">
        <v>0.0</v>
      </c>
      <c r="Q218" s="5">
        <v>0.0</v>
      </c>
      <c r="R218" s="5">
        <v>0.0</v>
      </c>
      <c r="S218" s="5">
        <v>0.0</v>
      </c>
      <c r="T218" s="1"/>
      <c r="U218" s="1" t="s">
        <v>65</v>
      </c>
      <c r="V218" s="1"/>
      <c r="W218" s="1" t="s">
        <v>71</v>
      </c>
      <c r="X218" s="1" t="s">
        <v>4890</v>
      </c>
      <c r="Y218" s="1" t="s">
        <v>4891</v>
      </c>
      <c r="Z218" s="1" t="s">
        <v>4892</v>
      </c>
      <c r="AA218" s="1"/>
      <c r="AB218" s="1"/>
      <c r="AC218" s="1" t="s">
        <v>65</v>
      </c>
      <c r="AD218" s="1" t="s">
        <v>65</v>
      </c>
      <c r="AE218" s="1"/>
      <c r="AF218" s="1" t="s">
        <v>65</v>
      </c>
      <c r="AG218" s="1" t="s">
        <v>472</v>
      </c>
      <c r="AH218" s="1"/>
      <c r="AI218" s="1"/>
      <c r="AJ218" s="1"/>
      <c r="AK218" s="1"/>
      <c r="AL218" s="1"/>
      <c r="AM218" s="1"/>
      <c r="AN218" s="1"/>
    </row>
    <row r="219" hidden="1">
      <c r="A219" s="1" t="s">
        <v>4894</v>
      </c>
      <c r="B219" s="1" t="s">
        <v>4894</v>
      </c>
      <c r="C219" s="4">
        <v>44486.081666666665</v>
      </c>
      <c r="D219" s="5">
        <v>1.634435856E9</v>
      </c>
      <c r="E219" s="7" t="s">
        <v>4895</v>
      </c>
      <c r="F219" s="1" t="s">
        <v>4897</v>
      </c>
      <c r="G219" s="1" t="s">
        <v>4898</v>
      </c>
      <c r="H219" s="1" t="s">
        <v>4899</v>
      </c>
      <c r="I219" s="5">
        <v>2.06729257E8</v>
      </c>
      <c r="J219" s="7" t="s">
        <v>4900</v>
      </c>
      <c r="K219" s="7" t="s">
        <v>4902</v>
      </c>
      <c r="L219" s="9" t="b">
        <v>0</v>
      </c>
      <c r="M219" s="1" t="s">
        <v>67</v>
      </c>
      <c r="N219" s="1" t="s">
        <v>68</v>
      </c>
      <c r="O219" s="1" t="s">
        <v>65</v>
      </c>
      <c r="P219" s="5">
        <v>0.0</v>
      </c>
      <c r="Q219" s="5">
        <v>0.0</v>
      </c>
      <c r="R219" s="5">
        <v>0.0</v>
      </c>
      <c r="S219" s="5">
        <v>0.0</v>
      </c>
      <c r="T219" s="1"/>
      <c r="U219" s="1" t="s">
        <v>65</v>
      </c>
      <c r="V219" s="1"/>
      <c r="W219" s="1" t="s">
        <v>65</v>
      </c>
      <c r="X219" s="1"/>
      <c r="Y219" s="1"/>
      <c r="Z219" s="1"/>
      <c r="AA219" s="1"/>
      <c r="AB219" s="1"/>
      <c r="AC219" s="1" t="s">
        <v>65</v>
      </c>
      <c r="AD219" s="1" t="s">
        <v>65</v>
      </c>
      <c r="AE219" s="1"/>
      <c r="AF219" s="1" t="s">
        <v>65</v>
      </c>
      <c r="AG219" s="1" t="s">
        <v>4909</v>
      </c>
      <c r="AH219" s="1"/>
      <c r="AI219" s="1"/>
      <c r="AJ219" s="1"/>
      <c r="AK219" s="1"/>
      <c r="AL219" s="1"/>
      <c r="AM219" s="1"/>
      <c r="AN219" s="1"/>
    </row>
    <row r="220" hidden="1">
      <c r="A220" s="1" t="s">
        <v>4911</v>
      </c>
      <c r="B220" s="1" t="s">
        <v>4911</v>
      </c>
      <c r="C220" s="4">
        <v>44483.86040509259</v>
      </c>
      <c r="D220" s="5">
        <v>1.634243939E9</v>
      </c>
      <c r="E220" s="7" t="s">
        <v>4912</v>
      </c>
      <c r="F220" s="1" t="s">
        <v>4913</v>
      </c>
      <c r="G220" s="1" t="s">
        <v>4914</v>
      </c>
      <c r="H220" s="1" t="s">
        <v>4915</v>
      </c>
      <c r="I220" s="1" t="s">
        <v>4916</v>
      </c>
      <c r="J220" s="7" t="s">
        <v>4917</v>
      </c>
      <c r="K220" s="7" t="s">
        <v>4918</v>
      </c>
      <c r="L220" s="9" t="b">
        <v>0</v>
      </c>
      <c r="M220" s="1" t="s">
        <v>66</v>
      </c>
      <c r="N220" s="1" t="s">
        <v>68</v>
      </c>
      <c r="O220" s="1" t="s">
        <v>65</v>
      </c>
      <c r="P220" s="5">
        <v>1.0</v>
      </c>
      <c r="Q220" s="5">
        <v>0.0</v>
      </c>
      <c r="R220" s="5">
        <v>3.0</v>
      </c>
      <c r="S220" s="5">
        <v>0.0</v>
      </c>
      <c r="T220" s="1"/>
      <c r="U220" s="1" t="s">
        <v>65</v>
      </c>
      <c r="V220" s="1"/>
      <c r="W220" s="1" t="s">
        <v>65</v>
      </c>
      <c r="X220" s="1"/>
      <c r="Y220" s="1"/>
      <c r="Z220" s="1"/>
      <c r="AA220" s="1"/>
      <c r="AB220" s="1"/>
      <c r="AC220" s="1" t="s">
        <v>65</v>
      </c>
      <c r="AD220" s="1" t="s">
        <v>65</v>
      </c>
      <c r="AE220" s="1"/>
      <c r="AF220" s="1" t="s">
        <v>65</v>
      </c>
      <c r="AG220" s="1" t="s">
        <v>1967</v>
      </c>
      <c r="AH220" s="1"/>
      <c r="AI220" s="1"/>
      <c r="AJ220" s="1"/>
      <c r="AK220" s="1"/>
      <c r="AL220" s="1"/>
      <c r="AM220" s="1"/>
      <c r="AN220" s="1"/>
    </row>
    <row r="221" hidden="1">
      <c r="A221" s="1" t="s">
        <v>4919</v>
      </c>
      <c r="B221" s="1" t="s">
        <v>4919</v>
      </c>
      <c r="C221" s="4">
        <v>44482.670625</v>
      </c>
      <c r="D221" s="5">
        <v>1.634141142E9</v>
      </c>
      <c r="E221" s="7" t="s">
        <v>4920</v>
      </c>
      <c r="F221" s="1" t="s">
        <v>4921</v>
      </c>
      <c r="G221" s="1" t="s">
        <v>4922</v>
      </c>
      <c r="H221" s="1" t="s">
        <v>4923</v>
      </c>
      <c r="I221" s="5">
        <v>2.9739738E7</v>
      </c>
      <c r="J221" s="7" t="s">
        <v>4924</v>
      </c>
      <c r="K221" s="7" t="s">
        <v>4926</v>
      </c>
      <c r="L221" s="9" t="b">
        <v>0</v>
      </c>
      <c r="M221" s="1" t="s">
        <v>85</v>
      </c>
      <c r="N221" s="1" t="s">
        <v>68</v>
      </c>
      <c r="O221" s="1" t="s">
        <v>65</v>
      </c>
      <c r="P221" s="5">
        <v>0.0</v>
      </c>
      <c r="Q221" s="5">
        <v>0.0</v>
      </c>
      <c r="R221" s="5">
        <v>9.0</v>
      </c>
      <c r="S221" s="5">
        <v>0.0</v>
      </c>
      <c r="T221" s="1"/>
      <c r="U221" s="1" t="s">
        <v>65</v>
      </c>
      <c r="V221" s="1"/>
      <c r="W221" s="1" t="s">
        <v>65</v>
      </c>
      <c r="X221" s="1"/>
      <c r="Y221" s="1"/>
      <c r="Z221" s="1"/>
      <c r="AA221" s="1"/>
      <c r="AB221" s="1"/>
      <c r="AC221" s="1" t="s">
        <v>65</v>
      </c>
      <c r="AD221" s="1" t="s">
        <v>65</v>
      </c>
      <c r="AE221" s="1"/>
      <c r="AF221" s="1" t="s">
        <v>65</v>
      </c>
      <c r="AG221" s="1" t="s">
        <v>4933</v>
      </c>
      <c r="AH221" s="1"/>
      <c r="AI221" s="1"/>
      <c r="AJ221" s="1"/>
      <c r="AK221" s="1"/>
      <c r="AL221" s="1"/>
      <c r="AM221" s="1"/>
      <c r="AN221" s="1"/>
    </row>
    <row r="222" hidden="1">
      <c r="A222" s="1" t="s">
        <v>4935</v>
      </c>
      <c r="B222" s="1" t="s">
        <v>4935</v>
      </c>
      <c r="C222" s="4">
        <v>44481.76085648148</v>
      </c>
      <c r="D222" s="5">
        <v>1.634062538E9</v>
      </c>
      <c r="E222" s="7" t="s">
        <v>4936</v>
      </c>
      <c r="F222" s="1" t="s">
        <v>4942</v>
      </c>
      <c r="G222" s="1" t="s">
        <v>4914</v>
      </c>
      <c r="H222" s="1" t="s">
        <v>4915</v>
      </c>
      <c r="I222" s="1" t="s">
        <v>4916</v>
      </c>
      <c r="J222" s="7" t="s">
        <v>4917</v>
      </c>
      <c r="K222" s="7" t="s">
        <v>4918</v>
      </c>
      <c r="L222" s="9" t="b">
        <v>0</v>
      </c>
      <c r="M222" s="1" t="s">
        <v>66</v>
      </c>
      <c r="N222" s="1" t="s">
        <v>68</v>
      </c>
      <c r="O222" s="1" t="s">
        <v>65</v>
      </c>
      <c r="P222" s="5">
        <v>0.0</v>
      </c>
      <c r="Q222" s="5">
        <v>0.0</v>
      </c>
      <c r="R222" s="5">
        <v>1.0</v>
      </c>
      <c r="S222" s="5">
        <v>0.0</v>
      </c>
      <c r="T222" s="1"/>
      <c r="U222" s="1" t="s">
        <v>65</v>
      </c>
      <c r="V222" s="1"/>
      <c r="W222" s="1" t="s">
        <v>65</v>
      </c>
      <c r="X222" s="1"/>
      <c r="Y222" s="1"/>
      <c r="Z222" s="1"/>
      <c r="AA222" s="1"/>
      <c r="AB222" s="1"/>
      <c r="AC222" s="1" t="s">
        <v>65</v>
      </c>
      <c r="AD222" s="1" t="s">
        <v>65</v>
      </c>
      <c r="AE222" s="1"/>
      <c r="AF222" s="1" t="s">
        <v>65</v>
      </c>
      <c r="AG222" s="1" t="s">
        <v>1967</v>
      </c>
      <c r="AH222" s="1"/>
      <c r="AI222" s="1"/>
      <c r="AJ222" s="1"/>
      <c r="AK222" s="1"/>
      <c r="AL222" s="1"/>
      <c r="AM222" s="1"/>
      <c r="AN222" s="1"/>
    </row>
    <row r="223" hidden="1">
      <c r="A223" s="1" t="s">
        <v>4944</v>
      </c>
      <c r="B223" s="1" t="s">
        <v>4944</v>
      </c>
      <c r="C223" s="4">
        <v>44476.698587962965</v>
      </c>
      <c r="D223" s="5">
        <v>1.633625158E9</v>
      </c>
      <c r="E223" s="7" t="s">
        <v>4945</v>
      </c>
      <c r="F223" s="1" t="s">
        <v>4948</v>
      </c>
      <c r="G223" s="1" t="s">
        <v>1510</v>
      </c>
      <c r="H223" s="1" t="s">
        <v>1511</v>
      </c>
      <c r="I223" s="1" t="s">
        <v>1513</v>
      </c>
      <c r="J223" s="7" t="s">
        <v>1514</v>
      </c>
      <c r="K223" s="7" t="s">
        <v>1519</v>
      </c>
      <c r="L223" s="9" t="b">
        <v>0</v>
      </c>
      <c r="M223" s="1" t="s">
        <v>85</v>
      </c>
      <c r="N223" s="1" t="s">
        <v>824</v>
      </c>
      <c r="O223" s="1" t="s">
        <v>65</v>
      </c>
      <c r="P223" s="5">
        <v>0.0</v>
      </c>
      <c r="Q223" s="5">
        <v>0.0</v>
      </c>
      <c r="R223" s="5">
        <v>0.0</v>
      </c>
      <c r="S223" s="5">
        <v>0.0</v>
      </c>
      <c r="T223" s="1"/>
      <c r="U223" s="1" t="s">
        <v>65</v>
      </c>
      <c r="V223" s="1"/>
      <c r="W223" s="1" t="s">
        <v>65</v>
      </c>
      <c r="X223" s="1"/>
      <c r="Y223" s="1"/>
      <c r="Z223" s="1"/>
      <c r="AA223" s="1"/>
      <c r="AB223" s="1"/>
      <c r="AC223" s="1" t="s">
        <v>65</v>
      </c>
      <c r="AD223" s="1" t="s">
        <v>65</v>
      </c>
      <c r="AE223" s="1"/>
      <c r="AF223" s="1" t="s">
        <v>65</v>
      </c>
      <c r="AG223" s="1" t="s">
        <v>4950</v>
      </c>
      <c r="AH223" s="1"/>
      <c r="AI223" s="7" t="s">
        <v>4951</v>
      </c>
      <c r="AJ223" s="1"/>
      <c r="AK223" s="1"/>
      <c r="AL223" s="1"/>
      <c r="AM223" s="1"/>
      <c r="AN223" s="1"/>
    </row>
    <row r="224" hidden="1">
      <c r="A224" s="1" t="s">
        <v>4954</v>
      </c>
      <c r="B224" s="1" t="s">
        <v>4954</v>
      </c>
      <c r="C224" s="4">
        <v>44468.86040509259</v>
      </c>
      <c r="D224" s="5">
        <v>1.632947939E9</v>
      </c>
      <c r="E224" s="7" t="s">
        <v>4955</v>
      </c>
      <c r="F224" s="1" t="s">
        <v>4957</v>
      </c>
      <c r="G224" s="1" t="s">
        <v>4958</v>
      </c>
      <c r="H224" s="1" t="s">
        <v>4959</v>
      </c>
      <c r="I224" s="5">
        <v>2.858700746E9</v>
      </c>
      <c r="J224" s="7" t="s">
        <v>4960</v>
      </c>
      <c r="K224" s="7" t="s">
        <v>4961</v>
      </c>
      <c r="L224" s="9" t="b">
        <v>0</v>
      </c>
      <c r="M224" s="1" t="s">
        <v>67</v>
      </c>
      <c r="N224" s="1" t="s">
        <v>68</v>
      </c>
      <c r="O224" s="1" t="s">
        <v>65</v>
      </c>
      <c r="P224" s="5">
        <v>0.0</v>
      </c>
      <c r="Q224" s="5">
        <v>0.0</v>
      </c>
      <c r="R224" s="5">
        <v>1.0</v>
      </c>
      <c r="S224" s="5">
        <v>0.0</v>
      </c>
      <c r="T224" s="1"/>
      <c r="U224" s="1" t="s">
        <v>65</v>
      </c>
      <c r="V224" s="1"/>
      <c r="W224" s="1" t="s">
        <v>65</v>
      </c>
      <c r="X224" s="1"/>
      <c r="Y224" s="1"/>
      <c r="Z224" s="1"/>
      <c r="AA224" s="1"/>
      <c r="AB224" s="1"/>
      <c r="AC224" s="1" t="s">
        <v>65</v>
      </c>
      <c r="AD224" s="1" t="s">
        <v>65</v>
      </c>
      <c r="AE224" s="1"/>
      <c r="AF224" s="1" t="s">
        <v>65</v>
      </c>
      <c r="AG224" s="1" t="s">
        <v>4972</v>
      </c>
      <c r="AH224" s="1"/>
      <c r="AI224" s="1"/>
      <c r="AJ224" s="1"/>
      <c r="AK224" s="1"/>
      <c r="AL224" s="1"/>
      <c r="AM224" s="1"/>
      <c r="AN224" s="1"/>
    </row>
    <row r="225">
      <c r="A225" s="1" t="s">
        <v>4973</v>
      </c>
      <c r="B225" s="1" t="s">
        <v>4973</v>
      </c>
      <c r="C225" s="4">
        <v>44464.76032407407</v>
      </c>
      <c r="D225" s="5">
        <v>1.632593692E9</v>
      </c>
      <c r="E225" s="7" t="s">
        <v>4974</v>
      </c>
      <c r="F225" s="1" t="s">
        <v>4977</v>
      </c>
      <c r="G225" s="1" t="s">
        <v>2816</v>
      </c>
      <c r="H225" s="1" t="s">
        <v>2817</v>
      </c>
      <c r="I225" s="1" t="s">
        <v>2818</v>
      </c>
      <c r="J225" s="7" t="s">
        <v>2820</v>
      </c>
      <c r="K225" s="7" t="s">
        <v>2825</v>
      </c>
      <c r="L225" s="9" t="b">
        <v>0</v>
      </c>
      <c r="M225" s="1" t="s">
        <v>67</v>
      </c>
      <c r="N225" s="1" t="s">
        <v>64</v>
      </c>
      <c r="O225" s="1" t="s">
        <v>65</v>
      </c>
      <c r="P225" s="5">
        <v>0.0</v>
      </c>
      <c r="Q225" s="5">
        <v>1.0</v>
      </c>
      <c r="R225" s="5">
        <v>1.0</v>
      </c>
      <c r="S225" s="5">
        <v>0.0</v>
      </c>
      <c r="T225" s="1"/>
      <c r="U225" s="1" t="s">
        <v>65</v>
      </c>
      <c r="V225" s="1"/>
      <c r="W225" s="1" t="s">
        <v>71</v>
      </c>
      <c r="X225" s="1" t="s">
        <v>4979</v>
      </c>
      <c r="Y225" s="1" t="s">
        <v>959</v>
      </c>
      <c r="Z225" s="1" t="s">
        <v>4981</v>
      </c>
      <c r="AA225" s="1"/>
      <c r="AB225" s="1"/>
      <c r="AC225" s="1" t="s">
        <v>65</v>
      </c>
      <c r="AD225" s="1" t="s">
        <v>65</v>
      </c>
      <c r="AE225" s="1"/>
      <c r="AF225" s="1" t="s">
        <v>65</v>
      </c>
      <c r="AG225" s="1" t="s">
        <v>4983</v>
      </c>
      <c r="AH225" s="1"/>
      <c r="AI225" s="1"/>
      <c r="AJ225" s="1"/>
      <c r="AK225" s="1"/>
      <c r="AL225" s="1" t="s">
        <v>2831</v>
      </c>
      <c r="AM225" s="1" t="s">
        <v>2832</v>
      </c>
      <c r="AN225" s="1"/>
    </row>
    <row r="226">
      <c r="A226" s="1" t="s">
        <v>4984</v>
      </c>
      <c r="B226" s="1" t="s">
        <v>4984</v>
      </c>
      <c r="C226" s="4">
        <v>44441.65305555556</v>
      </c>
      <c r="D226" s="5">
        <v>1.630597224E9</v>
      </c>
      <c r="E226" s="7" t="s">
        <v>4986</v>
      </c>
      <c r="F226" s="1" t="s">
        <v>4991</v>
      </c>
      <c r="G226" s="1" t="s">
        <v>1510</v>
      </c>
      <c r="H226" s="1" t="s">
        <v>1511</v>
      </c>
      <c r="I226" s="1" t="s">
        <v>1513</v>
      </c>
      <c r="J226" s="7" t="s">
        <v>1514</v>
      </c>
      <c r="K226" s="7" t="s">
        <v>1519</v>
      </c>
      <c r="L226" s="9" t="b">
        <v>0</v>
      </c>
      <c r="M226" s="1" t="s">
        <v>85</v>
      </c>
      <c r="N226" s="1" t="s">
        <v>64</v>
      </c>
      <c r="O226" s="1" t="s">
        <v>65</v>
      </c>
      <c r="P226" s="5">
        <v>1.0</v>
      </c>
      <c r="Q226" s="5">
        <v>1.0</v>
      </c>
      <c r="R226" s="5">
        <v>3.0</v>
      </c>
      <c r="S226" s="5">
        <v>0.0</v>
      </c>
      <c r="T226" s="1"/>
      <c r="U226" s="1" t="s">
        <v>65</v>
      </c>
      <c r="V226" s="1"/>
      <c r="W226" s="1" t="s">
        <v>65</v>
      </c>
      <c r="X226" s="1"/>
      <c r="Y226" s="1"/>
      <c r="Z226" s="1"/>
      <c r="AA226" s="1"/>
      <c r="AB226" s="1"/>
      <c r="AC226" s="1" t="s">
        <v>65</v>
      </c>
      <c r="AD226" s="1" t="s">
        <v>65</v>
      </c>
      <c r="AE226" s="1"/>
      <c r="AF226" s="1" t="s">
        <v>65</v>
      </c>
      <c r="AG226" s="1" t="s">
        <v>1967</v>
      </c>
      <c r="AH226" s="1"/>
      <c r="AI226" s="1"/>
      <c r="AJ226" s="1"/>
      <c r="AK226" s="1"/>
      <c r="AL226" s="1"/>
      <c r="AM226" s="1"/>
      <c r="AN226" s="1"/>
    </row>
    <row r="227">
      <c r="A227" s="1" t="s">
        <v>4995</v>
      </c>
      <c r="B227" s="1" t="s">
        <v>4995</v>
      </c>
      <c r="C227" s="4">
        <v>44427.591215277775</v>
      </c>
      <c r="D227" s="5">
        <v>1.629382281E9</v>
      </c>
      <c r="E227" s="7" t="s">
        <v>4996</v>
      </c>
      <c r="F227" s="1" t="s">
        <v>5001</v>
      </c>
      <c r="G227" s="1" t="s">
        <v>5002</v>
      </c>
      <c r="H227" s="1" t="s">
        <v>5002</v>
      </c>
      <c r="I227" s="1" t="s">
        <v>5003</v>
      </c>
      <c r="J227" s="7" t="s">
        <v>5004</v>
      </c>
      <c r="K227" s="7" t="s">
        <v>5006</v>
      </c>
      <c r="L227" s="9" t="b">
        <v>0</v>
      </c>
      <c r="M227" s="1" t="s">
        <v>67</v>
      </c>
      <c r="N227" s="1" t="s">
        <v>64</v>
      </c>
      <c r="O227" s="1" t="s">
        <v>65</v>
      </c>
      <c r="P227" s="5">
        <v>0.0</v>
      </c>
      <c r="Q227" s="5">
        <v>0.0</v>
      </c>
      <c r="R227" s="5">
        <v>0.0</v>
      </c>
      <c r="S227" s="5">
        <v>0.0</v>
      </c>
      <c r="T227" s="1"/>
      <c r="U227" s="1" t="s">
        <v>65</v>
      </c>
      <c r="V227" s="1"/>
      <c r="W227" s="1" t="s">
        <v>65</v>
      </c>
      <c r="X227" s="1"/>
      <c r="Y227" s="1"/>
      <c r="Z227" s="1"/>
      <c r="AA227" s="1"/>
      <c r="AB227" s="1"/>
      <c r="AC227" s="1" t="s">
        <v>65</v>
      </c>
      <c r="AD227" s="1" t="s">
        <v>65</v>
      </c>
      <c r="AE227" s="1"/>
      <c r="AF227" s="1" t="s">
        <v>65</v>
      </c>
      <c r="AG227" s="1" t="s">
        <v>5009</v>
      </c>
      <c r="AH227" s="1"/>
      <c r="AI227" s="1"/>
      <c r="AJ227" s="1"/>
      <c r="AK227" s="1"/>
      <c r="AL227" s="1"/>
      <c r="AM227" s="1"/>
      <c r="AN227" s="1"/>
    </row>
    <row r="228">
      <c r="A228" s="1" t="s">
        <v>5010</v>
      </c>
      <c r="B228" s="1" t="s">
        <v>5011</v>
      </c>
      <c r="C228" s="4">
        <v>44423.33835648148</v>
      </c>
      <c r="D228" s="5">
        <v>1.629014834E9</v>
      </c>
      <c r="E228" s="7" t="s">
        <v>5012</v>
      </c>
      <c r="F228" s="1" t="s">
        <v>5013</v>
      </c>
      <c r="G228" s="1" t="s">
        <v>5014</v>
      </c>
      <c r="H228" s="1" t="s">
        <v>5015</v>
      </c>
      <c r="I228" s="5">
        <v>9.93731562E8</v>
      </c>
      <c r="J228" s="7" t="s">
        <v>5017</v>
      </c>
      <c r="K228" s="7" t="s">
        <v>5028</v>
      </c>
      <c r="L228" s="9" t="b">
        <v>0</v>
      </c>
      <c r="M228" s="1" t="s">
        <v>85</v>
      </c>
      <c r="N228" s="1" t="s">
        <v>64</v>
      </c>
      <c r="O228" s="1" t="s">
        <v>65</v>
      </c>
      <c r="P228" s="5">
        <v>2.0</v>
      </c>
      <c r="Q228" s="5">
        <v>2.0</v>
      </c>
      <c r="R228" s="5">
        <v>9.0</v>
      </c>
      <c r="S228" s="5">
        <v>0.0</v>
      </c>
      <c r="T228" s="1"/>
      <c r="U228" s="1" t="s">
        <v>65</v>
      </c>
      <c r="V228" s="1"/>
      <c r="W228" s="1" t="s">
        <v>65</v>
      </c>
      <c r="X228" s="1"/>
      <c r="Y228" s="1"/>
      <c r="Z228" s="1"/>
      <c r="AA228" s="1"/>
      <c r="AB228" s="1"/>
      <c r="AC228" s="1" t="s">
        <v>65</v>
      </c>
      <c r="AD228" s="1" t="s">
        <v>71</v>
      </c>
      <c r="AE228" s="1" t="s">
        <v>5014</v>
      </c>
      <c r="AF228" s="1" t="s">
        <v>65</v>
      </c>
      <c r="AG228" s="1" t="s">
        <v>5034</v>
      </c>
      <c r="AH228" s="1"/>
      <c r="AI228" s="7" t="s">
        <v>5035</v>
      </c>
      <c r="AJ228" s="1"/>
      <c r="AK228" s="1" t="s">
        <v>5039</v>
      </c>
      <c r="AL228" s="1"/>
      <c r="AM228" s="1"/>
      <c r="AN228" s="1"/>
    </row>
    <row r="229">
      <c r="A229" s="1" t="s">
        <v>5040</v>
      </c>
      <c r="B229" s="1" t="s">
        <v>5040</v>
      </c>
      <c r="C229" s="4">
        <v>44421.74497685185</v>
      </c>
      <c r="D229" s="5">
        <v>1.628877166E9</v>
      </c>
      <c r="E229" s="7" t="s">
        <v>5046</v>
      </c>
      <c r="F229" s="1" t="s">
        <v>5047</v>
      </c>
      <c r="G229" s="1" t="s">
        <v>2816</v>
      </c>
      <c r="H229" s="1" t="s">
        <v>2817</v>
      </c>
      <c r="I229" s="1" t="s">
        <v>2818</v>
      </c>
      <c r="J229" s="7" t="s">
        <v>2820</v>
      </c>
      <c r="K229" s="7" t="s">
        <v>2825</v>
      </c>
      <c r="L229" s="9" t="b">
        <v>0</v>
      </c>
      <c r="M229" s="1" t="s">
        <v>66</v>
      </c>
      <c r="N229" s="1" t="s">
        <v>64</v>
      </c>
      <c r="O229" s="1" t="s">
        <v>65</v>
      </c>
      <c r="P229" s="5">
        <v>0.0</v>
      </c>
      <c r="Q229" s="5">
        <v>0.0</v>
      </c>
      <c r="R229" s="5">
        <v>0.0</v>
      </c>
      <c r="S229" s="5">
        <v>0.0</v>
      </c>
      <c r="T229" s="1"/>
      <c r="U229" s="1" t="s">
        <v>65</v>
      </c>
      <c r="V229" s="1"/>
      <c r="W229" s="1" t="s">
        <v>65</v>
      </c>
      <c r="X229" s="1"/>
      <c r="Y229" s="1"/>
      <c r="Z229" s="1"/>
      <c r="AA229" s="1"/>
      <c r="AB229" s="1"/>
      <c r="AC229" s="1" t="s">
        <v>65</v>
      </c>
      <c r="AD229" s="1" t="s">
        <v>65</v>
      </c>
      <c r="AE229" s="1"/>
      <c r="AF229" s="1" t="s">
        <v>65</v>
      </c>
      <c r="AG229" s="1" t="s">
        <v>5050</v>
      </c>
      <c r="AH229" s="7" t="s">
        <v>5052</v>
      </c>
      <c r="AI229" s="1"/>
      <c r="AJ229" s="1"/>
      <c r="AK229" s="1" t="s">
        <v>2295</v>
      </c>
      <c r="AL229" s="1"/>
      <c r="AM229" s="1"/>
      <c r="AN229" s="1"/>
    </row>
    <row r="230">
      <c r="A230" s="1" t="s">
        <v>5056</v>
      </c>
      <c r="B230" s="1" t="s">
        <v>5056</v>
      </c>
      <c r="C230" s="4">
        <v>44390.65960648148</v>
      </c>
      <c r="D230" s="5">
        <v>1.62619139E9</v>
      </c>
      <c r="E230" s="7" t="s">
        <v>5057</v>
      </c>
      <c r="F230" s="1" t="s">
        <v>5059</v>
      </c>
      <c r="G230" s="1" t="s">
        <v>5060</v>
      </c>
      <c r="H230" s="1" t="s">
        <v>5061</v>
      </c>
      <c r="I230" s="5">
        <v>3.82008617E8</v>
      </c>
      <c r="J230" s="7" t="s">
        <v>5062</v>
      </c>
      <c r="K230" s="7" t="s">
        <v>5063</v>
      </c>
      <c r="L230" s="9" t="b">
        <v>0</v>
      </c>
      <c r="M230" s="1" t="s">
        <v>66</v>
      </c>
      <c r="N230" s="1" t="s">
        <v>64</v>
      </c>
      <c r="O230" s="1" t="s">
        <v>65</v>
      </c>
      <c r="P230" s="5">
        <v>0.0</v>
      </c>
      <c r="Q230" s="5">
        <v>0.0</v>
      </c>
      <c r="R230" s="5">
        <v>0.0</v>
      </c>
      <c r="S230" s="5">
        <v>0.0</v>
      </c>
      <c r="T230" s="1"/>
      <c r="U230" s="1" t="s">
        <v>65</v>
      </c>
      <c r="V230" s="1"/>
      <c r="W230" s="1" t="s">
        <v>65</v>
      </c>
      <c r="X230" s="1"/>
      <c r="Y230" s="1"/>
      <c r="Z230" s="1"/>
      <c r="AA230" s="1"/>
      <c r="AB230" s="1"/>
      <c r="AC230" s="1" t="s">
        <v>65</v>
      </c>
      <c r="AD230" s="1" t="s">
        <v>65</v>
      </c>
      <c r="AE230" s="1"/>
      <c r="AF230" s="1" t="s">
        <v>65</v>
      </c>
      <c r="AG230" s="1" t="s">
        <v>5064</v>
      </c>
      <c r="AH230" s="1"/>
      <c r="AI230" s="7" t="s">
        <v>5065</v>
      </c>
      <c r="AJ230" s="1"/>
      <c r="AK230" s="1"/>
      <c r="AL230" s="1"/>
      <c r="AM230" s="1"/>
      <c r="AN230" s="1"/>
    </row>
    <row r="231" hidden="1">
      <c r="A231" s="1" t="s">
        <v>5066</v>
      </c>
      <c r="B231" s="1" t="s">
        <v>5066</v>
      </c>
      <c r="C231" s="4">
        <v>44390.626435185186</v>
      </c>
      <c r="D231" s="5">
        <v>1.626188524E9</v>
      </c>
      <c r="E231" s="7" t="s">
        <v>5067</v>
      </c>
      <c r="F231" s="1" t="s">
        <v>5070</v>
      </c>
      <c r="G231" s="1" t="s">
        <v>5071</v>
      </c>
      <c r="H231" s="1" t="s">
        <v>5072</v>
      </c>
      <c r="I231" s="5">
        <v>3.68864404E8</v>
      </c>
      <c r="J231" s="7" t="s">
        <v>5074</v>
      </c>
      <c r="K231" s="7" t="s">
        <v>5082</v>
      </c>
      <c r="L231" s="9" t="b">
        <v>0</v>
      </c>
      <c r="M231" s="1" t="s">
        <v>66</v>
      </c>
      <c r="N231" s="1" t="s">
        <v>824</v>
      </c>
      <c r="O231" s="1" t="s">
        <v>65</v>
      </c>
      <c r="P231" s="5">
        <v>0.0</v>
      </c>
      <c r="Q231" s="5">
        <v>0.0</v>
      </c>
      <c r="R231" s="5">
        <v>1.0</v>
      </c>
      <c r="S231" s="5">
        <v>0.0</v>
      </c>
      <c r="T231" s="1"/>
      <c r="U231" s="1" t="s">
        <v>65</v>
      </c>
      <c r="V231" s="1"/>
      <c r="W231" s="1" t="s">
        <v>65</v>
      </c>
      <c r="X231" s="1"/>
      <c r="Y231" s="1"/>
      <c r="Z231" s="1"/>
      <c r="AA231" s="1"/>
      <c r="AB231" s="1"/>
      <c r="AC231" s="1" t="s">
        <v>65</v>
      </c>
      <c r="AD231" s="1" t="s">
        <v>65</v>
      </c>
      <c r="AE231" s="1"/>
      <c r="AF231" s="1" t="s">
        <v>65</v>
      </c>
      <c r="AG231" s="1" t="s">
        <v>5090</v>
      </c>
      <c r="AH231" s="1"/>
      <c r="AI231" s="7" t="s">
        <v>5091</v>
      </c>
      <c r="AJ231" s="1"/>
      <c r="AK231" s="1"/>
      <c r="AL231" s="1"/>
      <c r="AM231" s="1"/>
      <c r="AN231" s="1"/>
    </row>
    <row r="232" hidden="1">
      <c r="A232" s="1" t="s">
        <v>5096</v>
      </c>
      <c r="B232" s="1" t="s">
        <v>5096</v>
      </c>
      <c r="C232" s="4">
        <v>44390.572546296295</v>
      </c>
      <c r="D232" s="5">
        <v>1.626183868E9</v>
      </c>
      <c r="E232" s="7" t="s">
        <v>5100</v>
      </c>
      <c r="F232" s="1" t="s">
        <v>5102</v>
      </c>
      <c r="G232" s="1" t="s">
        <v>5103</v>
      </c>
      <c r="H232" s="1" t="s">
        <v>5104</v>
      </c>
      <c r="I232" s="5">
        <v>3.114604301E9</v>
      </c>
      <c r="J232" s="7" t="s">
        <v>5105</v>
      </c>
      <c r="K232" s="7" t="s">
        <v>5108</v>
      </c>
      <c r="L232" s="9" t="b">
        <v>0</v>
      </c>
      <c r="M232" s="1" t="s">
        <v>66</v>
      </c>
      <c r="N232" s="1" t="s">
        <v>824</v>
      </c>
      <c r="O232" s="1" t="s">
        <v>65</v>
      </c>
      <c r="P232" s="5">
        <v>0.0</v>
      </c>
      <c r="Q232" s="5">
        <v>0.0</v>
      </c>
      <c r="R232" s="5">
        <v>2.0</v>
      </c>
      <c r="S232" s="5">
        <v>0.0</v>
      </c>
      <c r="T232" s="1"/>
      <c r="U232" s="1" t="s">
        <v>65</v>
      </c>
      <c r="V232" s="1"/>
      <c r="W232" s="1" t="s">
        <v>65</v>
      </c>
      <c r="X232" s="1"/>
      <c r="Y232" s="1"/>
      <c r="Z232" s="1"/>
      <c r="AA232" s="1"/>
      <c r="AB232" s="1"/>
      <c r="AC232" s="1" t="s">
        <v>65</v>
      </c>
      <c r="AD232" s="1" t="s">
        <v>65</v>
      </c>
      <c r="AE232" s="1"/>
      <c r="AF232" s="1" t="s">
        <v>65</v>
      </c>
      <c r="AG232" s="1" t="s">
        <v>5090</v>
      </c>
      <c r="AH232" s="1"/>
      <c r="AI232" s="7" t="s">
        <v>5114</v>
      </c>
      <c r="AJ232" s="1"/>
      <c r="AK232" s="1"/>
      <c r="AL232" s="1"/>
      <c r="AM232" s="1"/>
      <c r="AN232" s="1"/>
    </row>
    <row r="233" hidden="1">
      <c r="A233" s="1" t="s">
        <v>5116</v>
      </c>
      <c r="B233" s="1" t="s">
        <v>5116</v>
      </c>
      <c r="C233" s="4">
        <v>44372.52512731482</v>
      </c>
      <c r="D233" s="5">
        <v>1.624624571E9</v>
      </c>
      <c r="E233" s="7" t="s">
        <v>5117</v>
      </c>
      <c r="F233" s="1" t="s">
        <v>5118</v>
      </c>
      <c r="G233" s="1" t="s">
        <v>5119</v>
      </c>
      <c r="H233" s="1" t="s">
        <v>5120</v>
      </c>
      <c r="I233" s="5">
        <v>5.9464192E7</v>
      </c>
      <c r="J233" s="7" t="s">
        <v>5121</v>
      </c>
      <c r="K233" s="7" t="s">
        <v>5122</v>
      </c>
      <c r="L233" s="9" t="b">
        <v>0</v>
      </c>
      <c r="M233" s="1" t="s">
        <v>67</v>
      </c>
      <c r="N233" s="1" t="s">
        <v>68</v>
      </c>
      <c r="O233" s="1" t="s">
        <v>65</v>
      </c>
      <c r="P233" s="5">
        <v>0.0</v>
      </c>
      <c r="Q233" s="5">
        <v>0.0</v>
      </c>
      <c r="R233" s="5">
        <v>0.0</v>
      </c>
      <c r="S233" s="5">
        <v>0.0</v>
      </c>
      <c r="T233" s="1"/>
      <c r="U233" s="1" t="s">
        <v>65</v>
      </c>
      <c r="V233" s="1"/>
      <c r="W233" s="1" t="s">
        <v>65</v>
      </c>
      <c r="X233" s="1"/>
      <c r="Y233" s="1"/>
      <c r="Z233" s="1"/>
      <c r="AA233" s="1"/>
      <c r="AB233" s="1"/>
      <c r="AC233" s="1" t="s">
        <v>65</v>
      </c>
      <c r="AD233" s="1" t="s">
        <v>65</v>
      </c>
      <c r="AE233" s="1"/>
      <c r="AF233" s="1" t="s">
        <v>65</v>
      </c>
      <c r="AG233" s="1" t="s">
        <v>561</v>
      </c>
      <c r="AH233" s="1"/>
      <c r="AI233" s="1"/>
      <c r="AJ233" s="1"/>
      <c r="AK233" s="1"/>
      <c r="AL233" s="1"/>
      <c r="AM233" s="1"/>
      <c r="AN233" s="1"/>
    </row>
    <row r="234">
      <c r="A234" s="1" t="s">
        <v>5131</v>
      </c>
      <c r="B234" s="1" t="s">
        <v>5131</v>
      </c>
      <c r="C234" s="4">
        <v>44352.82984953704</v>
      </c>
      <c r="D234" s="5">
        <v>1.622922899E9</v>
      </c>
      <c r="E234" s="7" t="s">
        <v>5132</v>
      </c>
      <c r="F234" s="1" t="s">
        <v>5134</v>
      </c>
      <c r="G234" s="1" t="s">
        <v>5135</v>
      </c>
      <c r="H234" s="1" t="s">
        <v>5136</v>
      </c>
      <c r="I234" s="5">
        <v>2.31255389E8</v>
      </c>
      <c r="J234" s="7" t="s">
        <v>5137</v>
      </c>
      <c r="K234" s="7" t="s">
        <v>5142</v>
      </c>
      <c r="L234" s="9" t="b">
        <v>0</v>
      </c>
      <c r="M234" s="1" t="s">
        <v>67</v>
      </c>
      <c r="N234" s="1" t="s">
        <v>64</v>
      </c>
      <c r="O234" s="1" t="s">
        <v>65</v>
      </c>
      <c r="P234" s="5">
        <v>1.0</v>
      </c>
      <c r="Q234" s="5">
        <v>0.0</v>
      </c>
      <c r="R234" s="5">
        <v>1.0</v>
      </c>
      <c r="S234" s="5">
        <v>0.0</v>
      </c>
      <c r="T234" s="1"/>
      <c r="U234" s="1" t="s">
        <v>65</v>
      </c>
      <c r="V234" s="1"/>
      <c r="W234" s="1" t="s">
        <v>65</v>
      </c>
      <c r="X234" s="1"/>
      <c r="Y234" s="1"/>
      <c r="Z234" s="1"/>
      <c r="AA234" s="1"/>
      <c r="AB234" s="1"/>
      <c r="AC234" s="1" t="s">
        <v>65</v>
      </c>
      <c r="AD234" s="1" t="s">
        <v>65</v>
      </c>
      <c r="AE234" s="1"/>
      <c r="AF234" s="1" t="s">
        <v>65</v>
      </c>
      <c r="AG234" s="1" t="s">
        <v>5149</v>
      </c>
      <c r="AH234" s="1"/>
      <c r="AI234" s="7" t="s">
        <v>5150</v>
      </c>
      <c r="AJ234" s="1"/>
      <c r="AK234" s="1"/>
      <c r="AL234" s="1"/>
      <c r="AM234" s="1"/>
      <c r="AN234" s="1"/>
    </row>
    <row r="235" hidden="1">
      <c r="A235" s="1" t="s">
        <v>5161</v>
      </c>
      <c r="B235" s="1" t="s">
        <v>5161</v>
      </c>
      <c r="C235" s="4">
        <v>44344.63149305555</v>
      </c>
      <c r="D235" s="5">
        <v>1.622214561E9</v>
      </c>
      <c r="E235" s="7" t="s">
        <v>5162</v>
      </c>
      <c r="F235" s="1" t="s">
        <v>5165</v>
      </c>
      <c r="G235" s="1" t="s">
        <v>5166</v>
      </c>
      <c r="H235" s="1" t="s">
        <v>5167</v>
      </c>
      <c r="I235" s="5">
        <v>8.0196025E7</v>
      </c>
      <c r="J235" s="7" t="s">
        <v>5168</v>
      </c>
      <c r="K235" s="7" t="s">
        <v>5174</v>
      </c>
      <c r="L235" s="9" t="b">
        <v>0</v>
      </c>
      <c r="M235" s="1" t="s">
        <v>67</v>
      </c>
      <c r="N235" s="1" t="s">
        <v>68</v>
      </c>
      <c r="O235" s="1" t="s">
        <v>65</v>
      </c>
      <c r="P235" s="5">
        <v>0.0</v>
      </c>
      <c r="Q235" s="5">
        <v>0.0</v>
      </c>
      <c r="R235" s="5">
        <v>0.0</v>
      </c>
      <c r="S235" s="5">
        <v>0.0</v>
      </c>
      <c r="T235" s="1"/>
      <c r="U235" s="1" t="s">
        <v>65</v>
      </c>
      <c r="V235" s="1"/>
      <c r="W235" s="1" t="s">
        <v>65</v>
      </c>
      <c r="X235" s="1"/>
      <c r="Y235" s="1"/>
      <c r="Z235" s="1"/>
      <c r="AA235" s="1"/>
      <c r="AB235" s="1"/>
      <c r="AC235" s="1" t="s">
        <v>65</v>
      </c>
      <c r="AD235" s="1" t="s">
        <v>65</v>
      </c>
      <c r="AE235" s="1"/>
      <c r="AF235" s="1" t="s">
        <v>65</v>
      </c>
      <c r="AG235" s="1" t="s">
        <v>5183</v>
      </c>
      <c r="AH235" s="1"/>
      <c r="AI235" s="7" t="s">
        <v>5184</v>
      </c>
      <c r="AJ235" s="1"/>
      <c r="AK235" s="1"/>
      <c r="AL235" s="1" t="s">
        <v>5194</v>
      </c>
      <c r="AM235" s="1" t="s">
        <v>5195</v>
      </c>
      <c r="AN235" s="1"/>
    </row>
    <row r="236">
      <c r="A236" s="1" t="s">
        <v>5196</v>
      </c>
      <c r="B236" s="1" t="s">
        <v>5196</v>
      </c>
      <c r="C236" s="4">
        <v>44331.348287037035</v>
      </c>
      <c r="D236" s="5">
        <v>1.621066892E9</v>
      </c>
      <c r="E236" s="7" t="s">
        <v>5197</v>
      </c>
      <c r="F236" s="1" t="s">
        <v>5201</v>
      </c>
      <c r="G236" s="1" t="s">
        <v>959</v>
      </c>
      <c r="H236" s="1" t="s">
        <v>1712</v>
      </c>
      <c r="I236" s="5">
        <v>5.18324519E8</v>
      </c>
      <c r="J236" s="7" t="s">
        <v>1713</v>
      </c>
      <c r="K236" s="7" t="s">
        <v>1722</v>
      </c>
      <c r="L236" s="9" t="b">
        <v>0</v>
      </c>
      <c r="M236" s="1" t="s">
        <v>85</v>
      </c>
      <c r="N236" s="1" t="s">
        <v>64</v>
      </c>
      <c r="O236" s="1" t="s">
        <v>65</v>
      </c>
      <c r="P236" s="5">
        <v>2.0</v>
      </c>
      <c r="Q236" s="5">
        <v>1.0</v>
      </c>
      <c r="R236" s="5">
        <v>5.0</v>
      </c>
      <c r="S236" s="5">
        <v>0.0</v>
      </c>
      <c r="T236" s="1"/>
      <c r="U236" s="1" t="s">
        <v>65</v>
      </c>
      <c r="V236" s="1"/>
      <c r="W236" s="1" t="s">
        <v>65</v>
      </c>
      <c r="X236" s="1"/>
      <c r="Y236" s="1"/>
      <c r="Z236" s="1"/>
      <c r="AA236" s="1"/>
      <c r="AB236" s="1"/>
      <c r="AC236" s="1" t="s">
        <v>65</v>
      </c>
      <c r="AD236" s="1" t="s">
        <v>65</v>
      </c>
      <c r="AE236" s="1"/>
      <c r="AF236" s="1" t="s">
        <v>65</v>
      </c>
      <c r="AG236" s="1" t="s">
        <v>1967</v>
      </c>
      <c r="AH236" s="1"/>
      <c r="AI236" s="7" t="s">
        <v>5205</v>
      </c>
      <c r="AJ236" s="1"/>
      <c r="AK236" s="1"/>
      <c r="AL236" s="1"/>
      <c r="AM236" s="1"/>
      <c r="AN236" s="1"/>
    </row>
    <row r="237" hidden="1">
      <c r="A237" s="1" t="s">
        <v>5215</v>
      </c>
      <c r="B237" s="1" t="s">
        <v>5215</v>
      </c>
      <c r="C237" s="4">
        <v>44324.09469907408</v>
      </c>
      <c r="D237" s="5">
        <v>1.620440182E9</v>
      </c>
      <c r="E237" s="7" t="s">
        <v>5217</v>
      </c>
      <c r="F237" s="1" t="s">
        <v>5219</v>
      </c>
      <c r="G237" s="1" t="s">
        <v>5221</v>
      </c>
      <c r="H237" s="1" t="s">
        <v>5222</v>
      </c>
      <c r="I237" s="1" t="s">
        <v>5224</v>
      </c>
      <c r="J237" s="7" t="s">
        <v>5226</v>
      </c>
      <c r="K237" s="7" t="s">
        <v>5233</v>
      </c>
      <c r="L237" s="9" t="b">
        <v>0</v>
      </c>
      <c r="M237" s="1" t="s">
        <v>67</v>
      </c>
      <c r="N237" s="1" t="s">
        <v>824</v>
      </c>
      <c r="O237" s="1" t="s">
        <v>65</v>
      </c>
      <c r="P237" s="5">
        <v>0.0</v>
      </c>
      <c r="Q237" s="5">
        <v>0.0</v>
      </c>
      <c r="R237" s="5">
        <v>0.0</v>
      </c>
      <c r="S237" s="5">
        <v>0.0</v>
      </c>
      <c r="T237" s="1"/>
      <c r="U237" s="1" t="s">
        <v>65</v>
      </c>
      <c r="V237" s="1"/>
      <c r="W237" s="1" t="s">
        <v>65</v>
      </c>
      <c r="X237" s="1"/>
      <c r="Y237" s="1"/>
      <c r="Z237" s="1"/>
      <c r="AA237" s="1"/>
      <c r="AB237" s="1"/>
      <c r="AC237" s="1" t="s">
        <v>65</v>
      </c>
      <c r="AD237" s="1" t="s">
        <v>65</v>
      </c>
      <c r="AE237" s="1"/>
      <c r="AF237" s="1" t="s">
        <v>65</v>
      </c>
      <c r="AG237" s="1" t="s">
        <v>561</v>
      </c>
      <c r="AH237" s="1"/>
      <c r="AI237" s="7" t="s">
        <v>5242</v>
      </c>
      <c r="AJ237" s="1"/>
      <c r="AK237" s="1"/>
      <c r="AL237" s="1"/>
      <c r="AM237" s="1"/>
      <c r="AN237" s="1"/>
    </row>
    <row r="238" hidden="1">
      <c r="A238" s="1" t="s">
        <v>5251</v>
      </c>
      <c r="B238" s="1" t="s">
        <v>5251</v>
      </c>
      <c r="C238" s="4">
        <v>44314.49931712963</v>
      </c>
      <c r="D238" s="5">
        <v>1.619611141E9</v>
      </c>
      <c r="E238" s="7" t="s">
        <v>5255</v>
      </c>
      <c r="F238" s="1" t="s">
        <v>5257</v>
      </c>
      <c r="G238" s="1" t="s">
        <v>5119</v>
      </c>
      <c r="H238" s="1" t="s">
        <v>5120</v>
      </c>
      <c r="I238" s="5">
        <v>5.9464192E7</v>
      </c>
      <c r="J238" s="7" t="s">
        <v>5121</v>
      </c>
      <c r="K238" s="7" t="s">
        <v>5122</v>
      </c>
      <c r="L238" s="9" t="b">
        <v>0</v>
      </c>
      <c r="M238" s="1" t="s">
        <v>67</v>
      </c>
      <c r="N238" s="1" t="s">
        <v>68</v>
      </c>
      <c r="O238" s="1" t="s">
        <v>65</v>
      </c>
      <c r="P238" s="5">
        <v>0.0</v>
      </c>
      <c r="Q238" s="5">
        <v>0.0</v>
      </c>
      <c r="R238" s="5">
        <v>0.0</v>
      </c>
      <c r="S238" s="5">
        <v>0.0</v>
      </c>
      <c r="T238" s="1"/>
      <c r="U238" s="1" t="s">
        <v>65</v>
      </c>
      <c r="V238" s="1"/>
      <c r="W238" s="1" t="s">
        <v>65</v>
      </c>
      <c r="X238" s="1"/>
      <c r="Y238" s="1"/>
      <c r="Z238" s="1"/>
      <c r="AA238" s="1"/>
      <c r="AB238" s="1"/>
      <c r="AC238" s="1" t="s">
        <v>65</v>
      </c>
      <c r="AD238" s="1" t="s">
        <v>65</v>
      </c>
      <c r="AE238" s="1"/>
      <c r="AF238" s="1" t="s">
        <v>65</v>
      </c>
      <c r="AG238" s="1" t="s">
        <v>5258</v>
      </c>
      <c r="AH238" s="1"/>
      <c r="AI238" s="1"/>
      <c r="AJ238" s="1"/>
      <c r="AK238" s="1"/>
      <c r="AL238" s="1"/>
      <c r="AM238" s="1"/>
      <c r="AN238" s="1"/>
    </row>
    <row r="239" hidden="1">
      <c r="A239" s="1" t="s">
        <v>5259</v>
      </c>
      <c r="B239" s="1" t="s">
        <v>5259</v>
      </c>
      <c r="C239" s="4">
        <v>44292.68407407407</v>
      </c>
      <c r="D239" s="5">
        <v>1.617726304E9</v>
      </c>
      <c r="E239" s="7" t="s">
        <v>5260</v>
      </c>
      <c r="F239" s="1" t="s">
        <v>4195</v>
      </c>
      <c r="G239" s="1" t="s">
        <v>2657</v>
      </c>
      <c r="H239" s="1" t="s">
        <v>2658</v>
      </c>
      <c r="I239" s="1" t="s">
        <v>2659</v>
      </c>
      <c r="J239" s="7" t="s">
        <v>2660</v>
      </c>
      <c r="K239" s="7" t="s">
        <v>2666</v>
      </c>
      <c r="L239" s="9" t="b">
        <v>0</v>
      </c>
      <c r="M239" s="1" t="s">
        <v>67</v>
      </c>
      <c r="N239" s="1" t="s">
        <v>2138</v>
      </c>
      <c r="O239" s="1" t="s">
        <v>65</v>
      </c>
      <c r="P239" s="5">
        <v>0.0</v>
      </c>
      <c r="Q239" s="5">
        <v>0.0</v>
      </c>
      <c r="R239" s="5">
        <v>2.0</v>
      </c>
      <c r="S239" s="5">
        <v>0.0</v>
      </c>
      <c r="T239" s="1"/>
      <c r="U239" s="1" t="s">
        <v>65</v>
      </c>
      <c r="V239" s="1"/>
      <c r="W239" s="1" t="s">
        <v>71</v>
      </c>
      <c r="X239" s="1" t="s">
        <v>5263</v>
      </c>
      <c r="Y239" s="1" t="s">
        <v>959</v>
      </c>
      <c r="Z239" s="1" t="s">
        <v>5264</v>
      </c>
      <c r="AA239" s="7" t="s">
        <v>5265</v>
      </c>
      <c r="AB239" s="1"/>
      <c r="AC239" s="1" t="s">
        <v>65</v>
      </c>
      <c r="AD239" s="1" t="s">
        <v>65</v>
      </c>
      <c r="AE239" s="1"/>
      <c r="AF239" s="1" t="s">
        <v>65</v>
      </c>
      <c r="AG239" s="1" t="s">
        <v>472</v>
      </c>
      <c r="AH239" s="1"/>
      <c r="AI239" s="1"/>
      <c r="AJ239" s="1"/>
      <c r="AK239" s="1"/>
      <c r="AL239" s="1"/>
      <c r="AM239" s="1"/>
      <c r="AN239" s="1"/>
    </row>
    <row r="240">
      <c r="A240" s="1" t="s">
        <v>5271</v>
      </c>
      <c r="B240" s="1" t="s">
        <v>5271</v>
      </c>
      <c r="C240" s="4">
        <v>44271.48357638889</v>
      </c>
      <c r="D240" s="5">
        <v>1.615894581E9</v>
      </c>
      <c r="E240" s="7" t="s">
        <v>5273</v>
      </c>
      <c r="F240" s="1" t="s">
        <v>5277</v>
      </c>
      <c r="G240" s="1" t="s">
        <v>959</v>
      </c>
      <c r="H240" s="1" t="s">
        <v>1712</v>
      </c>
      <c r="I240" s="5">
        <v>5.18324519E8</v>
      </c>
      <c r="J240" s="7" t="s">
        <v>1713</v>
      </c>
      <c r="K240" s="7" t="s">
        <v>1722</v>
      </c>
      <c r="L240" s="9" t="b">
        <v>0</v>
      </c>
      <c r="M240" s="1" t="s">
        <v>66</v>
      </c>
      <c r="N240" s="1" t="s">
        <v>64</v>
      </c>
      <c r="O240" s="1" t="s">
        <v>65</v>
      </c>
      <c r="P240" s="5">
        <v>7.0</v>
      </c>
      <c r="Q240" s="5">
        <v>0.0</v>
      </c>
      <c r="R240" s="5">
        <v>13.0</v>
      </c>
      <c r="S240" s="5">
        <v>1.0</v>
      </c>
      <c r="T240" s="1"/>
      <c r="U240" s="1" t="s">
        <v>65</v>
      </c>
      <c r="V240" s="1"/>
      <c r="W240" s="1" t="s">
        <v>65</v>
      </c>
      <c r="X240" s="1"/>
      <c r="Y240" s="1"/>
      <c r="Z240" s="1"/>
      <c r="AA240" s="1"/>
      <c r="AB240" s="1"/>
      <c r="AC240" s="1" t="s">
        <v>65</v>
      </c>
      <c r="AD240" s="1" t="s">
        <v>65</v>
      </c>
      <c r="AE240" s="1"/>
      <c r="AF240" s="1" t="s">
        <v>65</v>
      </c>
      <c r="AG240" s="1" t="s">
        <v>5281</v>
      </c>
      <c r="AH240" s="1"/>
      <c r="AI240" s="7" t="s">
        <v>5283</v>
      </c>
      <c r="AJ240" s="1"/>
      <c r="AK240" s="1"/>
      <c r="AL240" s="1"/>
      <c r="AM240" s="1"/>
      <c r="AN240" s="1"/>
    </row>
    <row r="241" hidden="1">
      <c r="A241" s="1" t="s">
        <v>5284</v>
      </c>
      <c r="B241" s="1" t="s">
        <v>5284</v>
      </c>
      <c r="C241" s="4">
        <v>44267.31269675926</v>
      </c>
      <c r="D241" s="5">
        <v>1.615534217E9</v>
      </c>
      <c r="E241" s="7" t="s">
        <v>5287</v>
      </c>
      <c r="F241" s="1" t="s">
        <v>3816</v>
      </c>
      <c r="G241" s="1" t="s">
        <v>1253</v>
      </c>
      <c r="H241" s="1" t="s">
        <v>1255</v>
      </c>
      <c r="I241" s="1" t="s">
        <v>1256</v>
      </c>
      <c r="J241" s="7" t="s">
        <v>1257</v>
      </c>
      <c r="K241" s="7" t="s">
        <v>1264</v>
      </c>
      <c r="L241" s="9" t="b">
        <v>0</v>
      </c>
      <c r="M241" s="1" t="s">
        <v>67</v>
      </c>
      <c r="N241" s="1" t="s">
        <v>68</v>
      </c>
      <c r="O241" s="1" t="s">
        <v>65</v>
      </c>
      <c r="P241" s="5">
        <v>1.0</v>
      </c>
      <c r="Q241" s="5">
        <v>0.0</v>
      </c>
      <c r="R241" s="5">
        <v>3.0</v>
      </c>
      <c r="S241" s="5">
        <v>0.0</v>
      </c>
      <c r="T241" s="1"/>
      <c r="U241" s="1" t="s">
        <v>65</v>
      </c>
      <c r="V241" s="1"/>
      <c r="W241" s="1" t="s">
        <v>65</v>
      </c>
      <c r="X241" s="1"/>
      <c r="Y241" s="1"/>
      <c r="Z241" s="1"/>
      <c r="AA241" s="1"/>
      <c r="AB241" s="1"/>
      <c r="AC241" s="1" t="s">
        <v>65</v>
      </c>
      <c r="AD241" s="1" t="s">
        <v>65</v>
      </c>
      <c r="AE241" s="1"/>
      <c r="AF241" s="1" t="s">
        <v>65</v>
      </c>
      <c r="AG241" s="1" t="s">
        <v>3826</v>
      </c>
      <c r="AH241" s="1"/>
      <c r="AI241" s="1"/>
      <c r="AJ241" s="1"/>
      <c r="AK241" s="1"/>
      <c r="AL241" s="1"/>
      <c r="AM241" s="1"/>
      <c r="AN241" s="1"/>
    </row>
    <row r="242">
      <c r="A242" s="1" t="s">
        <v>5295</v>
      </c>
      <c r="B242" s="1" t="s">
        <v>5295</v>
      </c>
      <c r="C242" s="4">
        <v>44252.83300925926</v>
      </c>
      <c r="D242" s="5">
        <v>1.614283172E9</v>
      </c>
      <c r="E242" s="7" t="s">
        <v>5297</v>
      </c>
      <c r="F242" s="1" t="s">
        <v>5302</v>
      </c>
      <c r="G242" s="1" t="s">
        <v>5304</v>
      </c>
      <c r="H242" s="1" t="s">
        <v>5305</v>
      </c>
      <c r="I242" s="5">
        <v>3.28287949E8</v>
      </c>
      <c r="J242" s="7" t="s">
        <v>5306</v>
      </c>
      <c r="K242" s="7" t="s">
        <v>5309</v>
      </c>
      <c r="L242" s="9" t="b">
        <v>0</v>
      </c>
      <c r="M242" s="1" t="s">
        <v>85</v>
      </c>
      <c r="N242" s="1" t="s">
        <v>64</v>
      </c>
      <c r="O242" s="1" t="s">
        <v>65</v>
      </c>
      <c r="P242" s="5">
        <v>0.0</v>
      </c>
      <c r="Q242" s="5">
        <v>1.0</v>
      </c>
      <c r="R242" s="5">
        <v>0.0</v>
      </c>
      <c r="S242" s="5">
        <v>1.0</v>
      </c>
      <c r="T242" s="1"/>
      <c r="U242" s="1" t="s">
        <v>65</v>
      </c>
      <c r="V242" s="1"/>
      <c r="W242" s="1" t="s">
        <v>65</v>
      </c>
      <c r="X242" s="1"/>
      <c r="Y242" s="1"/>
      <c r="Z242" s="1"/>
      <c r="AA242" s="1"/>
      <c r="AB242" s="1"/>
      <c r="AC242" s="1" t="s">
        <v>65</v>
      </c>
      <c r="AD242" s="1" t="s">
        <v>65</v>
      </c>
      <c r="AE242" s="1"/>
      <c r="AF242" s="1" t="s">
        <v>65</v>
      </c>
      <c r="AG242" s="1" t="s">
        <v>414</v>
      </c>
      <c r="AH242" s="7" t="s">
        <v>5316</v>
      </c>
      <c r="AI242" s="7" t="s">
        <v>5322</v>
      </c>
      <c r="AJ242" s="1"/>
      <c r="AK242" s="1"/>
      <c r="AL242" s="1"/>
      <c r="AM242" s="1"/>
      <c r="AN242" s="1"/>
    </row>
    <row r="243" hidden="1">
      <c r="A243" s="1" t="s">
        <v>5332</v>
      </c>
      <c r="B243" s="1" t="s">
        <v>5332</v>
      </c>
      <c r="C243" s="4">
        <v>44251.82429398148</v>
      </c>
      <c r="D243" s="5">
        <v>1.614196019E9</v>
      </c>
      <c r="E243" s="7" t="s">
        <v>5333</v>
      </c>
      <c r="F243" s="1" t="s">
        <v>5335</v>
      </c>
      <c r="G243" s="1" t="s">
        <v>5337</v>
      </c>
      <c r="H243" s="1" t="s">
        <v>5338</v>
      </c>
      <c r="I243" s="5">
        <v>4.18745717E8</v>
      </c>
      <c r="J243" s="7" t="s">
        <v>5339</v>
      </c>
      <c r="K243" s="7" t="s">
        <v>5340</v>
      </c>
      <c r="L243" s="9" t="b">
        <v>0</v>
      </c>
      <c r="M243" s="1" t="s">
        <v>67</v>
      </c>
      <c r="N243" s="1" t="s">
        <v>68</v>
      </c>
      <c r="O243" s="1" t="s">
        <v>65</v>
      </c>
      <c r="P243" s="5">
        <v>1.0</v>
      </c>
      <c r="Q243" s="5">
        <v>0.0</v>
      </c>
      <c r="R243" s="5">
        <v>1.0</v>
      </c>
      <c r="S243" s="5">
        <v>0.0</v>
      </c>
      <c r="T243" s="1"/>
      <c r="U243" s="1" t="s">
        <v>65</v>
      </c>
      <c r="V243" s="1"/>
      <c r="W243" s="1" t="s">
        <v>65</v>
      </c>
      <c r="X243" s="1"/>
      <c r="Y243" s="1"/>
      <c r="Z243" s="1"/>
      <c r="AA243" s="1"/>
      <c r="AB243" s="1"/>
      <c r="AC243" s="1" t="s">
        <v>65</v>
      </c>
      <c r="AD243" s="1" t="s">
        <v>65</v>
      </c>
      <c r="AE243" s="1"/>
      <c r="AF243" s="1" t="s">
        <v>65</v>
      </c>
      <c r="AG243" s="1" t="s">
        <v>561</v>
      </c>
      <c r="AH243" s="1"/>
      <c r="AI243" s="1"/>
      <c r="AJ243" s="1"/>
      <c r="AK243" s="1"/>
      <c r="AL243" s="1"/>
      <c r="AM243" s="1"/>
      <c r="AN243" s="1"/>
    </row>
    <row r="244" hidden="1">
      <c r="A244" s="1" t="s">
        <v>5349</v>
      </c>
      <c r="B244" s="1" t="s">
        <v>5349</v>
      </c>
      <c r="C244" s="4">
        <v>44251.82361111111</v>
      </c>
      <c r="D244" s="5">
        <v>1.61419596E9</v>
      </c>
      <c r="E244" s="7" t="s">
        <v>5350</v>
      </c>
      <c r="F244" s="1" t="s">
        <v>5357</v>
      </c>
      <c r="G244" s="1" t="s">
        <v>5337</v>
      </c>
      <c r="H244" s="1" t="s">
        <v>5338</v>
      </c>
      <c r="I244" s="5">
        <v>4.18745717E8</v>
      </c>
      <c r="J244" s="7" t="s">
        <v>5339</v>
      </c>
      <c r="K244" s="7" t="s">
        <v>5340</v>
      </c>
      <c r="L244" s="9" t="b">
        <v>0</v>
      </c>
      <c r="M244" s="1" t="s">
        <v>67</v>
      </c>
      <c r="N244" s="1" t="s">
        <v>68</v>
      </c>
      <c r="O244" s="1" t="s">
        <v>65</v>
      </c>
      <c r="P244" s="5">
        <v>0.0</v>
      </c>
      <c r="Q244" s="5">
        <v>0.0</v>
      </c>
      <c r="R244" s="5">
        <v>0.0</v>
      </c>
      <c r="S244" s="5">
        <v>0.0</v>
      </c>
      <c r="T244" s="1"/>
      <c r="U244" s="1" t="s">
        <v>65</v>
      </c>
      <c r="V244" s="1"/>
      <c r="W244" s="1" t="s">
        <v>65</v>
      </c>
      <c r="X244" s="1"/>
      <c r="Y244" s="1"/>
      <c r="Z244" s="1"/>
      <c r="AA244" s="1"/>
      <c r="AB244" s="1"/>
      <c r="AC244" s="1" t="s">
        <v>65</v>
      </c>
      <c r="AD244" s="1" t="s">
        <v>65</v>
      </c>
      <c r="AE244" s="1"/>
      <c r="AF244" s="1" t="s">
        <v>65</v>
      </c>
      <c r="AG244" s="1" t="s">
        <v>561</v>
      </c>
      <c r="AH244" s="1"/>
      <c r="AI244" s="1"/>
      <c r="AJ244" s="1"/>
      <c r="AK244" s="1"/>
      <c r="AL244" s="1"/>
      <c r="AM244" s="1"/>
      <c r="AN244" s="1"/>
    </row>
    <row r="245" hidden="1">
      <c r="A245" s="1" t="s">
        <v>5362</v>
      </c>
      <c r="B245" s="1" t="s">
        <v>5362</v>
      </c>
      <c r="C245" s="4">
        <v>44251.822233796294</v>
      </c>
      <c r="D245" s="5">
        <v>1.614195841E9</v>
      </c>
      <c r="E245" s="7" t="s">
        <v>5365</v>
      </c>
      <c r="F245" s="1" t="s">
        <v>5366</v>
      </c>
      <c r="G245" s="1" t="s">
        <v>5337</v>
      </c>
      <c r="H245" s="1" t="s">
        <v>5338</v>
      </c>
      <c r="I245" s="5">
        <v>4.18745717E8</v>
      </c>
      <c r="J245" s="7" t="s">
        <v>5339</v>
      </c>
      <c r="K245" s="7" t="s">
        <v>5340</v>
      </c>
      <c r="L245" s="9" t="b">
        <v>0</v>
      </c>
      <c r="M245" s="1" t="s">
        <v>67</v>
      </c>
      <c r="N245" s="1" t="s">
        <v>68</v>
      </c>
      <c r="O245" s="1" t="s">
        <v>65</v>
      </c>
      <c r="P245" s="5">
        <v>0.0</v>
      </c>
      <c r="Q245" s="5">
        <v>0.0</v>
      </c>
      <c r="R245" s="5">
        <v>0.0</v>
      </c>
      <c r="S245" s="5">
        <v>0.0</v>
      </c>
      <c r="T245" s="1"/>
      <c r="U245" s="1" t="s">
        <v>65</v>
      </c>
      <c r="V245" s="1"/>
      <c r="W245" s="1" t="s">
        <v>65</v>
      </c>
      <c r="X245" s="1"/>
      <c r="Y245" s="1"/>
      <c r="Z245" s="1"/>
      <c r="AA245" s="1"/>
      <c r="AB245" s="1"/>
      <c r="AC245" s="1" t="s">
        <v>65</v>
      </c>
      <c r="AD245" s="1" t="s">
        <v>65</v>
      </c>
      <c r="AE245" s="1"/>
      <c r="AF245" s="1" t="s">
        <v>65</v>
      </c>
      <c r="AG245" s="1" t="s">
        <v>561</v>
      </c>
      <c r="AH245" s="1"/>
      <c r="AI245" s="1"/>
      <c r="AJ245" s="1"/>
      <c r="AK245" s="1"/>
      <c r="AL245" s="1"/>
      <c r="AM245" s="1"/>
      <c r="AN245" s="1"/>
    </row>
    <row r="246" hidden="1">
      <c r="A246" s="1" t="s">
        <v>5371</v>
      </c>
      <c r="B246" s="1" t="s">
        <v>5371</v>
      </c>
      <c r="C246" s="4">
        <v>44251.816400462965</v>
      </c>
      <c r="D246" s="5">
        <v>1.614195337E9</v>
      </c>
      <c r="E246" s="7" t="s">
        <v>5373</v>
      </c>
      <c r="F246" s="1" t="s">
        <v>5377</v>
      </c>
      <c r="G246" s="1" t="s">
        <v>5337</v>
      </c>
      <c r="H246" s="1" t="s">
        <v>5338</v>
      </c>
      <c r="I246" s="5">
        <v>4.18745717E8</v>
      </c>
      <c r="J246" s="7" t="s">
        <v>5339</v>
      </c>
      <c r="K246" s="7" t="s">
        <v>5340</v>
      </c>
      <c r="L246" s="9" t="b">
        <v>0</v>
      </c>
      <c r="M246" s="1" t="s">
        <v>67</v>
      </c>
      <c r="N246" s="1" t="s">
        <v>68</v>
      </c>
      <c r="O246" s="1" t="s">
        <v>65</v>
      </c>
      <c r="P246" s="5">
        <v>0.0</v>
      </c>
      <c r="Q246" s="5">
        <v>0.0</v>
      </c>
      <c r="R246" s="5">
        <v>0.0</v>
      </c>
      <c r="S246" s="5">
        <v>0.0</v>
      </c>
      <c r="T246" s="1"/>
      <c r="U246" s="1" t="s">
        <v>65</v>
      </c>
      <c r="V246" s="1"/>
      <c r="W246" s="1" t="s">
        <v>65</v>
      </c>
      <c r="X246" s="1"/>
      <c r="Y246" s="1"/>
      <c r="Z246" s="1"/>
      <c r="AA246" s="1"/>
      <c r="AB246" s="1"/>
      <c r="AC246" s="1" t="s">
        <v>65</v>
      </c>
      <c r="AD246" s="1" t="s">
        <v>65</v>
      </c>
      <c r="AE246" s="1"/>
      <c r="AF246" s="1" t="s">
        <v>65</v>
      </c>
      <c r="AG246" s="1" t="s">
        <v>561</v>
      </c>
      <c r="AH246" s="1"/>
      <c r="AI246" s="1"/>
      <c r="AJ246" s="1"/>
      <c r="AK246" s="1"/>
      <c r="AL246" s="1"/>
      <c r="AM246" s="1"/>
      <c r="AN246" s="1"/>
    </row>
    <row r="247" hidden="1">
      <c r="A247" s="1" t="s">
        <v>5379</v>
      </c>
      <c r="B247" s="1" t="s">
        <v>5379</v>
      </c>
      <c r="C247" s="4">
        <v>44247.73405092592</v>
      </c>
      <c r="D247" s="5">
        <v>1.613842622E9</v>
      </c>
      <c r="E247" s="7" t="s">
        <v>5381</v>
      </c>
      <c r="F247" s="1" t="s">
        <v>5384</v>
      </c>
      <c r="G247" s="1" t="s">
        <v>2657</v>
      </c>
      <c r="H247" s="1" t="s">
        <v>2658</v>
      </c>
      <c r="I247" s="1" t="s">
        <v>2659</v>
      </c>
      <c r="J247" s="7" t="s">
        <v>2660</v>
      </c>
      <c r="K247" s="7" t="s">
        <v>2666</v>
      </c>
      <c r="L247" s="9" t="b">
        <v>0</v>
      </c>
      <c r="M247" s="1" t="s">
        <v>67</v>
      </c>
      <c r="N247" s="1" t="s">
        <v>2138</v>
      </c>
      <c r="O247" s="1" t="s">
        <v>65</v>
      </c>
      <c r="P247" s="5">
        <v>0.0</v>
      </c>
      <c r="Q247" s="5">
        <v>0.0</v>
      </c>
      <c r="R247" s="5">
        <v>0.0</v>
      </c>
      <c r="S247" s="5">
        <v>0.0</v>
      </c>
      <c r="T247" s="1"/>
      <c r="U247" s="1" t="s">
        <v>65</v>
      </c>
      <c r="V247" s="1"/>
      <c r="W247" s="1" t="s">
        <v>71</v>
      </c>
      <c r="X247" s="1" t="s">
        <v>5389</v>
      </c>
      <c r="Y247" s="1" t="s">
        <v>959</v>
      </c>
      <c r="Z247" s="1" t="s">
        <v>5391</v>
      </c>
      <c r="AA247" s="7" t="s">
        <v>5392</v>
      </c>
      <c r="AB247" s="1"/>
      <c r="AC247" s="1" t="s">
        <v>65</v>
      </c>
      <c r="AD247" s="1" t="s">
        <v>65</v>
      </c>
      <c r="AE247" s="1"/>
      <c r="AF247" s="1" t="s">
        <v>65</v>
      </c>
      <c r="AG247" s="1" t="s">
        <v>2884</v>
      </c>
      <c r="AH247" s="1"/>
      <c r="AI247" s="1"/>
      <c r="AJ247" s="1"/>
      <c r="AK247" s="1"/>
      <c r="AL247" s="1"/>
      <c r="AM247" s="1"/>
      <c r="AN247" s="1"/>
    </row>
    <row r="248">
      <c r="A248" s="1" t="s">
        <v>5394</v>
      </c>
      <c r="B248" s="1" t="s">
        <v>5394</v>
      </c>
      <c r="C248" s="4">
        <v>44247.63905092593</v>
      </c>
      <c r="D248" s="5">
        <v>1.613834414E9</v>
      </c>
      <c r="E248" s="7" t="s">
        <v>5396</v>
      </c>
      <c r="F248" s="1" t="s">
        <v>5400</v>
      </c>
      <c r="G248" s="1" t="s">
        <v>959</v>
      </c>
      <c r="H248" s="1" t="s">
        <v>1712</v>
      </c>
      <c r="I248" s="5">
        <v>5.18324519E8</v>
      </c>
      <c r="J248" s="7" t="s">
        <v>1713</v>
      </c>
      <c r="K248" s="7" t="s">
        <v>1722</v>
      </c>
      <c r="L248" s="9" t="b">
        <v>0</v>
      </c>
      <c r="M248" s="1" t="s">
        <v>66</v>
      </c>
      <c r="N248" s="1" t="s">
        <v>64</v>
      </c>
      <c r="O248" s="1" t="s">
        <v>65</v>
      </c>
      <c r="P248" s="5">
        <v>3.0</v>
      </c>
      <c r="Q248" s="5">
        <v>0.0</v>
      </c>
      <c r="R248" s="5">
        <v>10.0</v>
      </c>
      <c r="S248" s="5">
        <v>0.0</v>
      </c>
      <c r="T248" s="1"/>
      <c r="U248" s="1" t="s">
        <v>65</v>
      </c>
      <c r="V248" s="1"/>
      <c r="W248" s="1" t="s">
        <v>65</v>
      </c>
      <c r="X248" s="1"/>
      <c r="Y248" s="1"/>
      <c r="Z248" s="1"/>
      <c r="AA248" s="1"/>
      <c r="AB248" s="1"/>
      <c r="AC248" s="1" t="s">
        <v>65</v>
      </c>
      <c r="AD248" s="1" t="s">
        <v>65</v>
      </c>
      <c r="AE248" s="1"/>
      <c r="AF248" s="1" t="s">
        <v>65</v>
      </c>
      <c r="AG248" s="1" t="s">
        <v>882</v>
      </c>
      <c r="AH248" s="1"/>
      <c r="AI248" s="7" t="s">
        <v>5404</v>
      </c>
      <c r="AJ248" s="1"/>
      <c r="AK248" s="1"/>
      <c r="AL248" s="1"/>
      <c r="AM248" s="1"/>
      <c r="AN248" s="1"/>
    </row>
    <row r="249">
      <c r="A249" s="1" t="s">
        <v>5389</v>
      </c>
      <c r="B249" s="1" t="s">
        <v>5389</v>
      </c>
      <c r="C249" s="4">
        <v>44247.44517361111</v>
      </c>
      <c r="D249" s="5">
        <v>1.613817663E9</v>
      </c>
      <c r="E249" s="7" t="s">
        <v>5412</v>
      </c>
      <c r="F249" s="1" t="s">
        <v>5391</v>
      </c>
      <c r="G249" s="1" t="s">
        <v>959</v>
      </c>
      <c r="H249" s="1" t="s">
        <v>1712</v>
      </c>
      <c r="I249" s="5">
        <v>5.18324519E8</v>
      </c>
      <c r="J249" s="7" t="s">
        <v>1713</v>
      </c>
      <c r="K249" s="7" t="s">
        <v>1722</v>
      </c>
      <c r="L249" s="9" t="b">
        <v>0</v>
      </c>
      <c r="M249" s="1" t="s">
        <v>66</v>
      </c>
      <c r="N249" s="1" t="s">
        <v>64</v>
      </c>
      <c r="O249" s="1" t="s">
        <v>65</v>
      </c>
      <c r="P249" s="5">
        <v>7.0</v>
      </c>
      <c r="Q249" s="5">
        <v>0.0</v>
      </c>
      <c r="R249" s="5">
        <v>17.0</v>
      </c>
      <c r="S249" s="5">
        <v>1.0</v>
      </c>
      <c r="T249" s="1"/>
      <c r="U249" s="1" t="s">
        <v>65</v>
      </c>
      <c r="V249" s="1"/>
      <c r="W249" s="1" t="s">
        <v>65</v>
      </c>
      <c r="X249" s="1"/>
      <c r="Y249" s="1"/>
      <c r="Z249" s="1"/>
      <c r="AA249" s="1"/>
      <c r="AB249" s="1"/>
      <c r="AC249" s="1" t="s">
        <v>65</v>
      </c>
      <c r="AD249" s="1" t="s">
        <v>65</v>
      </c>
      <c r="AE249" s="1"/>
      <c r="AF249" s="1" t="s">
        <v>65</v>
      </c>
      <c r="AG249" s="1" t="s">
        <v>882</v>
      </c>
      <c r="AH249" s="1"/>
      <c r="AI249" s="7" t="s">
        <v>5420</v>
      </c>
      <c r="AJ249" s="1"/>
      <c r="AK249" s="1"/>
      <c r="AL249" s="1"/>
      <c r="AM249" s="1"/>
      <c r="AN249" s="1"/>
    </row>
    <row r="250" hidden="1">
      <c r="A250" s="1" t="s">
        <v>5428</v>
      </c>
      <c r="B250" s="1" t="s">
        <v>5428</v>
      </c>
      <c r="C250" s="4">
        <v>44242.60290509259</v>
      </c>
      <c r="D250" s="5">
        <v>1.613399291E9</v>
      </c>
      <c r="E250" s="7" t="s">
        <v>5431</v>
      </c>
      <c r="F250" s="1" t="s">
        <v>5433</v>
      </c>
      <c r="G250" s="1" t="s">
        <v>5434</v>
      </c>
      <c r="H250" s="1" t="s">
        <v>5435</v>
      </c>
      <c r="I250" s="1" t="s">
        <v>5436</v>
      </c>
      <c r="J250" s="7" t="s">
        <v>5437</v>
      </c>
      <c r="K250" s="7" t="s">
        <v>5446</v>
      </c>
      <c r="L250" s="9" t="b">
        <v>0</v>
      </c>
      <c r="M250" s="1" t="s">
        <v>67</v>
      </c>
      <c r="N250" s="1" t="s">
        <v>68</v>
      </c>
      <c r="O250" s="1" t="s">
        <v>65</v>
      </c>
      <c r="P250" s="5">
        <v>0.0</v>
      </c>
      <c r="Q250" s="5">
        <v>0.0</v>
      </c>
      <c r="R250" s="5">
        <v>0.0</v>
      </c>
      <c r="S250" s="5">
        <v>0.0</v>
      </c>
      <c r="T250" s="1"/>
      <c r="U250" s="1" t="s">
        <v>65</v>
      </c>
      <c r="V250" s="1"/>
      <c r="W250" s="1" t="s">
        <v>65</v>
      </c>
      <c r="X250" s="1"/>
      <c r="Y250" s="1"/>
      <c r="Z250" s="1"/>
      <c r="AA250" s="1"/>
      <c r="AB250" s="1"/>
      <c r="AC250" s="1" t="s">
        <v>65</v>
      </c>
      <c r="AD250" s="1" t="s">
        <v>65</v>
      </c>
      <c r="AE250" s="1"/>
      <c r="AF250" s="1" t="s">
        <v>65</v>
      </c>
      <c r="AG250" s="1" t="s">
        <v>5453</v>
      </c>
      <c r="AH250" s="1"/>
      <c r="AI250" s="1"/>
      <c r="AJ250" s="1"/>
      <c r="AK250" s="1"/>
      <c r="AL250" s="1"/>
      <c r="AM250" s="1"/>
      <c r="AN250" s="1"/>
    </row>
    <row r="251">
      <c r="A251" s="1" t="s">
        <v>5455</v>
      </c>
      <c r="B251" s="1" t="s">
        <v>5455</v>
      </c>
      <c r="C251" s="4">
        <v>44220.89278935185</v>
      </c>
      <c r="D251" s="5">
        <v>1.611523537E9</v>
      </c>
      <c r="E251" s="7" t="s">
        <v>5456</v>
      </c>
      <c r="F251" s="1" t="s">
        <v>5463</v>
      </c>
      <c r="G251" s="1" t="s">
        <v>5464</v>
      </c>
      <c r="H251" s="1" t="s">
        <v>5466</v>
      </c>
      <c r="I251" s="5">
        <v>2.86492231E8</v>
      </c>
      <c r="J251" s="7" t="s">
        <v>5469</v>
      </c>
      <c r="K251" s="7" t="s">
        <v>5472</v>
      </c>
      <c r="L251" s="9" t="b">
        <v>0</v>
      </c>
      <c r="M251" s="1" t="s">
        <v>67</v>
      </c>
      <c r="N251" s="1" t="s">
        <v>64</v>
      </c>
      <c r="O251" s="1" t="s">
        <v>65</v>
      </c>
      <c r="P251" s="5">
        <v>0.0</v>
      </c>
      <c r="Q251" s="5">
        <v>0.0</v>
      </c>
      <c r="R251" s="5">
        <v>0.0</v>
      </c>
      <c r="S251" s="5">
        <v>0.0</v>
      </c>
      <c r="T251" s="1"/>
      <c r="U251" s="1" t="s">
        <v>65</v>
      </c>
      <c r="V251" s="1"/>
      <c r="W251" s="1" t="s">
        <v>65</v>
      </c>
      <c r="X251" s="1"/>
      <c r="Y251" s="1"/>
      <c r="Z251" s="1"/>
      <c r="AA251" s="1"/>
      <c r="AB251" s="1"/>
      <c r="AC251" s="1" t="s">
        <v>65</v>
      </c>
      <c r="AD251" s="1" t="s">
        <v>65</v>
      </c>
      <c r="AE251" s="1"/>
      <c r="AF251" s="1" t="s">
        <v>65</v>
      </c>
      <c r="AG251" s="1" t="s">
        <v>5477</v>
      </c>
      <c r="AH251" s="1"/>
      <c r="AI251" s="1"/>
      <c r="AJ251" s="1"/>
      <c r="AK251" s="1"/>
      <c r="AL251" s="1"/>
      <c r="AM251" s="1"/>
      <c r="AN251" s="1"/>
    </row>
    <row r="252" hidden="1">
      <c r="A252" s="1" t="s">
        <v>5478</v>
      </c>
      <c r="B252" s="1" t="s">
        <v>5478</v>
      </c>
      <c r="C252" s="4">
        <v>44203.51488425926</v>
      </c>
      <c r="D252" s="5">
        <v>1.610022086E9</v>
      </c>
      <c r="E252" s="7" t="s">
        <v>5481</v>
      </c>
      <c r="F252" s="1" t="s">
        <v>5490</v>
      </c>
      <c r="G252" s="1" t="s">
        <v>4238</v>
      </c>
      <c r="H252" s="1" t="s">
        <v>4239</v>
      </c>
      <c r="I252" s="5">
        <v>2.774265712E9</v>
      </c>
      <c r="J252" s="7" t="s">
        <v>4240</v>
      </c>
      <c r="K252" s="7" t="s">
        <v>4243</v>
      </c>
      <c r="L252" s="9" t="b">
        <v>0</v>
      </c>
      <c r="M252" s="1" t="s">
        <v>85</v>
      </c>
      <c r="N252" s="1" t="s">
        <v>68</v>
      </c>
      <c r="O252" s="1" t="s">
        <v>65</v>
      </c>
      <c r="P252" s="5">
        <v>0.0</v>
      </c>
      <c r="Q252" s="5">
        <v>0.0</v>
      </c>
      <c r="R252" s="5">
        <v>0.0</v>
      </c>
      <c r="S252" s="5">
        <v>0.0</v>
      </c>
      <c r="T252" s="1"/>
      <c r="U252" s="1" t="s">
        <v>65</v>
      </c>
      <c r="V252" s="1"/>
      <c r="W252" s="1" t="s">
        <v>65</v>
      </c>
      <c r="X252" s="1"/>
      <c r="Y252" s="1"/>
      <c r="Z252" s="1"/>
      <c r="AA252" s="1"/>
      <c r="AB252" s="1"/>
      <c r="AC252" s="1" t="s">
        <v>65</v>
      </c>
      <c r="AD252" s="1" t="s">
        <v>65</v>
      </c>
      <c r="AE252" s="1"/>
      <c r="AF252" s="1" t="s">
        <v>65</v>
      </c>
      <c r="AG252" s="1" t="s">
        <v>561</v>
      </c>
      <c r="AH252" s="1"/>
      <c r="AI252" s="1"/>
      <c r="AJ252" s="1"/>
      <c r="AK252" s="1"/>
      <c r="AL252" s="1"/>
      <c r="AM252" s="1"/>
      <c r="AN252" s="1"/>
    </row>
    <row r="253">
      <c r="A253" s="1" t="s">
        <v>5494</v>
      </c>
      <c r="B253" s="1" t="s">
        <v>5494</v>
      </c>
      <c r="C253" s="4">
        <v>44188.73079861111</v>
      </c>
      <c r="D253" s="5">
        <v>1.608744741E9</v>
      </c>
      <c r="E253" s="7" t="s">
        <v>5495</v>
      </c>
      <c r="F253" s="1" t="s">
        <v>5502</v>
      </c>
      <c r="G253" s="1" t="s">
        <v>2995</v>
      </c>
      <c r="H253" s="1" t="s">
        <v>5504</v>
      </c>
      <c r="I253" s="5">
        <v>3.341640273E9</v>
      </c>
      <c r="J253" s="7" t="s">
        <v>5505</v>
      </c>
      <c r="K253" s="7" t="s">
        <v>5514</v>
      </c>
      <c r="L253" s="9" t="b">
        <v>0</v>
      </c>
      <c r="M253" s="1" t="s">
        <v>66</v>
      </c>
      <c r="N253" s="1" t="s">
        <v>64</v>
      </c>
      <c r="O253" s="1" t="s">
        <v>65</v>
      </c>
      <c r="P253" s="5">
        <v>0.0</v>
      </c>
      <c r="Q253" s="5">
        <v>0.0</v>
      </c>
      <c r="R253" s="5">
        <v>3.0</v>
      </c>
      <c r="S253" s="5">
        <v>0.0</v>
      </c>
      <c r="T253" s="1"/>
      <c r="U253" s="1" t="s">
        <v>65</v>
      </c>
      <c r="V253" s="1"/>
      <c r="W253" s="1" t="s">
        <v>65</v>
      </c>
      <c r="X253" s="1"/>
      <c r="Y253" s="1"/>
      <c r="Z253" s="1"/>
      <c r="AA253" s="1"/>
      <c r="AB253" s="1"/>
      <c r="AC253" s="1" t="s">
        <v>65</v>
      </c>
      <c r="AD253" s="1" t="s">
        <v>65</v>
      </c>
      <c r="AE253" s="1"/>
      <c r="AF253" s="1" t="s">
        <v>65</v>
      </c>
      <c r="AG253" s="1" t="s">
        <v>882</v>
      </c>
      <c r="AH253" s="1"/>
      <c r="AI253" s="7" t="s">
        <v>5516</v>
      </c>
      <c r="AJ253" s="1"/>
      <c r="AK253" s="1"/>
      <c r="AL253" s="1"/>
      <c r="AM253" s="1"/>
      <c r="AN253" s="1"/>
    </row>
    <row r="254" hidden="1">
      <c r="A254" s="1" t="s">
        <v>5524</v>
      </c>
      <c r="B254" s="1" t="s">
        <v>5524</v>
      </c>
      <c r="C254" s="4">
        <v>44179.989386574074</v>
      </c>
      <c r="D254" s="5">
        <v>1.607989483E9</v>
      </c>
      <c r="E254" s="7" t="s">
        <v>5526</v>
      </c>
      <c r="F254" s="1" t="s">
        <v>5528</v>
      </c>
      <c r="G254" s="1" t="s">
        <v>5529</v>
      </c>
      <c r="H254" s="1" t="s">
        <v>5531</v>
      </c>
      <c r="I254" s="5">
        <v>3.6755465E7</v>
      </c>
      <c r="J254" s="7" t="s">
        <v>5532</v>
      </c>
      <c r="K254" s="1"/>
      <c r="L254" s="9" t="b">
        <v>0</v>
      </c>
      <c r="M254" s="1" t="s">
        <v>2805</v>
      </c>
      <c r="N254" s="1" t="s">
        <v>68</v>
      </c>
      <c r="O254" s="1" t="s">
        <v>65</v>
      </c>
      <c r="P254" s="5">
        <v>0.0</v>
      </c>
      <c r="Q254" s="5">
        <v>0.0</v>
      </c>
      <c r="R254" s="5">
        <v>0.0</v>
      </c>
      <c r="S254" s="5">
        <v>0.0</v>
      </c>
      <c r="T254" s="1"/>
      <c r="U254" s="1" t="s">
        <v>65</v>
      </c>
      <c r="V254" s="1"/>
      <c r="W254" s="1" t="s">
        <v>65</v>
      </c>
      <c r="X254" s="1"/>
      <c r="Y254" s="1"/>
      <c r="Z254" s="1"/>
      <c r="AA254" s="1"/>
      <c r="AB254" s="1"/>
      <c r="AC254" s="1" t="s">
        <v>65</v>
      </c>
      <c r="AD254" s="1" t="s">
        <v>65</v>
      </c>
      <c r="AE254" s="1"/>
      <c r="AF254" s="1" t="s">
        <v>65</v>
      </c>
      <c r="AG254" s="1" t="s">
        <v>5539</v>
      </c>
      <c r="AH254" s="7" t="s">
        <v>5540</v>
      </c>
      <c r="AI254" s="1"/>
      <c r="AJ254" s="1"/>
      <c r="AK254" s="1" t="s">
        <v>5549</v>
      </c>
      <c r="AL254" s="1"/>
      <c r="AM254" s="1"/>
      <c r="AN254" s="1"/>
    </row>
    <row r="255">
      <c r="A255" s="1" t="s">
        <v>5550</v>
      </c>
      <c r="B255" s="1" t="s">
        <v>5550</v>
      </c>
      <c r="C255" s="4">
        <v>44173.75679398148</v>
      </c>
      <c r="D255" s="5">
        <v>1.607450987E9</v>
      </c>
      <c r="E255" s="7" t="s">
        <v>5552</v>
      </c>
      <c r="F255" s="1" t="s">
        <v>5555</v>
      </c>
      <c r="G255" s="1" t="s">
        <v>5556</v>
      </c>
      <c r="H255" s="1" t="s">
        <v>5557</v>
      </c>
      <c r="I255" s="5">
        <v>2.571424633E9</v>
      </c>
      <c r="J255" s="7" t="s">
        <v>5558</v>
      </c>
      <c r="K255" s="7" t="s">
        <v>5564</v>
      </c>
      <c r="L255" s="9" t="b">
        <v>0</v>
      </c>
      <c r="M255" s="1" t="s">
        <v>2805</v>
      </c>
      <c r="N255" s="1" t="s">
        <v>64</v>
      </c>
      <c r="O255" s="1" t="s">
        <v>65</v>
      </c>
      <c r="P255" s="5">
        <v>0.0</v>
      </c>
      <c r="Q255" s="5">
        <v>0.0</v>
      </c>
      <c r="R255" s="5">
        <v>3.0</v>
      </c>
      <c r="S255" s="5">
        <v>0.0</v>
      </c>
      <c r="T255" s="1"/>
      <c r="U255" s="1" t="s">
        <v>65</v>
      </c>
      <c r="V255" s="1"/>
      <c r="W255" s="1" t="s">
        <v>65</v>
      </c>
      <c r="X255" s="1"/>
      <c r="Y255" s="1"/>
      <c r="Z255" s="1"/>
      <c r="AA255" s="1"/>
      <c r="AB255" s="1"/>
      <c r="AC255" s="1" t="s">
        <v>65</v>
      </c>
      <c r="AD255" s="1" t="s">
        <v>65</v>
      </c>
      <c r="AE255" s="1"/>
      <c r="AF255" s="1" t="s">
        <v>65</v>
      </c>
      <c r="AG255" s="1" t="s">
        <v>5567</v>
      </c>
      <c r="AH255" s="7" t="s">
        <v>5569</v>
      </c>
      <c r="AI255" s="1"/>
      <c r="AJ255" s="1"/>
      <c r="AK255" s="1"/>
      <c r="AL255" s="1"/>
      <c r="AM255" s="1"/>
      <c r="AN255" s="1"/>
    </row>
    <row r="256">
      <c r="A256" s="1" t="s">
        <v>5585</v>
      </c>
      <c r="B256" s="1" t="s">
        <v>5585</v>
      </c>
      <c r="C256" s="4">
        <v>44143.8609375</v>
      </c>
      <c r="D256" s="5">
        <v>1.604867985E9</v>
      </c>
      <c r="E256" s="7" t="s">
        <v>5586</v>
      </c>
      <c r="F256" s="1" t="s">
        <v>5588</v>
      </c>
      <c r="G256" s="1" t="s">
        <v>2816</v>
      </c>
      <c r="H256" s="1" t="s">
        <v>2817</v>
      </c>
      <c r="I256" s="1" t="s">
        <v>2818</v>
      </c>
      <c r="J256" s="7" t="s">
        <v>2820</v>
      </c>
      <c r="K256" s="7" t="s">
        <v>2825</v>
      </c>
      <c r="L256" s="9" t="b">
        <v>0</v>
      </c>
      <c r="M256" s="1" t="s">
        <v>67</v>
      </c>
      <c r="N256" s="1" t="s">
        <v>64</v>
      </c>
      <c r="O256" s="1" t="s">
        <v>65</v>
      </c>
      <c r="P256" s="5">
        <v>0.0</v>
      </c>
      <c r="Q256" s="5">
        <v>0.0</v>
      </c>
      <c r="R256" s="5">
        <v>0.0</v>
      </c>
      <c r="S256" s="5">
        <v>0.0</v>
      </c>
      <c r="T256" s="1"/>
      <c r="U256" s="1" t="s">
        <v>65</v>
      </c>
      <c r="V256" s="1"/>
      <c r="W256" s="1" t="s">
        <v>71</v>
      </c>
      <c r="X256" s="1" t="s">
        <v>5592</v>
      </c>
      <c r="Y256" s="1" t="s">
        <v>5593</v>
      </c>
      <c r="Z256" s="1" t="s">
        <v>5596</v>
      </c>
      <c r="AA256" s="7" t="s">
        <v>5598</v>
      </c>
      <c r="AB256" s="1"/>
      <c r="AC256" s="1" t="s">
        <v>65</v>
      </c>
      <c r="AD256" s="1" t="s">
        <v>65</v>
      </c>
      <c r="AE256" s="1"/>
      <c r="AF256" s="1" t="s">
        <v>65</v>
      </c>
      <c r="AG256" s="1" t="s">
        <v>5605</v>
      </c>
      <c r="AH256" s="1"/>
      <c r="AI256" s="1"/>
      <c r="AJ256" s="1"/>
      <c r="AK256" s="1" t="s">
        <v>959</v>
      </c>
      <c r="AL256" s="1" t="s">
        <v>2831</v>
      </c>
      <c r="AM256" s="1" t="s">
        <v>2832</v>
      </c>
      <c r="AN256" s="1"/>
    </row>
    <row r="257" hidden="1">
      <c r="A257" s="1" t="s">
        <v>5608</v>
      </c>
      <c r="B257" s="1" t="s">
        <v>5608</v>
      </c>
      <c r="C257" s="4">
        <v>44143.41365740741</v>
      </c>
      <c r="D257" s="5">
        <v>1.60482934E9</v>
      </c>
      <c r="E257" s="7" t="s">
        <v>5609</v>
      </c>
      <c r="F257" s="1" t="s">
        <v>5615</v>
      </c>
      <c r="G257" s="1" t="s">
        <v>5616</v>
      </c>
      <c r="H257" s="1" t="s">
        <v>5617</v>
      </c>
      <c r="I257" s="1" t="s">
        <v>5618</v>
      </c>
      <c r="J257" s="7" t="s">
        <v>5619</v>
      </c>
      <c r="K257" s="1"/>
      <c r="L257" s="9" t="b">
        <v>0</v>
      </c>
      <c r="M257" s="1" t="s">
        <v>2805</v>
      </c>
      <c r="N257" s="1" t="s">
        <v>68</v>
      </c>
      <c r="O257" s="1" t="s">
        <v>65</v>
      </c>
      <c r="P257" s="5">
        <v>0.0</v>
      </c>
      <c r="Q257" s="5">
        <v>0.0</v>
      </c>
      <c r="R257" s="5">
        <v>1.0</v>
      </c>
      <c r="S257" s="5">
        <v>0.0</v>
      </c>
      <c r="T257" s="1"/>
      <c r="U257" s="1" t="s">
        <v>65</v>
      </c>
      <c r="V257" s="1"/>
      <c r="W257" s="1" t="s">
        <v>65</v>
      </c>
      <c r="X257" s="1"/>
      <c r="Y257" s="1"/>
      <c r="Z257" s="1"/>
      <c r="AA257" s="1"/>
      <c r="AB257" s="1"/>
      <c r="AC257" s="1" t="s">
        <v>65</v>
      </c>
      <c r="AD257" s="1" t="s">
        <v>65</v>
      </c>
      <c r="AE257" s="1"/>
      <c r="AF257" s="1" t="s">
        <v>65</v>
      </c>
      <c r="AG257" s="1" t="s">
        <v>5623</v>
      </c>
      <c r="AH257" s="7" t="s">
        <v>5624</v>
      </c>
      <c r="AI257" s="1"/>
      <c r="AJ257" s="1"/>
      <c r="AK257" s="1"/>
      <c r="AL257" s="1"/>
      <c r="AM257" s="1"/>
      <c r="AN257" s="1"/>
    </row>
    <row r="258" hidden="1">
      <c r="A258" s="1" t="s">
        <v>5637</v>
      </c>
      <c r="B258" s="1" t="s">
        <v>5637</v>
      </c>
      <c r="C258" s="4">
        <v>44131.45900462963</v>
      </c>
      <c r="D258" s="5">
        <v>1.603796458E9</v>
      </c>
      <c r="E258" s="7" t="s">
        <v>5638</v>
      </c>
      <c r="F258" s="1" t="s">
        <v>5643</v>
      </c>
      <c r="G258" s="1" t="s">
        <v>5644</v>
      </c>
      <c r="H258" s="1" t="s">
        <v>5645</v>
      </c>
      <c r="I258" s="1" t="s">
        <v>5646</v>
      </c>
      <c r="J258" s="7" t="s">
        <v>5648</v>
      </c>
      <c r="K258" s="7" t="s">
        <v>5657</v>
      </c>
      <c r="L258" s="9" t="b">
        <v>0</v>
      </c>
      <c r="M258" s="1" t="s">
        <v>67</v>
      </c>
      <c r="N258" s="1" t="s">
        <v>824</v>
      </c>
      <c r="O258" s="1" t="s">
        <v>65</v>
      </c>
      <c r="P258" s="5">
        <v>0.0</v>
      </c>
      <c r="Q258" s="5">
        <v>0.0</v>
      </c>
      <c r="R258" s="5">
        <v>0.0</v>
      </c>
      <c r="S258" s="5">
        <v>0.0</v>
      </c>
      <c r="T258" s="1"/>
      <c r="U258" s="1" t="s">
        <v>65</v>
      </c>
      <c r="V258" s="1"/>
      <c r="W258" s="1" t="s">
        <v>65</v>
      </c>
      <c r="X258" s="1"/>
      <c r="Y258" s="1"/>
      <c r="Z258" s="1"/>
      <c r="AA258" s="1"/>
      <c r="AB258" s="1"/>
      <c r="AC258" s="1" t="s">
        <v>65</v>
      </c>
      <c r="AD258" s="1" t="s">
        <v>65</v>
      </c>
      <c r="AE258" s="1"/>
      <c r="AF258" s="1" t="s">
        <v>65</v>
      </c>
      <c r="AG258" s="1" t="s">
        <v>5665</v>
      </c>
      <c r="AH258" s="7" t="s">
        <v>5666</v>
      </c>
      <c r="AI258" s="1"/>
      <c r="AJ258" s="1"/>
      <c r="AK258" s="1"/>
      <c r="AL258" s="1"/>
      <c r="AM258" s="1"/>
      <c r="AN258" s="1"/>
    </row>
    <row r="259" hidden="1">
      <c r="A259" s="1" t="s">
        <v>5670</v>
      </c>
      <c r="B259" s="1" t="s">
        <v>5670</v>
      </c>
      <c r="C259" s="4">
        <v>44113.93665509259</v>
      </c>
      <c r="D259" s="5">
        <v>1.602282527E9</v>
      </c>
      <c r="E259" s="7" t="s">
        <v>5671</v>
      </c>
      <c r="F259" s="1" t="s">
        <v>5675</v>
      </c>
      <c r="G259" s="1" t="s">
        <v>5529</v>
      </c>
      <c r="H259" s="1" t="s">
        <v>5531</v>
      </c>
      <c r="I259" s="5">
        <v>3.6755465E7</v>
      </c>
      <c r="J259" s="7" t="s">
        <v>5532</v>
      </c>
      <c r="K259" s="1"/>
      <c r="L259" s="9" t="b">
        <v>0</v>
      </c>
      <c r="M259" s="1" t="s">
        <v>2805</v>
      </c>
      <c r="N259" s="1" t="s">
        <v>68</v>
      </c>
      <c r="O259" s="1" t="s">
        <v>65</v>
      </c>
      <c r="P259" s="5">
        <v>0.0</v>
      </c>
      <c r="Q259" s="5">
        <v>0.0</v>
      </c>
      <c r="R259" s="5">
        <v>0.0</v>
      </c>
      <c r="S259" s="5">
        <v>0.0</v>
      </c>
      <c r="T259" s="1"/>
      <c r="U259" s="1" t="s">
        <v>65</v>
      </c>
      <c r="V259" s="1"/>
      <c r="W259" s="1" t="s">
        <v>65</v>
      </c>
      <c r="X259" s="1"/>
      <c r="Y259" s="1"/>
      <c r="Z259" s="1"/>
      <c r="AA259" s="1"/>
      <c r="AB259" s="1"/>
      <c r="AC259" s="1" t="s">
        <v>65</v>
      </c>
      <c r="AD259" s="1" t="s">
        <v>65</v>
      </c>
      <c r="AE259" s="1"/>
      <c r="AF259" s="1" t="s">
        <v>65</v>
      </c>
      <c r="AG259" s="1" t="s">
        <v>5681</v>
      </c>
      <c r="AH259" s="7" t="s">
        <v>5683</v>
      </c>
      <c r="AI259" s="1"/>
      <c r="AJ259" s="1"/>
      <c r="AK259" s="1" t="s">
        <v>5549</v>
      </c>
      <c r="AL259" s="1"/>
      <c r="AM259" s="1"/>
      <c r="AN259" s="1"/>
    </row>
    <row r="260">
      <c r="A260" s="1" t="s">
        <v>5694</v>
      </c>
      <c r="B260" s="1" t="s">
        <v>5694</v>
      </c>
      <c r="C260" s="4">
        <v>44105.48966435185</v>
      </c>
      <c r="D260" s="5">
        <v>1.601552707E9</v>
      </c>
      <c r="E260" s="7" t="s">
        <v>5697</v>
      </c>
      <c r="F260" s="1" t="s">
        <v>5701</v>
      </c>
      <c r="G260" s="1" t="s">
        <v>5702</v>
      </c>
      <c r="H260" s="1" t="s">
        <v>5703</v>
      </c>
      <c r="I260" s="5">
        <v>3.7756283E7</v>
      </c>
      <c r="J260" s="7" t="s">
        <v>5705</v>
      </c>
      <c r="K260" s="7" t="s">
        <v>5714</v>
      </c>
      <c r="L260" s="9" t="b">
        <v>0</v>
      </c>
      <c r="M260" s="1" t="s">
        <v>85</v>
      </c>
      <c r="N260" s="1" t="s">
        <v>64</v>
      </c>
      <c r="O260" s="1" t="s">
        <v>65</v>
      </c>
      <c r="P260" s="5">
        <v>0.0</v>
      </c>
      <c r="Q260" s="5">
        <v>0.0</v>
      </c>
      <c r="R260" s="5">
        <v>1.0</v>
      </c>
      <c r="S260" s="5">
        <v>0.0</v>
      </c>
      <c r="T260" s="1"/>
      <c r="U260" s="1" t="s">
        <v>65</v>
      </c>
      <c r="V260" s="1"/>
      <c r="W260" s="1" t="s">
        <v>65</v>
      </c>
      <c r="X260" s="1"/>
      <c r="Y260" s="1"/>
      <c r="Z260" s="1"/>
      <c r="AA260" s="1"/>
      <c r="AB260" s="1"/>
      <c r="AC260" s="1" t="s">
        <v>65</v>
      </c>
      <c r="AD260" s="1" t="s">
        <v>65</v>
      </c>
      <c r="AE260" s="1"/>
      <c r="AF260" s="1" t="s">
        <v>65</v>
      </c>
      <c r="AG260" s="1" t="s">
        <v>5726</v>
      </c>
      <c r="AH260" s="7" t="s">
        <v>5727</v>
      </c>
      <c r="AI260" s="1"/>
      <c r="AJ260" s="1"/>
      <c r="AK260" s="1" t="s">
        <v>5729</v>
      </c>
      <c r="AL260" s="1"/>
      <c r="AM260" s="1"/>
      <c r="AN260" s="1"/>
    </row>
    <row r="261">
      <c r="A261" s="1" t="s">
        <v>5730</v>
      </c>
      <c r="B261" s="1" t="s">
        <v>5730</v>
      </c>
      <c r="C261" s="4">
        <v>44105.472662037035</v>
      </c>
      <c r="D261" s="5">
        <v>1.601551238E9</v>
      </c>
      <c r="E261" s="7" t="s">
        <v>5733</v>
      </c>
      <c r="F261" s="1" t="s">
        <v>5738</v>
      </c>
      <c r="G261" s="1" t="s">
        <v>5702</v>
      </c>
      <c r="H261" s="1" t="s">
        <v>5703</v>
      </c>
      <c r="I261" s="5">
        <v>3.7756283E7</v>
      </c>
      <c r="J261" s="7" t="s">
        <v>5705</v>
      </c>
      <c r="K261" s="7" t="s">
        <v>5714</v>
      </c>
      <c r="L261" s="9" t="b">
        <v>0</v>
      </c>
      <c r="M261" s="1" t="s">
        <v>85</v>
      </c>
      <c r="N261" s="1" t="s">
        <v>64</v>
      </c>
      <c r="O261" s="1" t="s">
        <v>65</v>
      </c>
      <c r="P261" s="5">
        <v>0.0</v>
      </c>
      <c r="Q261" s="5">
        <v>0.0</v>
      </c>
      <c r="R261" s="5">
        <v>1.0</v>
      </c>
      <c r="S261" s="5">
        <v>0.0</v>
      </c>
      <c r="T261" s="1"/>
      <c r="U261" s="1" t="s">
        <v>65</v>
      </c>
      <c r="V261" s="1"/>
      <c r="W261" s="1" t="s">
        <v>65</v>
      </c>
      <c r="X261" s="1"/>
      <c r="Y261" s="1"/>
      <c r="Z261" s="1"/>
      <c r="AA261" s="1"/>
      <c r="AB261" s="1"/>
      <c r="AC261" s="1" t="s">
        <v>65</v>
      </c>
      <c r="AD261" s="1" t="s">
        <v>65</v>
      </c>
      <c r="AE261" s="1"/>
      <c r="AF261" s="1" t="s">
        <v>65</v>
      </c>
      <c r="AG261" s="1" t="s">
        <v>5726</v>
      </c>
      <c r="AH261" s="7" t="s">
        <v>5740</v>
      </c>
      <c r="AI261" s="1"/>
      <c r="AJ261" s="1"/>
      <c r="AK261" s="1" t="s">
        <v>5729</v>
      </c>
      <c r="AL261" s="1"/>
      <c r="AM261" s="1"/>
      <c r="AN261" s="1"/>
    </row>
    <row r="262">
      <c r="A262" s="1" t="s">
        <v>5754</v>
      </c>
      <c r="B262" s="1" t="s">
        <v>5754</v>
      </c>
      <c r="C262" s="4">
        <v>44105.471724537034</v>
      </c>
      <c r="D262" s="5">
        <v>1.601551157E9</v>
      </c>
      <c r="E262" s="7" t="s">
        <v>5756</v>
      </c>
      <c r="F262" s="1" t="s">
        <v>5761</v>
      </c>
      <c r="G262" s="1" t="s">
        <v>5702</v>
      </c>
      <c r="H262" s="1" t="s">
        <v>5703</v>
      </c>
      <c r="I262" s="5">
        <v>3.7756283E7</v>
      </c>
      <c r="J262" s="7" t="s">
        <v>5705</v>
      </c>
      <c r="K262" s="7" t="s">
        <v>5714</v>
      </c>
      <c r="L262" s="9" t="b">
        <v>0</v>
      </c>
      <c r="M262" s="1" t="s">
        <v>85</v>
      </c>
      <c r="N262" s="1" t="s">
        <v>64</v>
      </c>
      <c r="O262" s="1" t="s">
        <v>65</v>
      </c>
      <c r="P262" s="5">
        <v>0.0</v>
      </c>
      <c r="Q262" s="5">
        <v>0.0</v>
      </c>
      <c r="R262" s="5">
        <v>1.0</v>
      </c>
      <c r="S262" s="5">
        <v>0.0</v>
      </c>
      <c r="T262" s="1"/>
      <c r="U262" s="1" t="s">
        <v>65</v>
      </c>
      <c r="V262" s="1"/>
      <c r="W262" s="1" t="s">
        <v>65</v>
      </c>
      <c r="X262" s="1"/>
      <c r="Y262" s="1"/>
      <c r="Z262" s="1"/>
      <c r="AA262" s="1"/>
      <c r="AB262" s="1"/>
      <c r="AC262" s="1" t="s">
        <v>65</v>
      </c>
      <c r="AD262" s="1" t="s">
        <v>65</v>
      </c>
      <c r="AE262" s="1"/>
      <c r="AF262" s="1" t="s">
        <v>65</v>
      </c>
      <c r="AG262" s="1" t="s">
        <v>5726</v>
      </c>
      <c r="AH262" s="1"/>
      <c r="AI262" s="1"/>
      <c r="AJ262" s="1"/>
      <c r="AK262" s="1" t="s">
        <v>5729</v>
      </c>
      <c r="AL262" s="1"/>
      <c r="AM262" s="1"/>
      <c r="AN262" s="1"/>
    </row>
    <row r="263">
      <c r="A263" s="1" t="s">
        <v>5774</v>
      </c>
      <c r="B263" s="1" t="s">
        <v>5774</v>
      </c>
      <c r="C263" s="4">
        <v>44100.08081018519</v>
      </c>
      <c r="D263" s="5">
        <v>1.601085382E9</v>
      </c>
      <c r="E263" s="7" t="s">
        <v>5776</v>
      </c>
      <c r="F263" s="1" t="s">
        <v>5781</v>
      </c>
      <c r="G263" s="1" t="s">
        <v>5782</v>
      </c>
      <c r="H263" s="1" t="s">
        <v>5783</v>
      </c>
      <c r="I263" s="5">
        <v>1.13445938E8</v>
      </c>
      <c r="J263" s="7" t="s">
        <v>5784</v>
      </c>
      <c r="K263" s="7" t="s">
        <v>5788</v>
      </c>
      <c r="L263" s="9" t="b">
        <v>0</v>
      </c>
      <c r="M263" s="1" t="s">
        <v>67</v>
      </c>
      <c r="N263" s="1" t="s">
        <v>64</v>
      </c>
      <c r="O263" s="1" t="s">
        <v>65</v>
      </c>
      <c r="P263" s="5">
        <v>0.0</v>
      </c>
      <c r="Q263" s="5">
        <v>0.0</v>
      </c>
      <c r="R263" s="5">
        <v>0.0</v>
      </c>
      <c r="S263" s="5">
        <v>0.0</v>
      </c>
      <c r="T263" s="1"/>
      <c r="U263" s="1" t="s">
        <v>65</v>
      </c>
      <c r="V263" s="1"/>
      <c r="W263" s="1" t="s">
        <v>65</v>
      </c>
      <c r="X263" s="1"/>
      <c r="Y263" s="1"/>
      <c r="Z263" s="1"/>
      <c r="AA263" s="1"/>
      <c r="AB263" s="1"/>
      <c r="AC263" s="1" t="s">
        <v>65</v>
      </c>
      <c r="AD263" s="1" t="s">
        <v>65</v>
      </c>
      <c r="AE263" s="1"/>
      <c r="AF263" s="1" t="s">
        <v>65</v>
      </c>
      <c r="AG263" s="1" t="s">
        <v>5793</v>
      </c>
      <c r="AH263" s="7" t="s">
        <v>5794</v>
      </c>
      <c r="AI263" s="1"/>
      <c r="AJ263" s="1"/>
      <c r="AK263" s="1" t="s">
        <v>5803</v>
      </c>
      <c r="AL263" s="1"/>
      <c r="AM263" s="1"/>
      <c r="AN263" s="1"/>
    </row>
    <row r="264" hidden="1">
      <c r="A264" s="1" t="s">
        <v>5804</v>
      </c>
      <c r="B264" s="1" t="s">
        <v>5804</v>
      </c>
      <c r="C264" s="4">
        <v>44099.736180555556</v>
      </c>
      <c r="D264" s="5">
        <v>1.601055606E9</v>
      </c>
      <c r="E264" s="7" t="s">
        <v>5806</v>
      </c>
      <c r="F264" s="1" t="s">
        <v>5810</v>
      </c>
      <c r="G264" s="1" t="s">
        <v>5812</v>
      </c>
      <c r="H264" s="1" t="s">
        <v>5814</v>
      </c>
      <c r="I264" s="5">
        <v>2.0412939E7</v>
      </c>
      <c r="J264" s="7" t="s">
        <v>5817</v>
      </c>
      <c r="K264" s="7" t="s">
        <v>5823</v>
      </c>
      <c r="L264" s="9" t="b">
        <v>0</v>
      </c>
      <c r="M264" s="1" t="s">
        <v>66</v>
      </c>
      <c r="N264" s="1" t="s">
        <v>68</v>
      </c>
      <c r="O264" s="1" t="s">
        <v>65</v>
      </c>
      <c r="P264" s="5">
        <v>0.0</v>
      </c>
      <c r="Q264" s="5">
        <v>0.0</v>
      </c>
      <c r="R264" s="5">
        <v>0.0</v>
      </c>
      <c r="S264" s="5">
        <v>0.0</v>
      </c>
      <c r="T264" s="1"/>
      <c r="U264" s="1" t="s">
        <v>65</v>
      </c>
      <c r="V264" s="1"/>
      <c r="W264" s="1" t="s">
        <v>65</v>
      </c>
      <c r="X264" s="1"/>
      <c r="Y264" s="1"/>
      <c r="Z264" s="1"/>
      <c r="AA264" s="1"/>
      <c r="AB264" s="1"/>
      <c r="AC264" s="1" t="s">
        <v>65</v>
      </c>
      <c r="AD264" s="1" t="s">
        <v>65</v>
      </c>
      <c r="AE264" s="1"/>
      <c r="AF264" s="1" t="s">
        <v>65</v>
      </c>
      <c r="AG264" s="1" t="s">
        <v>1967</v>
      </c>
      <c r="AH264" s="1"/>
      <c r="AI264" s="1"/>
      <c r="AJ264" s="1"/>
      <c r="AK264" s="1"/>
      <c r="AL264" s="1"/>
      <c r="AM264" s="1"/>
      <c r="AN264" s="1"/>
    </row>
    <row r="265">
      <c r="A265" s="1" t="s">
        <v>5834</v>
      </c>
      <c r="B265" s="1" t="s">
        <v>5834</v>
      </c>
      <c r="C265" s="4">
        <v>44085.56496527778</v>
      </c>
      <c r="D265" s="5">
        <v>1.599831213E9</v>
      </c>
      <c r="E265" s="7" t="s">
        <v>5836</v>
      </c>
      <c r="F265" s="1" t="s">
        <v>5839</v>
      </c>
      <c r="G265" s="1" t="s">
        <v>5556</v>
      </c>
      <c r="H265" s="1" t="s">
        <v>5557</v>
      </c>
      <c r="I265" s="5">
        <v>2.571424633E9</v>
      </c>
      <c r="J265" s="7" t="s">
        <v>5558</v>
      </c>
      <c r="K265" s="7" t="s">
        <v>5564</v>
      </c>
      <c r="L265" s="9" t="b">
        <v>0</v>
      </c>
      <c r="M265" s="1" t="s">
        <v>2805</v>
      </c>
      <c r="N265" s="1" t="s">
        <v>64</v>
      </c>
      <c r="O265" s="1" t="s">
        <v>65</v>
      </c>
      <c r="P265" s="5">
        <v>0.0</v>
      </c>
      <c r="Q265" s="5">
        <v>0.0</v>
      </c>
      <c r="R265" s="5">
        <v>1.0</v>
      </c>
      <c r="S265" s="5">
        <v>0.0</v>
      </c>
      <c r="T265" s="1"/>
      <c r="U265" s="1" t="s">
        <v>65</v>
      </c>
      <c r="V265" s="1"/>
      <c r="W265" s="1" t="s">
        <v>65</v>
      </c>
      <c r="X265" s="1"/>
      <c r="Y265" s="1"/>
      <c r="Z265" s="1"/>
      <c r="AA265" s="1"/>
      <c r="AB265" s="1"/>
      <c r="AC265" s="1" t="s">
        <v>65</v>
      </c>
      <c r="AD265" s="1" t="s">
        <v>65</v>
      </c>
      <c r="AE265" s="1"/>
      <c r="AF265" s="1" t="s">
        <v>65</v>
      </c>
      <c r="AG265" s="1" t="s">
        <v>5842</v>
      </c>
      <c r="AH265" s="7" t="s">
        <v>5843</v>
      </c>
      <c r="AI265" s="1"/>
      <c r="AJ265" s="1"/>
      <c r="AK265" s="1"/>
      <c r="AL265" s="1"/>
      <c r="AM265" s="1"/>
      <c r="AN265" s="1"/>
    </row>
    <row r="266">
      <c r="A266" s="1" t="s">
        <v>5846</v>
      </c>
      <c r="B266" s="1" t="s">
        <v>5846</v>
      </c>
      <c r="C266" s="4">
        <v>44081.60938657408</v>
      </c>
      <c r="D266" s="5">
        <v>1.599489451E9</v>
      </c>
      <c r="E266" s="7" t="s">
        <v>5848</v>
      </c>
      <c r="F266" s="1" t="s">
        <v>5853</v>
      </c>
      <c r="G266" s="1" t="s">
        <v>5854</v>
      </c>
      <c r="H266" s="1" t="s">
        <v>5854</v>
      </c>
      <c r="I266" s="1" t="s">
        <v>5855</v>
      </c>
      <c r="J266" s="7" t="s">
        <v>5856</v>
      </c>
      <c r="K266" s="7" t="s">
        <v>5860</v>
      </c>
      <c r="L266" s="9" t="b">
        <v>0</v>
      </c>
      <c r="M266" s="1" t="s">
        <v>66</v>
      </c>
      <c r="N266" s="1" t="s">
        <v>64</v>
      </c>
      <c r="O266" s="1" t="s">
        <v>65</v>
      </c>
      <c r="P266" s="5">
        <v>0.0</v>
      </c>
      <c r="Q266" s="5">
        <v>0.0</v>
      </c>
      <c r="R266" s="5">
        <v>0.0</v>
      </c>
      <c r="S266" s="5">
        <v>0.0</v>
      </c>
      <c r="T266" s="1"/>
      <c r="U266" s="1" t="s">
        <v>65</v>
      </c>
      <c r="V266" s="1"/>
      <c r="W266" s="1" t="s">
        <v>65</v>
      </c>
      <c r="X266" s="1"/>
      <c r="Y266" s="1"/>
      <c r="Z266" s="1"/>
      <c r="AA266" s="1"/>
      <c r="AB266" s="1"/>
      <c r="AC266" s="1" t="s">
        <v>65</v>
      </c>
      <c r="AD266" s="1" t="s">
        <v>65</v>
      </c>
      <c r="AE266" s="1"/>
      <c r="AF266" s="1" t="s">
        <v>65</v>
      </c>
      <c r="AG266" s="1" t="s">
        <v>5865</v>
      </c>
      <c r="AH266" s="7" t="s">
        <v>5866</v>
      </c>
      <c r="AI266" s="7" t="s">
        <v>5874</v>
      </c>
      <c r="AJ266" s="1"/>
      <c r="AK266" s="1"/>
      <c r="AL266" s="1"/>
      <c r="AM266" s="1"/>
      <c r="AN266" s="1"/>
    </row>
    <row r="267" hidden="1">
      <c r="A267" s="1" t="s">
        <v>5879</v>
      </c>
      <c r="B267" s="1" t="s">
        <v>5879</v>
      </c>
      <c r="C267" s="4">
        <v>44080.7728587963</v>
      </c>
      <c r="D267" s="5">
        <v>1.599417175E9</v>
      </c>
      <c r="E267" s="7" t="s">
        <v>5880</v>
      </c>
      <c r="F267" s="1" t="s">
        <v>5882</v>
      </c>
      <c r="G267" s="1" t="s">
        <v>5883</v>
      </c>
      <c r="H267" s="1" t="s">
        <v>5884</v>
      </c>
      <c r="I267" s="1" t="s">
        <v>5885</v>
      </c>
      <c r="J267" s="7" t="s">
        <v>5886</v>
      </c>
      <c r="K267" s="1"/>
      <c r="L267" s="9" t="b">
        <v>0</v>
      </c>
      <c r="M267" s="1" t="s">
        <v>2805</v>
      </c>
      <c r="N267" s="1" t="s">
        <v>68</v>
      </c>
      <c r="O267" s="1" t="s">
        <v>65</v>
      </c>
      <c r="P267" s="5">
        <v>0.0</v>
      </c>
      <c r="Q267" s="5">
        <v>1.0</v>
      </c>
      <c r="R267" s="5">
        <v>1.0</v>
      </c>
      <c r="S267" s="5">
        <v>0.0</v>
      </c>
      <c r="T267" s="1"/>
      <c r="U267" s="1" t="s">
        <v>65</v>
      </c>
      <c r="V267" s="1"/>
      <c r="W267" s="1" t="s">
        <v>65</v>
      </c>
      <c r="X267" s="1"/>
      <c r="Y267" s="1"/>
      <c r="Z267" s="1"/>
      <c r="AA267" s="1"/>
      <c r="AB267" s="1"/>
      <c r="AC267" s="1" t="s">
        <v>65</v>
      </c>
      <c r="AD267" s="1" t="s">
        <v>65</v>
      </c>
      <c r="AE267" s="1"/>
      <c r="AF267" s="1" t="s">
        <v>65</v>
      </c>
      <c r="AG267" s="1" t="s">
        <v>5888</v>
      </c>
      <c r="AH267" s="7" t="s">
        <v>5889</v>
      </c>
      <c r="AI267" s="1"/>
      <c r="AJ267" s="1"/>
      <c r="AK267" s="1"/>
      <c r="AL267" s="1"/>
      <c r="AM267" s="1"/>
      <c r="AN267" s="1"/>
    </row>
    <row r="268">
      <c r="A268" s="1" t="s">
        <v>5901</v>
      </c>
      <c r="B268" s="1" t="s">
        <v>5901</v>
      </c>
      <c r="C268" s="4">
        <v>44074.862349537034</v>
      </c>
      <c r="D268" s="5">
        <v>1.598906507E9</v>
      </c>
      <c r="E268" s="7" t="s">
        <v>5902</v>
      </c>
      <c r="F268" s="1" t="s">
        <v>5907</v>
      </c>
      <c r="G268" s="1" t="s">
        <v>5644</v>
      </c>
      <c r="H268" s="1" t="s">
        <v>5645</v>
      </c>
      <c r="I268" s="1" t="s">
        <v>5646</v>
      </c>
      <c r="J268" s="7" t="s">
        <v>5648</v>
      </c>
      <c r="K268" s="7" t="s">
        <v>5657</v>
      </c>
      <c r="L268" s="9" t="b">
        <v>0</v>
      </c>
      <c r="M268" s="1" t="s">
        <v>67</v>
      </c>
      <c r="N268" s="1" t="s">
        <v>64</v>
      </c>
      <c r="O268" s="1" t="s">
        <v>65</v>
      </c>
      <c r="P268" s="5">
        <v>0.0</v>
      </c>
      <c r="Q268" s="5">
        <v>0.0</v>
      </c>
      <c r="R268" s="5">
        <v>0.0</v>
      </c>
      <c r="S268" s="5">
        <v>0.0</v>
      </c>
      <c r="T268" s="1"/>
      <c r="U268" s="1" t="s">
        <v>65</v>
      </c>
      <c r="V268" s="1"/>
      <c r="W268" s="1" t="s">
        <v>65</v>
      </c>
      <c r="X268" s="1"/>
      <c r="Y268" s="1"/>
      <c r="Z268" s="1"/>
      <c r="AA268" s="1"/>
      <c r="AB268" s="1"/>
      <c r="AC268" s="1" t="s">
        <v>65</v>
      </c>
      <c r="AD268" s="1" t="s">
        <v>65</v>
      </c>
      <c r="AE268" s="1"/>
      <c r="AF268" s="1" t="s">
        <v>65</v>
      </c>
      <c r="AG268" s="1" t="s">
        <v>561</v>
      </c>
      <c r="AH268" s="7" t="s">
        <v>5915</v>
      </c>
      <c r="AI268" s="1"/>
      <c r="AJ268" s="1"/>
      <c r="AK268" s="1"/>
      <c r="AL268" s="1"/>
      <c r="AM268" s="1"/>
      <c r="AN268" s="1"/>
    </row>
    <row r="269" hidden="1">
      <c r="A269" s="1" t="s">
        <v>5918</v>
      </c>
      <c r="B269" s="1" t="s">
        <v>5918</v>
      </c>
      <c r="C269" s="4">
        <v>44071.18634259259</v>
      </c>
      <c r="D269" s="5">
        <v>1.5985889E9</v>
      </c>
      <c r="E269" s="7" t="s">
        <v>5919</v>
      </c>
      <c r="F269" s="1" t="s">
        <v>5926</v>
      </c>
      <c r="G269" s="1" t="s">
        <v>5928</v>
      </c>
      <c r="H269" s="1" t="s">
        <v>5929</v>
      </c>
      <c r="I269" s="5">
        <v>4.90905109E9</v>
      </c>
      <c r="J269" s="7" t="s">
        <v>5931</v>
      </c>
      <c r="K269" s="7" t="s">
        <v>5935</v>
      </c>
      <c r="L269" s="9" t="b">
        <v>0</v>
      </c>
      <c r="M269" s="1" t="s">
        <v>5647</v>
      </c>
      <c r="N269" s="1" t="s">
        <v>68</v>
      </c>
      <c r="O269" s="1" t="s">
        <v>65</v>
      </c>
      <c r="P269" s="5">
        <v>0.0</v>
      </c>
      <c r="Q269" s="5">
        <v>0.0</v>
      </c>
      <c r="R269" s="5">
        <v>1.0</v>
      </c>
      <c r="S269" s="5">
        <v>0.0</v>
      </c>
      <c r="T269" s="1"/>
      <c r="U269" s="1" t="s">
        <v>65</v>
      </c>
      <c r="V269" s="1"/>
      <c r="W269" s="1" t="s">
        <v>65</v>
      </c>
      <c r="X269" s="1"/>
      <c r="Y269" s="1"/>
      <c r="Z269" s="1"/>
      <c r="AA269" s="1"/>
      <c r="AB269" s="1"/>
      <c r="AC269" s="1" t="s">
        <v>65</v>
      </c>
      <c r="AD269" s="1" t="s">
        <v>65</v>
      </c>
      <c r="AE269" s="1"/>
      <c r="AF269" s="1" t="s">
        <v>65</v>
      </c>
      <c r="AG269" s="1" t="s">
        <v>5942</v>
      </c>
      <c r="AH269" s="7" t="s">
        <v>5943</v>
      </c>
      <c r="AI269" s="7" t="s">
        <v>5948</v>
      </c>
      <c r="AJ269" s="1"/>
      <c r="AK269" s="1"/>
      <c r="AL269" s="1"/>
      <c r="AM269" s="1"/>
      <c r="AN269" s="1"/>
    </row>
    <row r="270">
      <c r="A270" s="1" t="s">
        <v>5952</v>
      </c>
      <c r="B270" s="1" t="s">
        <v>5952</v>
      </c>
      <c r="C270" s="4">
        <v>44046.645</v>
      </c>
      <c r="D270" s="5">
        <v>1.596468528E9</v>
      </c>
      <c r="E270" s="7" t="s">
        <v>5954</v>
      </c>
      <c r="F270" s="1" t="s">
        <v>5955</v>
      </c>
      <c r="G270" s="1" t="s">
        <v>5956</v>
      </c>
      <c r="H270" s="1" t="s">
        <v>5958</v>
      </c>
      <c r="I270" s="1" t="s">
        <v>5959</v>
      </c>
      <c r="J270" s="7" t="s">
        <v>5961</v>
      </c>
      <c r="K270" s="7" t="s">
        <v>5966</v>
      </c>
      <c r="L270" s="9" t="b">
        <v>0</v>
      </c>
      <c r="M270" s="1" t="s">
        <v>67</v>
      </c>
      <c r="N270" s="1" t="s">
        <v>64</v>
      </c>
      <c r="O270" s="1" t="s">
        <v>65</v>
      </c>
      <c r="P270" s="5">
        <v>0.0</v>
      </c>
      <c r="Q270" s="5">
        <v>0.0</v>
      </c>
      <c r="R270" s="5">
        <v>0.0</v>
      </c>
      <c r="S270" s="5">
        <v>0.0</v>
      </c>
      <c r="T270" s="1"/>
      <c r="U270" s="1" t="s">
        <v>65</v>
      </c>
      <c r="V270" s="1"/>
      <c r="W270" s="1" t="s">
        <v>65</v>
      </c>
      <c r="X270" s="1"/>
      <c r="Y270" s="1"/>
      <c r="Z270" s="1"/>
      <c r="AA270" s="1"/>
      <c r="AB270" s="1"/>
      <c r="AC270" s="1" t="s">
        <v>65</v>
      </c>
      <c r="AD270" s="1" t="s">
        <v>65</v>
      </c>
      <c r="AE270" s="1"/>
      <c r="AF270" s="1" t="s">
        <v>65</v>
      </c>
      <c r="AG270" s="1" t="s">
        <v>5968</v>
      </c>
      <c r="AH270" s="1"/>
      <c r="AI270" s="7" t="s">
        <v>5969</v>
      </c>
      <c r="AJ270" s="1"/>
      <c r="AK270" s="1"/>
      <c r="AL270" s="1"/>
      <c r="AM270" s="1"/>
      <c r="AN270" s="1"/>
    </row>
    <row r="271" hidden="1">
      <c r="A271" s="1" t="s">
        <v>5973</v>
      </c>
      <c r="B271" s="1" t="s">
        <v>5973</v>
      </c>
      <c r="C271" s="4">
        <v>44025.47424768518</v>
      </c>
      <c r="D271" s="5">
        <v>1.594639375E9</v>
      </c>
      <c r="E271" s="7" t="s">
        <v>5974</v>
      </c>
      <c r="F271" s="1" t="s">
        <v>5980</v>
      </c>
      <c r="G271" s="1" t="s">
        <v>5981</v>
      </c>
      <c r="H271" s="1" t="s">
        <v>5982</v>
      </c>
      <c r="I271" s="1" t="s">
        <v>5983</v>
      </c>
      <c r="J271" s="7" t="s">
        <v>5984</v>
      </c>
      <c r="K271" s="7" t="s">
        <v>5995</v>
      </c>
      <c r="L271" s="9" t="b">
        <v>0</v>
      </c>
      <c r="M271" s="1" t="s">
        <v>2805</v>
      </c>
      <c r="N271" s="1" t="s">
        <v>5998</v>
      </c>
      <c r="O271" s="1" t="s">
        <v>65</v>
      </c>
      <c r="P271" s="5">
        <v>0.0</v>
      </c>
      <c r="Q271" s="5">
        <v>0.0</v>
      </c>
      <c r="R271" s="5">
        <v>0.0</v>
      </c>
      <c r="S271" s="5">
        <v>0.0</v>
      </c>
      <c r="T271" s="1"/>
      <c r="U271" s="1" t="s">
        <v>65</v>
      </c>
      <c r="V271" s="1"/>
      <c r="W271" s="1" t="s">
        <v>65</v>
      </c>
      <c r="X271" s="1"/>
      <c r="Y271" s="1"/>
      <c r="Z271" s="1"/>
      <c r="AA271" s="1"/>
      <c r="AB271" s="1"/>
      <c r="AC271" s="1" t="s">
        <v>65</v>
      </c>
      <c r="AD271" s="1" t="s">
        <v>65</v>
      </c>
      <c r="AE271" s="1"/>
      <c r="AF271" s="1" t="s">
        <v>65</v>
      </c>
      <c r="AG271" s="1" t="s">
        <v>5999</v>
      </c>
      <c r="AH271" s="7" t="s">
        <v>6000</v>
      </c>
      <c r="AI271" s="1"/>
      <c r="AJ271" s="1"/>
      <c r="AK271" s="1"/>
      <c r="AL271" s="1"/>
      <c r="AM271" s="1"/>
      <c r="AN271" s="1"/>
    </row>
    <row r="272" hidden="1">
      <c r="A272" s="1" t="s">
        <v>6005</v>
      </c>
      <c r="B272" s="1" t="s">
        <v>6005</v>
      </c>
      <c r="C272" s="4">
        <v>44014.61163194444</v>
      </c>
      <c r="D272" s="5">
        <v>1.593700845E9</v>
      </c>
      <c r="E272" s="7" t="s">
        <v>6006</v>
      </c>
      <c r="F272" s="1" t="s">
        <v>6009</v>
      </c>
      <c r="G272" s="1" t="s">
        <v>4238</v>
      </c>
      <c r="H272" s="1" t="s">
        <v>4239</v>
      </c>
      <c r="I272" s="5">
        <v>2.774265712E9</v>
      </c>
      <c r="J272" s="7" t="s">
        <v>4240</v>
      </c>
      <c r="K272" s="7" t="s">
        <v>4243</v>
      </c>
      <c r="L272" s="9" t="b">
        <v>0</v>
      </c>
      <c r="M272" s="1" t="s">
        <v>85</v>
      </c>
      <c r="N272" s="1" t="s">
        <v>68</v>
      </c>
      <c r="O272" s="1" t="s">
        <v>65</v>
      </c>
      <c r="P272" s="5">
        <v>0.0</v>
      </c>
      <c r="Q272" s="5">
        <v>0.0</v>
      </c>
      <c r="R272" s="5">
        <v>0.0</v>
      </c>
      <c r="S272" s="5">
        <v>0.0</v>
      </c>
      <c r="T272" s="1"/>
      <c r="U272" s="1" t="s">
        <v>65</v>
      </c>
      <c r="V272" s="1"/>
      <c r="W272" s="1" t="s">
        <v>65</v>
      </c>
      <c r="X272" s="1"/>
      <c r="Y272" s="1"/>
      <c r="Z272" s="1"/>
      <c r="AA272" s="1"/>
      <c r="AB272" s="1"/>
      <c r="AC272" s="1" t="s">
        <v>65</v>
      </c>
      <c r="AD272" s="1" t="s">
        <v>65</v>
      </c>
      <c r="AE272" s="1"/>
      <c r="AF272" s="1" t="s">
        <v>65</v>
      </c>
      <c r="AG272" s="1" t="s">
        <v>6014</v>
      </c>
      <c r="AH272" s="1"/>
      <c r="AI272" s="7" t="s">
        <v>6015</v>
      </c>
      <c r="AJ272" s="1"/>
      <c r="AK272" s="1"/>
      <c r="AL272" s="1"/>
      <c r="AM272" s="1"/>
      <c r="AN272" s="1"/>
    </row>
    <row r="273" hidden="1">
      <c r="A273" s="1" t="s">
        <v>6021</v>
      </c>
      <c r="B273" s="1" t="s">
        <v>6021</v>
      </c>
      <c r="C273" s="4">
        <v>44012.54997685185</v>
      </c>
      <c r="D273" s="5">
        <v>1.593522718E9</v>
      </c>
      <c r="E273" s="7" t="s">
        <v>6023</v>
      </c>
      <c r="F273" s="1" t="s">
        <v>6024</v>
      </c>
      <c r="G273" s="1" t="s">
        <v>6026</v>
      </c>
      <c r="H273" s="1" t="s">
        <v>6027</v>
      </c>
      <c r="I273" s="5">
        <v>8.066261E7</v>
      </c>
      <c r="J273" s="7" t="s">
        <v>6030</v>
      </c>
      <c r="K273" s="7" t="s">
        <v>6034</v>
      </c>
      <c r="L273" s="9" t="b">
        <v>0</v>
      </c>
      <c r="M273" s="1" t="s">
        <v>85</v>
      </c>
      <c r="N273" s="1" t="s">
        <v>68</v>
      </c>
      <c r="O273" s="1" t="s">
        <v>65</v>
      </c>
      <c r="P273" s="5">
        <v>0.0</v>
      </c>
      <c r="Q273" s="5">
        <v>0.0</v>
      </c>
      <c r="R273" s="5">
        <v>1.0</v>
      </c>
      <c r="S273" s="5">
        <v>0.0</v>
      </c>
      <c r="T273" s="1"/>
      <c r="U273" s="1" t="s">
        <v>65</v>
      </c>
      <c r="V273" s="1"/>
      <c r="W273" s="1" t="s">
        <v>65</v>
      </c>
      <c r="X273" s="1"/>
      <c r="Y273" s="1"/>
      <c r="Z273" s="1"/>
      <c r="AA273" s="1"/>
      <c r="AB273" s="1"/>
      <c r="AC273" s="1" t="s">
        <v>65</v>
      </c>
      <c r="AD273" s="1" t="s">
        <v>65</v>
      </c>
      <c r="AE273" s="1"/>
      <c r="AF273" s="1" t="s">
        <v>65</v>
      </c>
      <c r="AG273" s="1" t="s">
        <v>6046</v>
      </c>
      <c r="AH273" s="1"/>
      <c r="AI273" s="7" t="s">
        <v>6047</v>
      </c>
      <c r="AJ273" s="1"/>
      <c r="AK273" s="1"/>
      <c r="AL273" s="1"/>
      <c r="AM273" s="1"/>
      <c r="AN273" s="1"/>
    </row>
    <row r="274">
      <c r="A274" s="1" t="s">
        <v>6052</v>
      </c>
      <c r="B274" s="1" t="s">
        <v>6052</v>
      </c>
      <c r="C274" s="4">
        <v>44009.60978009259</v>
      </c>
      <c r="D274" s="5">
        <v>1.593268685E9</v>
      </c>
      <c r="E274" s="7" t="s">
        <v>6053</v>
      </c>
      <c r="F274" s="1" t="s">
        <v>6059</v>
      </c>
      <c r="G274" s="1" t="s">
        <v>3032</v>
      </c>
      <c r="H274" s="1" t="s">
        <v>3033</v>
      </c>
      <c r="I274" s="1" t="s">
        <v>3034</v>
      </c>
      <c r="J274" s="7" t="s">
        <v>3035</v>
      </c>
      <c r="K274" s="7" t="s">
        <v>3037</v>
      </c>
      <c r="L274" s="9" t="b">
        <v>0</v>
      </c>
      <c r="M274" s="1" t="s">
        <v>67</v>
      </c>
      <c r="N274" s="1" t="s">
        <v>64</v>
      </c>
      <c r="O274" s="1" t="s">
        <v>65</v>
      </c>
      <c r="P274" s="5">
        <v>1.0</v>
      </c>
      <c r="Q274" s="5">
        <v>0.0</v>
      </c>
      <c r="R274" s="5">
        <v>1.0</v>
      </c>
      <c r="S274" s="5">
        <v>0.0</v>
      </c>
      <c r="T274" s="1"/>
      <c r="U274" s="1" t="s">
        <v>65</v>
      </c>
      <c r="V274" s="1"/>
      <c r="W274" s="1" t="s">
        <v>65</v>
      </c>
      <c r="X274" s="1"/>
      <c r="Y274" s="1"/>
      <c r="Z274" s="1"/>
      <c r="AA274" s="1"/>
      <c r="AB274" s="1"/>
      <c r="AC274" s="1" t="s">
        <v>65</v>
      </c>
      <c r="AD274" s="1" t="s">
        <v>65</v>
      </c>
      <c r="AE274" s="1"/>
      <c r="AF274" s="1" t="s">
        <v>65</v>
      </c>
      <c r="AG274" s="1" t="s">
        <v>6060</v>
      </c>
      <c r="AH274" s="1"/>
      <c r="AI274" s="7" t="s">
        <v>6061</v>
      </c>
      <c r="AJ274" s="1"/>
      <c r="AK274" s="1"/>
      <c r="AL274" s="1"/>
      <c r="AM274" s="1"/>
      <c r="AN274" s="1"/>
    </row>
    <row r="275">
      <c r="A275" s="1" t="s">
        <v>6065</v>
      </c>
      <c r="B275" s="1" t="s">
        <v>6065</v>
      </c>
      <c r="C275" s="4">
        <v>44002.31619212963</v>
      </c>
      <c r="D275" s="5">
        <v>1.592638519E9</v>
      </c>
      <c r="E275" s="7" t="s">
        <v>6066</v>
      </c>
      <c r="F275" s="1" t="s">
        <v>6075</v>
      </c>
      <c r="G275" s="1" t="s">
        <v>4269</v>
      </c>
      <c r="H275" s="1" t="s">
        <v>4269</v>
      </c>
      <c r="I275" s="5">
        <v>3.329875162E9</v>
      </c>
      <c r="J275" s="7" t="s">
        <v>4270</v>
      </c>
      <c r="K275" s="7" t="s">
        <v>4271</v>
      </c>
      <c r="L275" s="9" t="b">
        <v>0</v>
      </c>
      <c r="M275" s="1" t="s">
        <v>67</v>
      </c>
      <c r="N275" s="1" t="s">
        <v>64</v>
      </c>
      <c r="O275" s="1" t="s">
        <v>65</v>
      </c>
      <c r="P275" s="5">
        <v>1.0</v>
      </c>
      <c r="Q275" s="5">
        <v>0.0</v>
      </c>
      <c r="R275" s="5">
        <v>6.0</v>
      </c>
      <c r="S275" s="5">
        <v>0.0</v>
      </c>
      <c r="T275" s="1"/>
      <c r="U275" s="1" t="s">
        <v>65</v>
      </c>
      <c r="V275" s="1"/>
      <c r="W275" s="1" t="s">
        <v>71</v>
      </c>
      <c r="X275" s="1" t="s">
        <v>6081</v>
      </c>
      <c r="Y275" s="1" t="s">
        <v>4891</v>
      </c>
      <c r="Z275" s="1" t="s">
        <v>6082</v>
      </c>
      <c r="AA275" s="1"/>
      <c r="AB275" s="1"/>
      <c r="AC275" s="1" t="s">
        <v>65</v>
      </c>
      <c r="AD275" s="1" t="s">
        <v>65</v>
      </c>
      <c r="AE275" s="1"/>
      <c r="AF275" s="1" t="s">
        <v>65</v>
      </c>
      <c r="AG275" s="1" t="s">
        <v>1215</v>
      </c>
      <c r="AH275" s="1"/>
      <c r="AI275" s="1"/>
      <c r="AJ275" s="1"/>
      <c r="AK275" s="1"/>
      <c r="AL275" s="1"/>
      <c r="AM275" s="1"/>
      <c r="AN275" s="1"/>
    </row>
    <row r="276" hidden="1">
      <c r="A276" s="1" t="s">
        <v>6083</v>
      </c>
      <c r="B276" s="1" t="s">
        <v>6083</v>
      </c>
      <c r="C276" s="4">
        <v>44000.11599537037</v>
      </c>
      <c r="D276" s="5">
        <v>1.592448422E9</v>
      </c>
      <c r="E276" s="7" t="s">
        <v>6084</v>
      </c>
      <c r="F276" s="1" t="s">
        <v>6086</v>
      </c>
      <c r="G276" s="1" t="s">
        <v>6087</v>
      </c>
      <c r="H276" s="1" t="s">
        <v>6088</v>
      </c>
      <c r="I276" s="1" t="s">
        <v>6089</v>
      </c>
      <c r="J276" s="7" t="s">
        <v>6090</v>
      </c>
      <c r="K276" s="7" t="s">
        <v>6094</v>
      </c>
      <c r="L276" s="9" t="b">
        <v>0</v>
      </c>
      <c r="M276" s="1" t="s">
        <v>67</v>
      </c>
      <c r="N276" s="1" t="s">
        <v>824</v>
      </c>
      <c r="O276" s="1" t="s">
        <v>65</v>
      </c>
      <c r="P276" s="5">
        <v>0.0</v>
      </c>
      <c r="Q276" s="5">
        <v>0.0</v>
      </c>
      <c r="R276" s="5">
        <v>0.0</v>
      </c>
      <c r="S276" s="5">
        <v>0.0</v>
      </c>
      <c r="T276" s="1"/>
      <c r="U276" s="1" t="s">
        <v>65</v>
      </c>
      <c r="V276" s="1"/>
      <c r="W276" s="1" t="s">
        <v>65</v>
      </c>
      <c r="X276" s="1"/>
      <c r="Y276" s="1"/>
      <c r="Z276" s="1"/>
      <c r="AA276" s="1"/>
      <c r="AB276" s="1"/>
      <c r="AC276" s="1" t="s">
        <v>65</v>
      </c>
      <c r="AD276" s="1" t="s">
        <v>65</v>
      </c>
      <c r="AE276" s="1"/>
      <c r="AF276" s="1" t="s">
        <v>65</v>
      </c>
      <c r="AG276" s="1" t="s">
        <v>3633</v>
      </c>
      <c r="AH276" s="1"/>
      <c r="AI276" s="7" t="s">
        <v>6104</v>
      </c>
      <c r="AJ276" s="1"/>
      <c r="AK276" s="1"/>
      <c r="AL276" s="1"/>
      <c r="AM276" s="1"/>
      <c r="AN276" s="1"/>
    </row>
    <row r="277">
      <c r="A277" s="1" t="s">
        <v>6108</v>
      </c>
      <c r="B277" s="1" t="s">
        <v>6108</v>
      </c>
      <c r="C277" s="4">
        <v>43992.63627314815</v>
      </c>
      <c r="D277" s="5">
        <v>1.591802174E9</v>
      </c>
      <c r="E277" s="7" t="s">
        <v>6111</v>
      </c>
      <c r="F277" s="1" t="s">
        <v>6113</v>
      </c>
      <c r="G277" s="1" t="s">
        <v>6114</v>
      </c>
      <c r="H277" s="1" t="s">
        <v>6115</v>
      </c>
      <c r="I277" s="5">
        <v>2.271551214E9</v>
      </c>
      <c r="J277" s="7" t="s">
        <v>6116</v>
      </c>
      <c r="K277" s="7" t="s">
        <v>6128</v>
      </c>
      <c r="L277" s="9" t="b">
        <v>0</v>
      </c>
      <c r="M277" s="1" t="s">
        <v>67</v>
      </c>
      <c r="N277" s="1" t="s">
        <v>64</v>
      </c>
      <c r="O277" s="1" t="s">
        <v>65</v>
      </c>
      <c r="P277" s="5">
        <v>0.0</v>
      </c>
      <c r="Q277" s="5">
        <v>0.0</v>
      </c>
      <c r="R277" s="5">
        <v>8.0</v>
      </c>
      <c r="S277" s="5">
        <v>0.0</v>
      </c>
      <c r="T277" s="1"/>
      <c r="U277" s="1" t="s">
        <v>65</v>
      </c>
      <c r="V277" s="1"/>
      <c r="W277" s="1" t="s">
        <v>65</v>
      </c>
      <c r="X277" s="1"/>
      <c r="Y277" s="1"/>
      <c r="Z277" s="1"/>
      <c r="AA277" s="1"/>
      <c r="AB277" s="1"/>
      <c r="AC277" s="1" t="s">
        <v>65</v>
      </c>
      <c r="AD277" s="1" t="s">
        <v>65</v>
      </c>
      <c r="AE277" s="1"/>
      <c r="AF277" s="1" t="s">
        <v>65</v>
      </c>
      <c r="AG277" s="1" t="s">
        <v>6130</v>
      </c>
      <c r="AH277" s="1"/>
      <c r="AI277" s="1"/>
      <c r="AJ277" s="1"/>
      <c r="AK277" s="1"/>
      <c r="AL277" s="1"/>
      <c r="AM277" s="1"/>
      <c r="AN277" s="1"/>
    </row>
    <row r="278">
      <c r="A278" s="1" t="s">
        <v>6132</v>
      </c>
      <c r="B278" s="1" t="s">
        <v>6132</v>
      </c>
      <c r="C278" s="4">
        <v>43973.909363425926</v>
      </c>
      <c r="D278" s="5">
        <v>1.590184169E9</v>
      </c>
      <c r="E278" s="7" t="s">
        <v>6133</v>
      </c>
      <c r="F278" s="1" t="s">
        <v>6137</v>
      </c>
      <c r="G278" s="1" t="s">
        <v>391</v>
      </c>
      <c r="H278" s="1" t="s">
        <v>392</v>
      </c>
      <c r="I278" s="1" t="s">
        <v>394</v>
      </c>
      <c r="J278" s="7" t="s">
        <v>396</v>
      </c>
      <c r="K278" s="7" t="s">
        <v>1081</v>
      </c>
      <c r="L278" s="9" t="b">
        <v>0</v>
      </c>
      <c r="M278" s="1" t="s">
        <v>85</v>
      </c>
      <c r="N278" s="1" t="s">
        <v>64</v>
      </c>
      <c r="O278" s="1" t="s">
        <v>65</v>
      </c>
      <c r="P278" s="5">
        <v>0.0</v>
      </c>
      <c r="Q278" s="5">
        <v>1.0</v>
      </c>
      <c r="R278" s="5">
        <v>4.0</v>
      </c>
      <c r="S278" s="5">
        <v>0.0</v>
      </c>
      <c r="T278" s="1"/>
      <c r="U278" s="1" t="s">
        <v>65</v>
      </c>
      <c r="V278" s="1"/>
      <c r="W278" s="1" t="s">
        <v>65</v>
      </c>
      <c r="X278" s="1"/>
      <c r="Y278" s="1"/>
      <c r="Z278" s="1"/>
      <c r="AA278" s="1"/>
      <c r="AB278" s="1"/>
      <c r="AC278" s="1" t="s">
        <v>65</v>
      </c>
      <c r="AD278" s="1" t="s">
        <v>65</v>
      </c>
      <c r="AE278" s="1"/>
      <c r="AF278" s="1" t="s">
        <v>65</v>
      </c>
      <c r="AG278" s="1" t="s">
        <v>414</v>
      </c>
      <c r="AH278" s="1"/>
      <c r="AI278" s="7" t="s">
        <v>6141</v>
      </c>
      <c r="AJ278" s="1"/>
      <c r="AK278" s="1"/>
      <c r="AL278" s="1"/>
      <c r="AM278" s="1"/>
      <c r="AN278" s="1"/>
    </row>
    <row r="279" hidden="1">
      <c r="A279" s="1" t="s">
        <v>6143</v>
      </c>
      <c r="B279" s="1" t="s">
        <v>6143</v>
      </c>
      <c r="C279" s="4">
        <v>43972.324166666665</v>
      </c>
      <c r="D279" s="5">
        <v>1.590047208E9</v>
      </c>
      <c r="E279" s="7" t="s">
        <v>6144</v>
      </c>
      <c r="F279" s="1" t="s">
        <v>6145</v>
      </c>
      <c r="G279" s="1" t="s">
        <v>4269</v>
      </c>
      <c r="H279" s="1" t="s">
        <v>4269</v>
      </c>
      <c r="I279" s="5">
        <v>3.329875162E9</v>
      </c>
      <c r="J279" s="7" t="s">
        <v>4270</v>
      </c>
      <c r="K279" s="7" t="s">
        <v>4271</v>
      </c>
      <c r="L279" s="9" t="b">
        <v>0</v>
      </c>
      <c r="M279" s="1" t="s">
        <v>67</v>
      </c>
      <c r="N279" s="1" t="s">
        <v>2138</v>
      </c>
      <c r="O279" s="1" t="s">
        <v>65</v>
      </c>
      <c r="P279" s="5">
        <v>1.0</v>
      </c>
      <c r="Q279" s="5">
        <v>0.0</v>
      </c>
      <c r="R279" s="5">
        <v>4.0</v>
      </c>
      <c r="S279" s="5">
        <v>0.0</v>
      </c>
      <c r="T279" s="1"/>
      <c r="U279" s="1" t="s">
        <v>65</v>
      </c>
      <c r="V279" s="1"/>
      <c r="W279" s="1" t="s">
        <v>71</v>
      </c>
      <c r="X279" s="1" t="s">
        <v>6147</v>
      </c>
      <c r="Y279" s="1" t="s">
        <v>959</v>
      </c>
      <c r="Z279" s="1" t="s">
        <v>6149</v>
      </c>
      <c r="AA279" s="1"/>
      <c r="AB279" s="1"/>
      <c r="AC279" s="1" t="s">
        <v>65</v>
      </c>
      <c r="AD279" s="1" t="s">
        <v>65</v>
      </c>
      <c r="AE279" s="1"/>
      <c r="AF279" s="1" t="s">
        <v>65</v>
      </c>
      <c r="AG279" s="1" t="s">
        <v>1215</v>
      </c>
      <c r="AH279" s="1"/>
      <c r="AI279" s="1"/>
      <c r="AJ279" s="1"/>
      <c r="AK279" s="1"/>
      <c r="AL279" s="1"/>
      <c r="AM279" s="1"/>
      <c r="AN279" s="1"/>
    </row>
    <row r="280">
      <c r="A280" s="1" t="s">
        <v>6150</v>
      </c>
      <c r="B280" s="1" t="s">
        <v>6150</v>
      </c>
      <c r="C280" s="4">
        <v>43971.65893518519</v>
      </c>
      <c r="D280" s="5">
        <v>1.589989732E9</v>
      </c>
      <c r="E280" s="7" t="s">
        <v>6151</v>
      </c>
      <c r="F280" s="1" t="s">
        <v>6152</v>
      </c>
      <c r="G280" s="1" t="s">
        <v>4269</v>
      </c>
      <c r="H280" s="1" t="s">
        <v>4269</v>
      </c>
      <c r="I280" s="5">
        <v>3.329875162E9</v>
      </c>
      <c r="J280" s="7" t="s">
        <v>4270</v>
      </c>
      <c r="K280" s="7" t="s">
        <v>4271</v>
      </c>
      <c r="L280" s="9" t="b">
        <v>0</v>
      </c>
      <c r="M280" s="1" t="s">
        <v>67</v>
      </c>
      <c r="N280" s="1" t="s">
        <v>64</v>
      </c>
      <c r="O280" s="1" t="s">
        <v>65</v>
      </c>
      <c r="P280" s="5">
        <v>1.0</v>
      </c>
      <c r="Q280" s="5">
        <v>1.0</v>
      </c>
      <c r="R280" s="5">
        <v>2.0</v>
      </c>
      <c r="S280" s="5">
        <v>0.0</v>
      </c>
      <c r="T280" s="1"/>
      <c r="U280" s="1" t="s">
        <v>65</v>
      </c>
      <c r="V280" s="1"/>
      <c r="W280" s="1" t="s">
        <v>65</v>
      </c>
      <c r="X280" s="1"/>
      <c r="Y280" s="1"/>
      <c r="Z280" s="1"/>
      <c r="AA280" s="1"/>
      <c r="AB280" s="1"/>
      <c r="AC280" s="1" t="s">
        <v>65</v>
      </c>
      <c r="AD280" s="1" t="s">
        <v>65</v>
      </c>
      <c r="AE280" s="1"/>
      <c r="AF280" s="1" t="s">
        <v>65</v>
      </c>
      <c r="AG280" s="1" t="s">
        <v>1215</v>
      </c>
      <c r="AH280" s="1"/>
      <c r="AI280" s="1"/>
      <c r="AJ280" s="1"/>
      <c r="AK280" s="1"/>
      <c r="AL280" s="1"/>
      <c r="AM280" s="1"/>
      <c r="AN280" s="1"/>
    </row>
    <row r="281" hidden="1">
      <c r="A281" s="1" t="s">
        <v>6158</v>
      </c>
      <c r="B281" s="1" t="s">
        <v>6158</v>
      </c>
      <c r="C281" s="4">
        <v>43954.59133101852</v>
      </c>
      <c r="D281" s="5">
        <v>1.588515091E9</v>
      </c>
      <c r="E281" s="7" t="s">
        <v>6161</v>
      </c>
      <c r="F281" s="1" t="s">
        <v>6167</v>
      </c>
      <c r="G281" s="1" t="s">
        <v>6168</v>
      </c>
      <c r="H281" s="1" t="s">
        <v>6169</v>
      </c>
      <c r="I281" s="1" t="s">
        <v>6170</v>
      </c>
      <c r="J281" s="7" t="s">
        <v>6171</v>
      </c>
      <c r="K281" s="1"/>
      <c r="L281" s="9" t="b">
        <v>0</v>
      </c>
      <c r="M281" s="1" t="s">
        <v>2805</v>
      </c>
      <c r="N281" s="1" t="s">
        <v>1235</v>
      </c>
      <c r="O281" s="1" t="s">
        <v>65</v>
      </c>
      <c r="P281" s="5">
        <v>0.0</v>
      </c>
      <c r="Q281" s="5">
        <v>0.0</v>
      </c>
      <c r="R281" s="5">
        <v>1.0</v>
      </c>
      <c r="S281" s="5">
        <v>0.0</v>
      </c>
      <c r="T281" s="1"/>
      <c r="U281" s="1" t="s">
        <v>65</v>
      </c>
      <c r="V281" s="1"/>
      <c r="W281" s="1" t="s">
        <v>65</v>
      </c>
      <c r="X281" s="1"/>
      <c r="Y281" s="1"/>
      <c r="Z281" s="1"/>
      <c r="AA281" s="1"/>
      <c r="AB281" s="1"/>
      <c r="AC281" s="1" t="s">
        <v>65</v>
      </c>
      <c r="AD281" s="1" t="s">
        <v>65</v>
      </c>
      <c r="AE281" s="1"/>
      <c r="AF281" s="1" t="s">
        <v>65</v>
      </c>
      <c r="AG281" s="1" t="s">
        <v>6175</v>
      </c>
      <c r="AH281" s="7" t="s">
        <v>6176</v>
      </c>
      <c r="AI281" s="1"/>
      <c r="AJ281" s="1"/>
      <c r="AK281" s="1"/>
      <c r="AL281" s="1"/>
      <c r="AM281" s="1"/>
      <c r="AN281" s="1"/>
    </row>
    <row r="282">
      <c r="A282" s="1" t="s">
        <v>6179</v>
      </c>
      <c r="B282" s="1" t="s">
        <v>6179</v>
      </c>
      <c r="C282" s="4">
        <v>43942.50733796296</v>
      </c>
      <c r="D282" s="5">
        <v>1.587471034E9</v>
      </c>
      <c r="E282" s="7" t="s">
        <v>6180</v>
      </c>
      <c r="F282" s="1" t="s">
        <v>6186</v>
      </c>
      <c r="G282" s="1" t="s">
        <v>2995</v>
      </c>
      <c r="H282" s="1" t="s">
        <v>5504</v>
      </c>
      <c r="I282" s="5">
        <v>3.341640273E9</v>
      </c>
      <c r="J282" s="7" t="s">
        <v>5505</v>
      </c>
      <c r="K282" s="7" t="s">
        <v>5514</v>
      </c>
      <c r="L282" s="9" t="b">
        <v>0</v>
      </c>
      <c r="M282" s="1" t="s">
        <v>66</v>
      </c>
      <c r="N282" s="1" t="s">
        <v>64</v>
      </c>
      <c r="O282" s="1" t="s">
        <v>65</v>
      </c>
      <c r="P282" s="5">
        <v>1.0</v>
      </c>
      <c r="Q282" s="5">
        <v>0.0</v>
      </c>
      <c r="R282" s="5">
        <v>2.0</v>
      </c>
      <c r="S282" s="5">
        <v>1.0</v>
      </c>
      <c r="T282" s="1"/>
      <c r="U282" s="1" t="s">
        <v>65</v>
      </c>
      <c r="V282" s="1"/>
      <c r="W282" s="1" t="s">
        <v>65</v>
      </c>
      <c r="X282" s="1"/>
      <c r="Y282" s="1"/>
      <c r="Z282" s="1"/>
      <c r="AA282" s="1"/>
      <c r="AB282" s="1"/>
      <c r="AC282" s="1" t="s">
        <v>65</v>
      </c>
      <c r="AD282" s="1" t="s">
        <v>65</v>
      </c>
      <c r="AE282" s="1"/>
      <c r="AF282" s="1" t="s">
        <v>65</v>
      </c>
      <c r="AG282" s="1" t="s">
        <v>6188</v>
      </c>
      <c r="AH282" s="1"/>
      <c r="AI282" s="7" t="s">
        <v>6189</v>
      </c>
      <c r="AJ282" s="1"/>
      <c r="AK282" s="1" t="s">
        <v>2995</v>
      </c>
      <c r="AL282" s="1"/>
      <c r="AM282" s="1"/>
      <c r="AN282" s="1"/>
    </row>
    <row r="283">
      <c r="A283" s="1" t="s">
        <v>6190</v>
      </c>
      <c r="B283" s="1" t="s">
        <v>6190</v>
      </c>
      <c r="C283" s="4">
        <v>43922.461805555555</v>
      </c>
      <c r="D283" s="5">
        <v>1.5857391E9</v>
      </c>
      <c r="E283" s="7" t="s">
        <v>6191</v>
      </c>
      <c r="F283" s="1" t="s">
        <v>6194</v>
      </c>
      <c r="G283" s="1" t="s">
        <v>5854</v>
      </c>
      <c r="H283" s="1" t="s">
        <v>5854</v>
      </c>
      <c r="I283" s="1" t="s">
        <v>5855</v>
      </c>
      <c r="J283" s="7" t="s">
        <v>5856</v>
      </c>
      <c r="K283" s="7" t="s">
        <v>5860</v>
      </c>
      <c r="L283" s="9" t="b">
        <v>0</v>
      </c>
      <c r="M283" s="1" t="s">
        <v>66</v>
      </c>
      <c r="N283" s="1" t="s">
        <v>64</v>
      </c>
      <c r="O283" s="1" t="s">
        <v>65</v>
      </c>
      <c r="P283" s="5">
        <v>0.0</v>
      </c>
      <c r="Q283" s="5">
        <v>0.0</v>
      </c>
      <c r="R283" s="5">
        <v>2.0</v>
      </c>
      <c r="S283" s="5">
        <v>0.0</v>
      </c>
      <c r="T283" s="1"/>
      <c r="U283" s="1" t="s">
        <v>65</v>
      </c>
      <c r="V283" s="1"/>
      <c r="W283" s="1" t="s">
        <v>65</v>
      </c>
      <c r="X283" s="1"/>
      <c r="Y283" s="1"/>
      <c r="Z283" s="1"/>
      <c r="AA283" s="1"/>
      <c r="AB283" s="1"/>
      <c r="AC283" s="1" t="s">
        <v>65</v>
      </c>
      <c r="AD283" s="1" t="s">
        <v>65</v>
      </c>
      <c r="AE283" s="1"/>
      <c r="AF283" s="1" t="s">
        <v>65</v>
      </c>
      <c r="AG283" s="1" t="s">
        <v>6199</v>
      </c>
      <c r="AH283" s="7" t="s">
        <v>5866</v>
      </c>
      <c r="AI283" s="7" t="s">
        <v>6200</v>
      </c>
      <c r="AJ283" s="1"/>
      <c r="AK283" s="1"/>
      <c r="AL283" s="1"/>
      <c r="AM283" s="1"/>
      <c r="AN283" s="1"/>
    </row>
    <row r="284" hidden="1">
      <c r="A284" s="1" t="s">
        <v>6202</v>
      </c>
      <c r="B284" s="1" t="s">
        <v>6202</v>
      </c>
      <c r="C284" s="4">
        <v>43921.43577546296</v>
      </c>
      <c r="D284" s="5">
        <v>1.585650451E9</v>
      </c>
      <c r="E284" s="7" t="s">
        <v>6203</v>
      </c>
      <c r="F284" s="1" t="s">
        <v>6205</v>
      </c>
      <c r="G284" s="1" t="s">
        <v>6206</v>
      </c>
      <c r="H284" s="1" t="s">
        <v>6207</v>
      </c>
      <c r="I284" s="5">
        <v>1.59568467E8</v>
      </c>
      <c r="J284" s="7" t="s">
        <v>6208</v>
      </c>
      <c r="K284" s="7" t="s">
        <v>6210</v>
      </c>
      <c r="L284" s="9" t="b">
        <v>0</v>
      </c>
      <c r="M284" s="1" t="s">
        <v>2805</v>
      </c>
      <c r="N284" s="1" t="s">
        <v>4010</v>
      </c>
      <c r="O284" s="1" t="s">
        <v>65</v>
      </c>
      <c r="P284" s="5">
        <v>0.0</v>
      </c>
      <c r="Q284" s="5">
        <v>0.0</v>
      </c>
      <c r="R284" s="5">
        <v>0.0</v>
      </c>
      <c r="S284" s="5">
        <v>0.0</v>
      </c>
      <c r="T284" s="1"/>
      <c r="U284" s="1" t="s">
        <v>65</v>
      </c>
      <c r="V284" s="1"/>
      <c r="W284" s="1" t="s">
        <v>65</v>
      </c>
      <c r="X284" s="1"/>
      <c r="Y284" s="1"/>
      <c r="Z284" s="1"/>
      <c r="AA284" s="1"/>
      <c r="AB284" s="1"/>
      <c r="AC284" s="1" t="s">
        <v>65</v>
      </c>
      <c r="AD284" s="1" t="s">
        <v>65</v>
      </c>
      <c r="AE284" s="1"/>
      <c r="AF284" s="1" t="s">
        <v>65</v>
      </c>
      <c r="AG284" s="1" t="s">
        <v>6214</v>
      </c>
      <c r="AH284" s="7" t="s">
        <v>6215</v>
      </c>
      <c r="AI284" s="1"/>
      <c r="AJ284" s="1"/>
      <c r="AK284" s="1"/>
      <c r="AL284" s="1"/>
      <c r="AM284" s="1"/>
      <c r="AN284" s="1"/>
    </row>
    <row r="285">
      <c r="A285" s="1" t="s">
        <v>6222</v>
      </c>
      <c r="B285" s="1" t="s">
        <v>6222</v>
      </c>
      <c r="C285" s="4">
        <v>43919.876747685186</v>
      </c>
      <c r="D285" s="5">
        <v>1.585515751E9</v>
      </c>
      <c r="E285" s="7" t="s">
        <v>6225</v>
      </c>
      <c r="F285" s="1" t="s">
        <v>6227</v>
      </c>
      <c r="G285" s="1" t="s">
        <v>4269</v>
      </c>
      <c r="H285" s="1" t="s">
        <v>4269</v>
      </c>
      <c r="I285" s="5">
        <v>3.329875162E9</v>
      </c>
      <c r="J285" s="7" t="s">
        <v>4270</v>
      </c>
      <c r="K285" s="7" t="s">
        <v>4271</v>
      </c>
      <c r="L285" s="9" t="b">
        <v>0</v>
      </c>
      <c r="M285" s="1" t="s">
        <v>67</v>
      </c>
      <c r="N285" s="1" t="s">
        <v>64</v>
      </c>
      <c r="O285" s="1" t="s">
        <v>65</v>
      </c>
      <c r="P285" s="5">
        <v>1.0</v>
      </c>
      <c r="Q285" s="5">
        <v>0.0</v>
      </c>
      <c r="R285" s="5">
        <v>5.0</v>
      </c>
      <c r="S285" s="5">
        <v>0.0</v>
      </c>
      <c r="T285" s="1"/>
      <c r="U285" s="1" t="s">
        <v>65</v>
      </c>
      <c r="V285" s="1"/>
      <c r="W285" s="1" t="s">
        <v>71</v>
      </c>
      <c r="X285" s="1" t="s">
        <v>6229</v>
      </c>
      <c r="Y285" s="1" t="s">
        <v>4891</v>
      </c>
      <c r="Z285" s="1" t="s">
        <v>6230</v>
      </c>
      <c r="AA285" s="7" t="s">
        <v>6231</v>
      </c>
      <c r="AB285" s="1"/>
      <c r="AC285" s="1" t="s">
        <v>65</v>
      </c>
      <c r="AD285" s="1" t="s">
        <v>65</v>
      </c>
      <c r="AE285" s="1"/>
      <c r="AF285" s="1" t="s">
        <v>65</v>
      </c>
      <c r="AG285" s="1" t="s">
        <v>1215</v>
      </c>
      <c r="AH285" s="1"/>
      <c r="AI285" s="1"/>
      <c r="AJ285" s="1"/>
      <c r="AK285" s="1"/>
      <c r="AL285" s="1"/>
      <c r="AM285" s="1"/>
      <c r="AN285" s="1"/>
    </row>
    <row r="286">
      <c r="A286" s="1" t="s">
        <v>6233</v>
      </c>
      <c r="B286" s="1" t="s">
        <v>6233</v>
      </c>
      <c r="C286" s="4">
        <v>43914.9237037037</v>
      </c>
      <c r="D286" s="5">
        <v>1.585087808E9</v>
      </c>
      <c r="E286" s="7" t="s">
        <v>6234</v>
      </c>
      <c r="F286" s="1" t="s">
        <v>6238</v>
      </c>
      <c r="G286" s="1" t="s">
        <v>4269</v>
      </c>
      <c r="H286" s="1" t="s">
        <v>4269</v>
      </c>
      <c r="I286" s="5">
        <v>3.329875162E9</v>
      </c>
      <c r="J286" s="7" t="s">
        <v>4270</v>
      </c>
      <c r="K286" s="7" t="s">
        <v>4271</v>
      </c>
      <c r="L286" s="9" t="b">
        <v>0</v>
      </c>
      <c r="M286" s="1" t="s">
        <v>67</v>
      </c>
      <c r="N286" s="1" t="s">
        <v>64</v>
      </c>
      <c r="O286" s="1" t="s">
        <v>65</v>
      </c>
      <c r="P286" s="5">
        <v>3.0</v>
      </c>
      <c r="Q286" s="5">
        <v>0.0</v>
      </c>
      <c r="R286" s="5">
        <v>7.0</v>
      </c>
      <c r="S286" s="5">
        <v>0.0</v>
      </c>
      <c r="T286" s="1"/>
      <c r="U286" s="1" t="s">
        <v>65</v>
      </c>
      <c r="V286" s="1"/>
      <c r="W286" s="1" t="s">
        <v>71</v>
      </c>
      <c r="X286" s="1" t="s">
        <v>6240</v>
      </c>
      <c r="Y286" s="1" t="s">
        <v>4891</v>
      </c>
      <c r="Z286" s="1" t="s">
        <v>6241</v>
      </c>
      <c r="AA286" s="1"/>
      <c r="AB286" s="1"/>
      <c r="AC286" s="1" t="s">
        <v>65</v>
      </c>
      <c r="AD286" s="1" t="s">
        <v>65</v>
      </c>
      <c r="AE286" s="1"/>
      <c r="AF286" s="1" t="s">
        <v>65</v>
      </c>
      <c r="AG286" s="1" t="s">
        <v>561</v>
      </c>
      <c r="AH286" s="1"/>
      <c r="AI286" s="1"/>
      <c r="AJ286" s="1"/>
      <c r="AK286" s="1"/>
      <c r="AL286" s="1"/>
      <c r="AM286" s="1"/>
      <c r="AN286" s="1"/>
    </row>
    <row r="287">
      <c r="A287" s="1" t="s">
        <v>6242</v>
      </c>
      <c r="B287" s="1" t="s">
        <v>6242</v>
      </c>
      <c r="C287" s="4">
        <v>43914.38893518518</v>
      </c>
      <c r="D287" s="5">
        <v>1.585041604E9</v>
      </c>
      <c r="E287" s="7" t="s">
        <v>6244</v>
      </c>
      <c r="F287" s="1" t="s">
        <v>6247</v>
      </c>
      <c r="G287" s="1" t="s">
        <v>6248</v>
      </c>
      <c r="H287" s="7" t="s">
        <v>6249</v>
      </c>
      <c r="I287" s="5">
        <v>1.17036494E8</v>
      </c>
      <c r="J287" s="7" t="s">
        <v>6252</v>
      </c>
      <c r="K287" s="7" t="s">
        <v>6256</v>
      </c>
      <c r="L287" s="9" t="b">
        <v>0</v>
      </c>
      <c r="M287" s="1" t="s">
        <v>6262</v>
      </c>
      <c r="N287" s="1" t="s">
        <v>64</v>
      </c>
      <c r="O287" s="1" t="s">
        <v>65</v>
      </c>
      <c r="P287" s="5">
        <v>1.0</v>
      </c>
      <c r="Q287" s="5">
        <v>0.0</v>
      </c>
      <c r="R287" s="5">
        <v>1.0</v>
      </c>
      <c r="S287" s="5">
        <v>0.0</v>
      </c>
      <c r="T287" s="1"/>
      <c r="U287" s="1" t="s">
        <v>65</v>
      </c>
      <c r="V287" s="1"/>
      <c r="W287" s="1" t="s">
        <v>65</v>
      </c>
      <c r="X287" s="1"/>
      <c r="Y287" s="1"/>
      <c r="Z287" s="1"/>
      <c r="AA287" s="1"/>
      <c r="AB287" s="1"/>
      <c r="AC287" s="1" t="s">
        <v>65</v>
      </c>
      <c r="AD287" s="1" t="s">
        <v>65</v>
      </c>
      <c r="AE287" s="1"/>
      <c r="AF287" s="1" t="s">
        <v>65</v>
      </c>
      <c r="AG287" s="1" t="s">
        <v>1215</v>
      </c>
      <c r="AH287" s="7" t="s">
        <v>6267</v>
      </c>
      <c r="AI287" s="7" t="s">
        <v>6269</v>
      </c>
      <c r="AJ287" s="1"/>
      <c r="AK287" s="1"/>
      <c r="AL287" s="1"/>
      <c r="AM287" s="1"/>
      <c r="AN287" s="1"/>
    </row>
    <row r="288" hidden="1">
      <c r="A288" s="1" t="s">
        <v>6270</v>
      </c>
      <c r="B288" s="1" t="s">
        <v>6270</v>
      </c>
      <c r="C288" s="4">
        <v>43911.01917824074</v>
      </c>
      <c r="D288" s="5">
        <v>1.584750457E9</v>
      </c>
      <c r="E288" s="7" t="s">
        <v>6273</v>
      </c>
      <c r="F288" s="1" t="s">
        <v>6275</v>
      </c>
      <c r="G288" s="1" t="s">
        <v>5529</v>
      </c>
      <c r="H288" s="1" t="s">
        <v>5531</v>
      </c>
      <c r="I288" s="5">
        <v>3.6755465E7</v>
      </c>
      <c r="J288" s="7" t="s">
        <v>5532</v>
      </c>
      <c r="K288" s="1"/>
      <c r="L288" s="9" t="b">
        <v>0</v>
      </c>
      <c r="M288" s="1" t="s">
        <v>2805</v>
      </c>
      <c r="N288" s="1" t="s">
        <v>68</v>
      </c>
      <c r="O288" s="1" t="s">
        <v>65</v>
      </c>
      <c r="P288" s="5">
        <v>0.0</v>
      </c>
      <c r="Q288" s="5">
        <v>0.0</v>
      </c>
      <c r="R288" s="5">
        <v>0.0</v>
      </c>
      <c r="S288" s="5">
        <v>0.0</v>
      </c>
      <c r="T288" s="1"/>
      <c r="U288" s="1" t="s">
        <v>65</v>
      </c>
      <c r="V288" s="1"/>
      <c r="W288" s="1" t="s">
        <v>65</v>
      </c>
      <c r="X288" s="1"/>
      <c r="Y288" s="1"/>
      <c r="Z288" s="1"/>
      <c r="AA288" s="1"/>
      <c r="AB288" s="1"/>
      <c r="AC288" s="1" t="s">
        <v>65</v>
      </c>
      <c r="AD288" s="1" t="s">
        <v>65</v>
      </c>
      <c r="AE288" s="1"/>
      <c r="AF288" s="1" t="s">
        <v>65</v>
      </c>
      <c r="AG288" s="1" t="s">
        <v>6281</v>
      </c>
      <c r="AH288" s="7" t="s">
        <v>6282</v>
      </c>
      <c r="AI288" s="1"/>
      <c r="AJ288" s="1"/>
      <c r="AK288" s="1"/>
      <c r="AL288" s="1"/>
      <c r="AM288" s="1"/>
      <c r="AN288" s="1"/>
    </row>
    <row r="289" hidden="1">
      <c r="A289" s="1" t="s">
        <v>6284</v>
      </c>
      <c r="B289" s="1" t="s">
        <v>6284</v>
      </c>
      <c r="C289" s="4">
        <v>43885.6109375</v>
      </c>
      <c r="D289" s="5">
        <v>1.582555185E9</v>
      </c>
      <c r="E289" s="7" t="s">
        <v>6285</v>
      </c>
      <c r="F289" s="1" t="s">
        <v>6288</v>
      </c>
      <c r="G289" s="1" t="s">
        <v>6289</v>
      </c>
      <c r="H289" s="1" t="s">
        <v>6289</v>
      </c>
      <c r="I289" s="5">
        <v>2.84640458E8</v>
      </c>
      <c r="J289" s="7" t="s">
        <v>6290</v>
      </c>
      <c r="K289" s="7" t="s">
        <v>6298</v>
      </c>
      <c r="L289" s="9" t="b">
        <v>0</v>
      </c>
      <c r="M289" s="1" t="s">
        <v>67</v>
      </c>
      <c r="N289" s="1" t="s">
        <v>824</v>
      </c>
      <c r="O289" s="1" t="s">
        <v>65</v>
      </c>
      <c r="P289" s="5">
        <v>0.0</v>
      </c>
      <c r="Q289" s="5">
        <v>0.0</v>
      </c>
      <c r="R289" s="5">
        <v>0.0</v>
      </c>
      <c r="S289" s="5">
        <v>0.0</v>
      </c>
      <c r="T289" s="1"/>
      <c r="U289" s="1" t="s">
        <v>65</v>
      </c>
      <c r="V289" s="1"/>
      <c r="W289" s="1" t="s">
        <v>65</v>
      </c>
      <c r="X289" s="1"/>
      <c r="Y289" s="1"/>
      <c r="Z289" s="1"/>
      <c r="AA289" s="1"/>
      <c r="AB289" s="1"/>
      <c r="AC289" s="1" t="s">
        <v>65</v>
      </c>
      <c r="AD289" s="1" t="s">
        <v>65</v>
      </c>
      <c r="AE289" s="1"/>
      <c r="AF289" s="1" t="s">
        <v>65</v>
      </c>
      <c r="AG289" s="1" t="s">
        <v>6302</v>
      </c>
      <c r="AH289" s="7" t="s">
        <v>6303</v>
      </c>
      <c r="AI289" s="1"/>
      <c r="AJ289" s="1"/>
      <c r="AK289" s="1"/>
      <c r="AL289" s="1"/>
      <c r="AM289" s="1"/>
      <c r="AN289" s="1"/>
    </row>
    <row r="290">
      <c r="A290" s="1" t="s">
        <v>6307</v>
      </c>
      <c r="B290" s="1" t="s">
        <v>6307</v>
      </c>
      <c r="C290" s="4">
        <v>43875.32962962963</v>
      </c>
      <c r="D290" s="5">
        <v>1.58166688E9</v>
      </c>
      <c r="E290" s="7" t="s">
        <v>6308</v>
      </c>
      <c r="F290" s="1" t="s">
        <v>6316</v>
      </c>
      <c r="G290" s="1" t="s">
        <v>4269</v>
      </c>
      <c r="H290" s="1" t="s">
        <v>4269</v>
      </c>
      <c r="I290" s="5">
        <v>3.329875162E9</v>
      </c>
      <c r="J290" s="7" t="s">
        <v>4270</v>
      </c>
      <c r="K290" s="7" t="s">
        <v>4271</v>
      </c>
      <c r="L290" s="9" t="b">
        <v>0</v>
      </c>
      <c r="M290" s="1" t="s">
        <v>67</v>
      </c>
      <c r="N290" s="1" t="s">
        <v>64</v>
      </c>
      <c r="O290" s="1" t="s">
        <v>65</v>
      </c>
      <c r="P290" s="5">
        <v>1.0</v>
      </c>
      <c r="Q290" s="5">
        <v>0.0</v>
      </c>
      <c r="R290" s="5">
        <v>5.0</v>
      </c>
      <c r="S290" s="5">
        <v>0.0</v>
      </c>
      <c r="T290" s="1"/>
      <c r="U290" s="1" t="s">
        <v>65</v>
      </c>
      <c r="V290" s="1"/>
      <c r="W290" s="1" t="s">
        <v>65</v>
      </c>
      <c r="X290" s="1"/>
      <c r="Y290" s="1"/>
      <c r="Z290" s="1"/>
      <c r="AA290" s="1"/>
      <c r="AB290" s="1"/>
      <c r="AC290" s="1" t="s">
        <v>65</v>
      </c>
      <c r="AD290" s="1" t="s">
        <v>65</v>
      </c>
      <c r="AE290" s="1"/>
      <c r="AF290" s="1" t="s">
        <v>65</v>
      </c>
      <c r="AG290" s="1" t="s">
        <v>4825</v>
      </c>
      <c r="AH290" s="7" t="s">
        <v>6319</v>
      </c>
      <c r="AI290" s="1"/>
      <c r="AJ290" s="1"/>
      <c r="AK290" s="1"/>
      <c r="AL290" s="1"/>
      <c r="AM290" s="1"/>
      <c r="AN290" s="1"/>
    </row>
    <row r="291">
      <c r="A291" s="1" t="s">
        <v>6333</v>
      </c>
      <c r="B291" s="1" t="s">
        <v>6333</v>
      </c>
      <c r="C291" s="4">
        <v>43860.73971064815</v>
      </c>
      <c r="D291" s="5">
        <v>1.580406311E9</v>
      </c>
      <c r="E291" s="7" t="s">
        <v>6337</v>
      </c>
      <c r="F291" s="1" t="s">
        <v>6339</v>
      </c>
      <c r="G291" s="1" t="s">
        <v>6248</v>
      </c>
      <c r="H291" s="7" t="s">
        <v>6249</v>
      </c>
      <c r="I291" s="5">
        <v>1.17036494E8</v>
      </c>
      <c r="J291" s="7" t="s">
        <v>6252</v>
      </c>
      <c r="K291" s="7" t="s">
        <v>6256</v>
      </c>
      <c r="L291" s="9" t="b">
        <v>0</v>
      </c>
      <c r="M291" s="1" t="s">
        <v>6262</v>
      </c>
      <c r="N291" s="1" t="s">
        <v>64</v>
      </c>
      <c r="O291" s="1" t="s">
        <v>65</v>
      </c>
      <c r="P291" s="5">
        <v>1.0</v>
      </c>
      <c r="Q291" s="5">
        <v>0.0</v>
      </c>
      <c r="R291" s="5">
        <v>2.0</v>
      </c>
      <c r="S291" s="5">
        <v>1.0</v>
      </c>
      <c r="T291" s="1"/>
      <c r="U291" s="1" t="s">
        <v>65</v>
      </c>
      <c r="V291" s="1"/>
      <c r="W291" s="1" t="s">
        <v>65</v>
      </c>
      <c r="X291" s="1"/>
      <c r="Y291" s="1"/>
      <c r="Z291" s="1"/>
      <c r="AA291" s="1"/>
      <c r="AB291" s="1"/>
      <c r="AC291" s="1" t="s">
        <v>65</v>
      </c>
      <c r="AD291" s="1" t="s">
        <v>65</v>
      </c>
      <c r="AE291" s="1"/>
      <c r="AF291" s="1" t="s">
        <v>65</v>
      </c>
      <c r="AG291" s="1" t="s">
        <v>6345</v>
      </c>
      <c r="AH291" s="7" t="s">
        <v>6346</v>
      </c>
      <c r="AI291" s="7" t="s">
        <v>6351</v>
      </c>
      <c r="AJ291" s="1"/>
      <c r="AK291" s="1"/>
      <c r="AL291" s="1"/>
      <c r="AM291" s="1"/>
      <c r="AN291" s="1"/>
    </row>
    <row r="292">
      <c r="A292" s="1" t="s">
        <v>6354</v>
      </c>
      <c r="B292" s="1" t="s">
        <v>6354</v>
      </c>
      <c r="C292" s="4">
        <v>43845.89916666667</v>
      </c>
      <c r="D292" s="5">
        <v>1.579124088E9</v>
      </c>
      <c r="E292" s="7" t="s">
        <v>6355</v>
      </c>
      <c r="F292" s="1" t="s">
        <v>6358</v>
      </c>
      <c r="G292" s="1" t="s">
        <v>391</v>
      </c>
      <c r="H292" s="1" t="s">
        <v>392</v>
      </c>
      <c r="I292" s="1" t="s">
        <v>394</v>
      </c>
      <c r="J292" s="7" t="s">
        <v>396</v>
      </c>
      <c r="K292" s="7" t="s">
        <v>1081</v>
      </c>
      <c r="L292" s="9" t="b">
        <v>0</v>
      </c>
      <c r="M292" s="1" t="s">
        <v>85</v>
      </c>
      <c r="N292" s="1" t="s">
        <v>64</v>
      </c>
      <c r="O292" s="1" t="s">
        <v>65</v>
      </c>
      <c r="P292" s="5">
        <v>2.0</v>
      </c>
      <c r="Q292" s="5">
        <v>0.0</v>
      </c>
      <c r="R292" s="5">
        <v>4.0</v>
      </c>
      <c r="S292" s="5">
        <v>0.0</v>
      </c>
      <c r="T292" s="1"/>
      <c r="U292" s="1" t="s">
        <v>65</v>
      </c>
      <c r="V292" s="1"/>
      <c r="W292" s="1" t="s">
        <v>65</v>
      </c>
      <c r="X292" s="1"/>
      <c r="Y292" s="1"/>
      <c r="Z292" s="1"/>
      <c r="AA292" s="1"/>
      <c r="AB292" s="1"/>
      <c r="AC292" s="1" t="s">
        <v>65</v>
      </c>
      <c r="AD292" s="1" t="s">
        <v>65</v>
      </c>
      <c r="AE292" s="1"/>
      <c r="AF292" s="1" t="s">
        <v>65</v>
      </c>
      <c r="AG292" s="1" t="s">
        <v>882</v>
      </c>
      <c r="AH292" s="7" t="s">
        <v>6361</v>
      </c>
      <c r="AI292" s="1"/>
      <c r="AJ292" s="1"/>
      <c r="AK292" s="1"/>
      <c r="AL292" s="1"/>
      <c r="AM292" s="1"/>
      <c r="AN292" s="1"/>
    </row>
    <row r="293" hidden="1">
      <c r="A293" s="1" t="s">
        <v>6374</v>
      </c>
      <c r="B293" s="1" t="s">
        <v>6374</v>
      </c>
      <c r="C293" s="4">
        <v>43845.61059027778</v>
      </c>
      <c r="D293" s="5">
        <v>1.579099155E9</v>
      </c>
      <c r="E293" s="7" t="s">
        <v>6375</v>
      </c>
      <c r="F293" s="13" t="s">
        <v>6377</v>
      </c>
      <c r="G293" s="1" t="s">
        <v>6381</v>
      </c>
      <c r="H293" s="1" t="s">
        <v>6382</v>
      </c>
      <c r="I293" s="1" t="s">
        <v>6383</v>
      </c>
      <c r="J293" s="7" t="s">
        <v>6384</v>
      </c>
      <c r="K293" s="7" t="s">
        <v>6391</v>
      </c>
      <c r="L293" s="9" t="b">
        <v>0</v>
      </c>
      <c r="M293" s="1" t="s">
        <v>2805</v>
      </c>
      <c r="N293" s="1" t="s">
        <v>6393</v>
      </c>
      <c r="O293" s="1" t="s">
        <v>65</v>
      </c>
      <c r="P293" s="5">
        <v>0.0</v>
      </c>
      <c r="Q293" s="5">
        <v>0.0</v>
      </c>
      <c r="R293" s="5">
        <v>1.0</v>
      </c>
      <c r="S293" s="5">
        <v>0.0</v>
      </c>
      <c r="T293" s="1"/>
      <c r="U293" s="1" t="s">
        <v>65</v>
      </c>
      <c r="V293" s="1"/>
      <c r="W293" s="1" t="s">
        <v>65</v>
      </c>
      <c r="X293" s="1"/>
      <c r="Y293" s="1"/>
      <c r="Z293" s="1"/>
      <c r="AA293" s="1"/>
      <c r="AB293" s="1"/>
      <c r="AC293" s="1" t="s">
        <v>65</v>
      </c>
      <c r="AD293" s="1" t="s">
        <v>65</v>
      </c>
      <c r="AE293" s="1"/>
      <c r="AF293" s="1" t="s">
        <v>65</v>
      </c>
      <c r="AG293" s="1" t="s">
        <v>6394</v>
      </c>
      <c r="AH293" s="7" t="s">
        <v>6396</v>
      </c>
      <c r="AI293" s="1"/>
      <c r="AJ293" s="1"/>
      <c r="AK293" s="1"/>
      <c r="AL293" s="1"/>
      <c r="AM293" s="1"/>
      <c r="AN293" s="1"/>
    </row>
    <row r="294">
      <c r="A294" s="1" t="s">
        <v>6399</v>
      </c>
      <c r="B294" s="1" t="s">
        <v>6399</v>
      </c>
      <c r="C294" s="4">
        <v>43829.65275462963</v>
      </c>
      <c r="D294" s="5">
        <v>1.577720398E9</v>
      </c>
      <c r="E294" s="7" t="s">
        <v>6400</v>
      </c>
      <c r="F294" s="1" t="s">
        <v>6408</v>
      </c>
      <c r="G294" s="1" t="s">
        <v>2038</v>
      </c>
      <c r="H294" s="1" t="s">
        <v>2039</v>
      </c>
      <c r="I294" s="1" t="s">
        <v>2040</v>
      </c>
      <c r="J294" s="7" t="s">
        <v>2041</v>
      </c>
      <c r="K294" s="7" t="s">
        <v>2044</v>
      </c>
      <c r="L294" s="9" t="b">
        <v>0</v>
      </c>
      <c r="M294" s="1" t="s">
        <v>2805</v>
      </c>
      <c r="N294" s="1" t="s">
        <v>64</v>
      </c>
      <c r="O294" s="1" t="s">
        <v>65</v>
      </c>
      <c r="P294" s="5">
        <v>1.0</v>
      </c>
      <c r="Q294" s="5">
        <v>0.0</v>
      </c>
      <c r="R294" s="5">
        <v>3.0</v>
      </c>
      <c r="S294" s="5">
        <v>0.0</v>
      </c>
      <c r="T294" s="1"/>
      <c r="U294" s="1" t="s">
        <v>65</v>
      </c>
      <c r="V294" s="1"/>
      <c r="W294" s="1" t="s">
        <v>65</v>
      </c>
      <c r="X294" s="1"/>
      <c r="Y294" s="1"/>
      <c r="Z294" s="1"/>
      <c r="AA294" s="1"/>
      <c r="AB294" s="1"/>
      <c r="AC294" s="1" t="s">
        <v>65</v>
      </c>
      <c r="AD294" s="1" t="s">
        <v>65</v>
      </c>
      <c r="AE294" s="1"/>
      <c r="AF294" s="1" t="s">
        <v>65</v>
      </c>
      <c r="AG294" s="1" t="s">
        <v>5942</v>
      </c>
      <c r="AH294" s="7" t="s">
        <v>6414</v>
      </c>
      <c r="AI294" s="1"/>
      <c r="AJ294" s="1"/>
      <c r="AK294" s="1"/>
      <c r="AL294" s="1"/>
      <c r="AM294" s="1"/>
      <c r="AN294" s="1"/>
    </row>
    <row r="295" hidden="1">
      <c r="A295" s="1" t="s">
        <v>6415</v>
      </c>
      <c r="B295" s="1" t="s">
        <v>6415</v>
      </c>
      <c r="C295" s="4">
        <v>43774.59982638889</v>
      </c>
      <c r="D295" s="5">
        <v>1.572963825E9</v>
      </c>
      <c r="E295" s="7" t="s">
        <v>6417</v>
      </c>
      <c r="F295" s="1" t="s">
        <v>6418</v>
      </c>
      <c r="G295" s="1" t="s">
        <v>6419</v>
      </c>
      <c r="H295" s="7" t="s">
        <v>6420</v>
      </c>
      <c r="I295" s="5">
        <v>6.7782947E7</v>
      </c>
      <c r="J295" s="7" t="s">
        <v>6422</v>
      </c>
      <c r="K295" s="1"/>
      <c r="L295" s="9" t="b">
        <v>0</v>
      </c>
      <c r="M295" s="1" t="s">
        <v>2805</v>
      </c>
      <c r="N295" s="1" t="s">
        <v>68</v>
      </c>
      <c r="O295" s="1" t="s">
        <v>65</v>
      </c>
      <c r="P295" s="5">
        <v>0.0</v>
      </c>
      <c r="Q295" s="5">
        <v>0.0</v>
      </c>
      <c r="R295" s="5">
        <v>3.0</v>
      </c>
      <c r="S295" s="5">
        <v>1.0</v>
      </c>
      <c r="T295" s="1"/>
      <c r="U295" s="1" t="s">
        <v>65</v>
      </c>
      <c r="V295" s="1"/>
      <c r="W295" s="1" t="s">
        <v>65</v>
      </c>
      <c r="X295" s="1"/>
      <c r="Y295" s="1"/>
      <c r="Z295" s="1"/>
      <c r="AA295" s="1"/>
      <c r="AB295" s="1"/>
      <c r="AC295" s="1" t="s">
        <v>65</v>
      </c>
      <c r="AD295" s="1" t="s">
        <v>65</v>
      </c>
      <c r="AE295" s="1"/>
      <c r="AF295" s="1" t="s">
        <v>65</v>
      </c>
      <c r="AG295" s="1" t="s">
        <v>3633</v>
      </c>
      <c r="AH295" s="7" t="s">
        <v>6428</v>
      </c>
      <c r="AI295" s="1"/>
      <c r="AJ295" s="1"/>
      <c r="AK295" s="1"/>
      <c r="AL295" s="1"/>
      <c r="AM295" s="1"/>
      <c r="AN295" s="1"/>
    </row>
    <row r="296">
      <c r="A296" s="1" t="s">
        <v>6431</v>
      </c>
      <c r="B296" s="1" t="s">
        <v>6431</v>
      </c>
      <c r="C296" s="4">
        <v>43764.135625</v>
      </c>
      <c r="D296" s="5">
        <v>1.572059718E9</v>
      </c>
      <c r="E296" s="7" t="s">
        <v>6433</v>
      </c>
      <c r="F296" s="1" t="s">
        <v>6434</v>
      </c>
      <c r="G296" s="1" t="s">
        <v>6436</v>
      </c>
      <c r="H296" s="1" t="s">
        <v>6438</v>
      </c>
      <c r="I296" s="5">
        <v>7.2924205E7</v>
      </c>
      <c r="J296" s="7" t="s">
        <v>6441</v>
      </c>
      <c r="K296" s="7" t="s">
        <v>6444</v>
      </c>
      <c r="L296" s="9" t="b">
        <v>0</v>
      </c>
      <c r="M296" s="1" t="s">
        <v>85</v>
      </c>
      <c r="N296" s="1" t="s">
        <v>64</v>
      </c>
      <c r="O296" s="1" t="s">
        <v>65</v>
      </c>
      <c r="P296" s="5">
        <v>0.0</v>
      </c>
      <c r="Q296" s="5">
        <v>0.0</v>
      </c>
      <c r="R296" s="5">
        <v>2.0</v>
      </c>
      <c r="S296" s="5">
        <v>0.0</v>
      </c>
      <c r="T296" s="1"/>
      <c r="U296" s="1" t="s">
        <v>65</v>
      </c>
      <c r="V296" s="1"/>
      <c r="W296" s="1" t="s">
        <v>65</v>
      </c>
      <c r="X296" s="1"/>
      <c r="Y296" s="1"/>
      <c r="Z296" s="1"/>
      <c r="AA296" s="1"/>
      <c r="AB296" s="1"/>
      <c r="AC296" s="1" t="s">
        <v>65</v>
      </c>
      <c r="AD296" s="1" t="s">
        <v>65</v>
      </c>
      <c r="AE296" s="1"/>
      <c r="AF296" s="1" t="s">
        <v>65</v>
      </c>
      <c r="AG296" s="1" t="s">
        <v>6451</v>
      </c>
      <c r="AH296" s="1"/>
      <c r="AI296" s="1"/>
      <c r="AJ296" s="1"/>
      <c r="AK296" s="1"/>
      <c r="AL296" s="1"/>
      <c r="AM296" s="1"/>
      <c r="AN296" s="1"/>
    </row>
    <row r="297">
      <c r="A297" s="1" t="s">
        <v>6453</v>
      </c>
      <c r="B297" s="1" t="s">
        <v>6453</v>
      </c>
      <c r="C297" s="4">
        <v>43747.43284722222</v>
      </c>
      <c r="D297" s="5">
        <v>1.570616598E9</v>
      </c>
      <c r="E297" s="7" t="s">
        <v>6454</v>
      </c>
      <c r="F297" s="1" t="s">
        <v>6455</v>
      </c>
      <c r="G297" s="1" t="s">
        <v>2995</v>
      </c>
      <c r="H297" s="1" t="s">
        <v>5504</v>
      </c>
      <c r="I297" s="5">
        <v>3.341640273E9</v>
      </c>
      <c r="J297" s="7" t="s">
        <v>5505</v>
      </c>
      <c r="K297" s="7" t="s">
        <v>5514</v>
      </c>
      <c r="L297" s="9" t="b">
        <v>0</v>
      </c>
      <c r="M297" s="1" t="s">
        <v>66</v>
      </c>
      <c r="N297" s="1" t="s">
        <v>64</v>
      </c>
      <c r="O297" s="1" t="s">
        <v>65</v>
      </c>
      <c r="P297" s="5">
        <v>1.0</v>
      </c>
      <c r="Q297" s="5">
        <v>0.0</v>
      </c>
      <c r="R297" s="5">
        <v>0.0</v>
      </c>
      <c r="S297" s="5">
        <v>0.0</v>
      </c>
      <c r="T297" s="1"/>
      <c r="U297" s="1" t="s">
        <v>65</v>
      </c>
      <c r="V297" s="1"/>
      <c r="W297" s="1" t="s">
        <v>65</v>
      </c>
      <c r="X297" s="1"/>
      <c r="Y297" s="1"/>
      <c r="Z297" s="1"/>
      <c r="AA297" s="1"/>
      <c r="AB297" s="1"/>
      <c r="AC297" s="1" t="s">
        <v>65</v>
      </c>
      <c r="AD297" s="1" t="s">
        <v>65</v>
      </c>
      <c r="AE297" s="1"/>
      <c r="AF297" s="1" t="s">
        <v>65</v>
      </c>
      <c r="AG297" s="1" t="s">
        <v>6460</v>
      </c>
      <c r="AH297" s="7" t="s">
        <v>6461</v>
      </c>
      <c r="AI297" s="7" t="s">
        <v>6467</v>
      </c>
      <c r="AJ297" s="1"/>
      <c r="AK297" s="1"/>
      <c r="AL297" s="1"/>
      <c r="AM297" s="1"/>
      <c r="AN297" s="1"/>
    </row>
    <row r="298">
      <c r="A298" s="1" t="s">
        <v>6472</v>
      </c>
      <c r="B298" s="1" t="s">
        <v>6472</v>
      </c>
      <c r="C298" s="4">
        <v>43745.81894675926</v>
      </c>
      <c r="D298" s="5">
        <v>1.570477157E9</v>
      </c>
      <c r="E298" s="7" t="s">
        <v>6473</v>
      </c>
      <c r="F298" s="1" t="s">
        <v>6478</v>
      </c>
      <c r="G298" s="1" t="s">
        <v>6479</v>
      </c>
      <c r="H298" s="1" t="s">
        <v>6480</v>
      </c>
      <c r="I298" s="5">
        <v>9.5496118E7</v>
      </c>
      <c r="J298" s="7" t="s">
        <v>6481</v>
      </c>
      <c r="K298" s="7" t="s">
        <v>6486</v>
      </c>
      <c r="L298" s="9" t="b">
        <v>0</v>
      </c>
      <c r="M298" s="1" t="s">
        <v>6491</v>
      </c>
      <c r="N298" s="1" t="s">
        <v>64</v>
      </c>
      <c r="O298" s="1" t="s">
        <v>65</v>
      </c>
      <c r="P298" s="5">
        <v>0.0</v>
      </c>
      <c r="Q298" s="5">
        <v>0.0</v>
      </c>
      <c r="R298" s="5">
        <v>0.0</v>
      </c>
      <c r="S298" s="5">
        <v>0.0</v>
      </c>
      <c r="T298" s="1"/>
      <c r="U298" s="1" t="s">
        <v>65</v>
      </c>
      <c r="V298" s="1"/>
      <c r="W298" s="1" t="s">
        <v>65</v>
      </c>
      <c r="X298" s="1"/>
      <c r="Y298" s="1"/>
      <c r="Z298" s="1"/>
      <c r="AA298" s="1"/>
      <c r="AB298" s="1"/>
      <c r="AC298" s="1" t="s">
        <v>65</v>
      </c>
      <c r="AD298" s="1" t="s">
        <v>65</v>
      </c>
      <c r="AE298" s="1"/>
      <c r="AF298" s="1" t="s">
        <v>65</v>
      </c>
      <c r="AG298" s="1" t="s">
        <v>6493</v>
      </c>
      <c r="AH298" s="1"/>
      <c r="AI298" s="1"/>
      <c r="AJ298" s="1"/>
      <c r="AK298" s="1"/>
      <c r="AL298" s="1"/>
      <c r="AM298" s="1"/>
      <c r="AN298" s="1"/>
    </row>
    <row r="299">
      <c r="A299" s="1" t="s">
        <v>6496</v>
      </c>
      <c r="B299" s="1" t="s">
        <v>6496</v>
      </c>
      <c r="C299" s="4">
        <v>43744.83563657408</v>
      </c>
      <c r="D299" s="5">
        <v>1.570392199E9</v>
      </c>
      <c r="E299" s="7" t="s">
        <v>6498</v>
      </c>
      <c r="F299" s="1" t="s">
        <v>6500</v>
      </c>
      <c r="G299" s="1" t="s">
        <v>2995</v>
      </c>
      <c r="H299" s="1" t="s">
        <v>5504</v>
      </c>
      <c r="I299" s="5">
        <v>3.341640273E9</v>
      </c>
      <c r="J299" s="7" t="s">
        <v>5505</v>
      </c>
      <c r="K299" s="7" t="s">
        <v>5514</v>
      </c>
      <c r="L299" s="9" t="b">
        <v>0</v>
      </c>
      <c r="M299" s="1" t="s">
        <v>66</v>
      </c>
      <c r="N299" s="1" t="s">
        <v>64</v>
      </c>
      <c r="O299" s="1" t="s">
        <v>65</v>
      </c>
      <c r="P299" s="5">
        <v>1.0</v>
      </c>
      <c r="Q299" s="5">
        <v>0.0</v>
      </c>
      <c r="R299" s="5">
        <v>0.0</v>
      </c>
      <c r="S299" s="5">
        <v>0.0</v>
      </c>
      <c r="T299" s="1"/>
      <c r="U299" s="1" t="s">
        <v>65</v>
      </c>
      <c r="V299" s="1"/>
      <c r="W299" s="1" t="s">
        <v>65</v>
      </c>
      <c r="X299" s="1"/>
      <c r="Y299" s="1"/>
      <c r="Z299" s="1"/>
      <c r="AA299" s="1"/>
      <c r="AB299" s="1"/>
      <c r="AC299" s="1" t="s">
        <v>65</v>
      </c>
      <c r="AD299" s="1" t="s">
        <v>65</v>
      </c>
      <c r="AE299" s="1"/>
      <c r="AF299" s="1" t="s">
        <v>65</v>
      </c>
      <c r="AG299" s="1" t="s">
        <v>6506</v>
      </c>
      <c r="AH299" s="7" t="s">
        <v>6507</v>
      </c>
      <c r="AI299" s="1"/>
      <c r="AJ299" s="1"/>
      <c r="AK299" s="1"/>
      <c r="AL299" s="1"/>
      <c r="AM299" s="1"/>
      <c r="AN299" s="1"/>
    </row>
    <row r="300">
      <c r="A300" s="1" t="s">
        <v>6511</v>
      </c>
      <c r="B300" s="1" t="s">
        <v>6511</v>
      </c>
      <c r="C300" s="4">
        <v>43735.38554398148</v>
      </c>
      <c r="D300" s="5">
        <v>1.569575711E9</v>
      </c>
      <c r="E300" s="7" t="s">
        <v>6512</v>
      </c>
      <c r="F300" s="1" t="s">
        <v>6518</v>
      </c>
      <c r="G300" s="1" t="s">
        <v>6248</v>
      </c>
      <c r="H300" s="7" t="s">
        <v>6249</v>
      </c>
      <c r="I300" s="5">
        <v>1.17036494E8</v>
      </c>
      <c r="J300" s="7" t="s">
        <v>6252</v>
      </c>
      <c r="K300" s="7" t="s">
        <v>6256</v>
      </c>
      <c r="L300" s="9" t="b">
        <v>0</v>
      </c>
      <c r="M300" s="1" t="s">
        <v>6262</v>
      </c>
      <c r="N300" s="1" t="s">
        <v>64</v>
      </c>
      <c r="O300" s="1" t="s">
        <v>65</v>
      </c>
      <c r="P300" s="5">
        <v>0.0</v>
      </c>
      <c r="Q300" s="5">
        <v>0.0</v>
      </c>
      <c r="R300" s="5">
        <v>1.0</v>
      </c>
      <c r="S300" s="5">
        <v>0.0</v>
      </c>
      <c r="T300" s="1"/>
      <c r="U300" s="1" t="s">
        <v>65</v>
      </c>
      <c r="V300" s="1"/>
      <c r="W300" s="1" t="s">
        <v>65</v>
      </c>
      <c r="X300" s="1"/>
      <c r="Y300" s="1"/>
      <c r="Z300" s="1"/>
      <c r="AA300" s="1"/>
      <c r="AB300" s="1"/>
      <c r="AC300" s="1" t="s">
        <v>65</v>
      </c>
      <c r="AD300" s="1" t="s">
        <v>65</v>
      </c>
      <c r="AE300" s="1"/>
      <c r="AF300" s="1" t="s">
        <v>65</v>
      </c>
      <c r="AG300" s="1" t="s">
        <v>561</v>
      </c>
      <c r="AH300" s="7" t="s">
        <v>6524</v>
      </c>
      <c r="AI300" s="7" t="s">
        <v>6525</v>
      </c>
      <c r="AJ300" s="1"/>
      <c r="AK300" s="1"/>
      <c r="AL300" s="1"/>
      <c r="AM300" s="1"/>
      <c r="AN300" s="1"/>
    </row>
    <row r="301">
      <c r="A301" s="1" t="s">
        <v>6531</v>
      </c>
      <c r="B301" s="1" t="s">
        <v>6531</v>
      </c>
      <c r="C301" s="4">
        <v>43733.89172453704</v>
      </c>
      <c r="D301" s="5">
        <v>1.569446645E9</v>
      </c>
      <c r="E301" s="7" t="s">
        <v>6532</v>
      </c>
      <c r="F301" s="1" t="s">
        <v>6535</v>
      </c>
      <c r="G301" s="1" t="s">
        <v>2657</v>
      </c>
      <c r="H301" s="1" t="s">
        <v>2658</v>
      </c>
      <c r="I301" s="1" t="s">
        <v>2659</v>
      </c>
      <c r="J301" s="7" t="s">
        <v>2660</v>
      </c>
      <c r="K301" s="7" t="s">
        <v>2666</v>
      </c>
      <c r="L301" s="9" t="b">
        <v>0</v>
      </c>
      <c r="M301" s="1" t="s">
        <v>67</v>
      </c>
      <c r="N301" s="1" t="s">
        <v>64</v>
      </c>
      <c r="O301" s="1" t="s">
        <v>65</v>
      </c>
      <c r="P301" s="5">
        <v>0.0</v>
      </c>
      <c r="Q301" s="5">
        <v>0.0</v>
      </c>
      <c r="R301" s="5">
        <v>2.0</v>
      </c>
      <c r="S301" s="5">
        <v>0.0</v>
      </c>
      <c r="T301" s="1"/>
      <c r="U301" s="1" t="s">
        <v>65</v>
      </c>
      <c r="V301" s="1"/>
      <c r="W301" s="1" t="s">
        <v>65</v>
      </c>
      <c r="X301" s="1"/>
      <c r="Y301" s="1"/>
      <c r="Z301" s="1"/>
      <c r="AA301" s="1"/>
      <c r="AB301" s="1"/>
      <c r="AC301" s="1" t="s">
        <v>65</v>
      </c>
      <c r="AD301" s="1" t="s">
        <v>65</v>
      </c>
      <c r="AE301" s="1"/>
      <c r="AF301" s="1" t="s">
        <v>65</v>
      </c>
      <c r="AG301" s="1" t="s">
        <v>6536</v>
      </c>
      <c r="AH301" s="1"/>
      <c r="AI301" s="7" t="s">
        <v>6538</v>
      </c>
      <c r="AJ301" s="1"/>
      <c r="AK301" s="1"/>
      <c r="AL301" s="1"/>
      <c r="AM301" s="1"/>
      <c r="AN301" s="1"/>
    </row>
    <row r="302">
      <c r="A302" s="1" t="s">
        <v>6543</v>
      </c>
      <c r="B302" s="1" t="s">
        <v>6543</v>
      </c>
      <c r="C302" s="4">
        <v>43704.592361111114</v>
      </c>
      <c r="D302" s="5">
        <v>1.56691518E9</v>
      </c>
      <c r="E302" s="7" t="s">
        <v>6546</v>
      </c>
      <c r="F302" s="1" t="s">
        <v>6553</v>
      </c>
      <c r="G302" s="1" t="s">
        <v>6554</v>
      </c>
      <c r="H302" s="1" t="s">
        <v>6555</v>
      </c>
      <c r="I302" s="5">
        <v>3.12913592E8</v>
      </c>
      <c r="J302" s="7" t="s">
        <v>6556</v>
      </c>
      <c r="K302" s="7" t="s">
        <v>6559</v>
      </c>
      <c r="L302" s="9" t="b">
        <v>0</v>
      </c>
      <c r="M302" s="1" t="s">
        <v>67</v>
      </c>
      <c r="N302" s="1" t="s">
        <v>64</v>
      </c>
      <c r="O302" s="1" t="s">
        <v>65</v>
      </c>
      <c r="P302" s="5">
        <v>0.0</v>
      </c>
      <c r="Q302" s="5">
        <v>0.0</v>
      </c>
      <c r="R302" s="5">
        <v>0.0</v>
      </c>
      <c r="S302" s="5">
        <v>0.0</v>
      </c>
      <c r="T302" s="1"/>
      <c r="U302" s="1" t="s">
        <v>65</v>
      </c>
      <c r="V302" s="1"/>
      <c r="W302" s="1" t="s">
        <v>65</v>
      </c>
      <c r="X302" s="1"/>
      <c r="Y302" s="1"/>
      <c r="Z302" s="1"/>
      <c r="AA302" s="1"/>
      <c r="AB302" s="1"/>
      <c r="AC302" s="1" t="s">
        <v>65</v>
      </c>
      <c r="AD302" s="1" t="s">
        <v>65</v>
      </c>
      <c r="AE302" s="1"/>
      <c r="AF302" s="1" t="s">
        <v>65</v>
      </c>
      <c r="AG302" s="1" t="s">
        <v>6566</v>
      </c>
      <c r="AH302" s="7" t="s">
        <v>6567</v>
      </c>
      <c r="AI302" s="1"/>
      <c r="AJ302" s="1"/>
      <c r="AK302" s="1"/>
      <c r="AL302" s="1"/>
      <c r="AM302" s="1"/>
      <c r="AN302" s="1"/>
    </row>
    <row r="303">
      <c r="A303" s="1" t="s">
        <v>6578</v>
      </c>
      <c r="B303" s="1" t="s">
        <v>6578</v>
      </c>
      <c r="C303" s="4">
        <v>43690.518125</v>
      </c>
      <c r="D303" s="5">
        <v>1.565699166E9</v>
      </c>
      <c r="E303" s="7" t="s">
        <v>6579</v>
      </c>
      <c r="F303" s="1" t="s">
        <v>6582</v>
      </c>
      <c r="G303" s="1" t="s">
        <v>6554</v>
      </c>
      <c r="H303" s="1" t="s">
        <v>6555</v>
      </c>
      <c r="I303" s="5">
        <v>3.12913592E8</v>
      </c>
      <c r="J303" s="7" t="s">
        <v>6556</v>
      </c>
      <c r="K303" s="7" t="s">
        <v>6559</v>
      </c>
      <c r="L303" s="9" t="b">
        <v>0</v>
      </c>
      <c r="M303" s="1" t="s">
        <v>67</v>
      </c>
      <c r="N303" s="1" t="s">
        <v>64</v>
      </c>
      <c r="O303" s="1" t="s">
        <v>65</v>
      </c>
      <c r="P303" s="5">
        <v>0.0</v>
      </c>
      <c r="Q303" s="5">
        <v>0.0</v>
      </c>
      <c r="R303" s="5">
        <v>0.0</v>
      </c>
      <c r="S303" s="5">
        <v>0.0</v>
      </c>
      <c r="T303" s="1"/>
      <c r="U303" s="1" t="s">
        <v>65</v>
      </c>
      <c r="V303" s="1"/>
      <c r="W303" s="1" t="s">
        <v>65</v>
      </c>
      <c r="X303" s="1"/>
      <c r="Y303" s="1"/>
      <c r="Z303" s="1"/>
      <c r="AA303" s="1"/>
      <c r="AB303" s="1"/>
      <c r="AC303" s="1" t="s">
        <v>65</v>
      </c>
      <c r="AD303" s="1" t="s">
        <v>65</v>
      </c>
      <c r="AE303" s="1"/>
      <c r="AF303" s="1" t="s">
        <v>65</v>
      </c>
      <c r="AG303" s="1" t="s">
        <v>6566</v>
      </c>
      <c r="AH303" s="7" t="s">
        <v>6586</v>
      </c>
      <c r="AI303" s="7" t="s">
        <v>6598</v>
      </c>
      <c r="AJ303" s="1"/>
      <c r="AK303" s="1"/>
      <c r="AL303" s="1"/>
      <c r="AM303" s="1"/>
      <c r="AN303" s="1"/>
    </row>
    <row r="304">
      <c r="A304" s="1" t="s">
        <v>6600</v>
      </c>
      <c r="B304" s="1" t="s">
        <v>6600</v>
      </c>
      <c r="C304" s="4">
        <v>43686.921643518515</v>
      </c>
      <c r="D304" s="5">
        <v>1.56538843E9</v>
      </c>
      <c r="E304" s="7" t="s">
        <v>6602</v>
      </c>
      <c r="F304" s="1" t="s">
        <v>6603</v>
      </c>
      <c r="G304" s="1" t="s">
        <v>6604</v>
      </c>
      <c r="H304" s="1" t="s">
        <v>6605</v>
      </c>
      <c r="I304" s="5">
        <v>2.843925852E9</v>
      </c>
      <c r="J304" s="7" t="s">
        <v>6607</v>
      </c>
      <c r="K304" s="7" t="s">
        <v>6609</v>
      </c>
      <c r="L304" s="9" t="b">
        <v>0</v>
      </c>
      <c r="M304" s="1" t="s">
        <v>67</v>
      </c>
      <c r="N304" s="1" t="s">
        <v>64</v>
      </c>
      <c r="O304" s="1" t="s">
        <v>65</v>
      </c>
      <c r="P304" s="5">
        <v>0.0</v>
      </c>
      <c r="Q304" s="5">
        <v>0.0</v>
      </c>
      <c r="R304" s="5">
        <v>0.0</v>
      </c>
      <c r="S304" s="5">
        <v>0.0</v>
      </c>
      <c r="T304" s="1"/>
      <c r="U304" s="1" t="s">
        <v>65</v>
      </c>
      <c r="V304" s="1"/>
      <c r="W304" s="1" t="s">
        <v>65</v>
      </c>
      <c r="X304" s="1"/>
      <c r="Y304" s="1"/>
      <c r="Z304" s="1"/>
      <c r="AA304" s="1"/>
      <c r="AB304" s="1"/>
      <c r="AC304" s="1" t="s">
        <v>65</v>
      </c>
      <c r="AD304" s="1" t="s">
        <v>65</v>
      </c>
      <c r="AE304" s="1"/>
      <c r="AF304" s="1" t="s">
        <v>65</v>
      </c>
      <c r="AG304" s="1" t="s">
        <v>6613</v>
      </c>
      <c r="AH304" s="1"/>
      <c r="AI304" s="7" t="s">
        <v>6614</v>
      </c>
      <c r="AJ304" s="1"/>
      <c r="AK304" s="1"/>
      <c r="AL304" s="1"/>
      <c r="AM304" s="1"/>
      <c r="AN304" s="1"/>
    </row>
    <row r="305">
      <c r="A305" s="1" t="s">
        <v>6619</v>
      </c>
      <c r="B305" s="1" t="s">
        <v>6619</v>
      </c>
      <c r="C305" s="4">
        <v>43686.920590277776</v>
      </c>
      <c r="D305" s="5">
        <v>1.565388339E9</v>
      </c>
      <c r="E305" s="7" t="s">
        <v>6620</v>
      </c>
      <c r="F305" s="1" t="s">
        <v>6622</v>
      </c>
      <c r="G305" s="1" t="s">
        <v>6623</v>
      </c>
      <c r="H305" s="1" t="s">
        <v>6623</v>
      </c>
      <c r="I305" s="1" t="s">
        <v>6624</v>
      </c>
      <c r="J305" s="7" t="s">
        <v>6625</v>
      </c>
      <c r="K305" s="7" t="s">
        <v>6631</v>
      </c>
      <c r="L305" s="9" t="b">
        <v>0</v>
      </c>
      <c r="M305" s="1" t="s">
        <v>67</v>
      </c>
      <c r="N305" s="1" t="s">
        <v>64</v>
      </c>
      <c r="O305" s="1" t="s">
        <v>65</v>
      </c>
      <c r="P305" s="5">
        <v>0.0</v>
      </c>
      <c r="Q305" s="5">
        <v>0.0</v>
      </c>
      <c r="R305" s="5">
        <v>1.0</v>
      </c>
      <c r="S305" s="5">
        <v>1.0</v>
      </c>
      <c r="T305" s="1"/>
      <c r="U305" s="1" t="s">
        <v>65</v>
      </c>
      <c r="V305" s="1"/>
      <c r="W305" s="1" t="s">
        <v>65</v>
      </c>
      <c r="X305" s="1"/>
      <c r="Y305" s="1"/>
      <c r="Z305" s="1"/>
      <c r="AA305" s="1"/>
      <c r="AB305" s="1"/>
      <c r="AC305" s="1" t="s">
        <v>65</v>
      </c>
      <c r="AD305" s="1" t="s">
        <v>65</v>
      </c>
      <c r="AE305" s="1"/>
      <c r="AF305" s="1" t="s">
        <v>65</v>
      </c>
      <c r="AG305" s="1" t="s">
        <v>6613</v>
      </c>
      <c r="AH305" s="1"/>
      <c r="AI305" s="7" t="s">
        <v>6640</v>
      </c>
      <c r="AJ305" s="1"/>
      <c r="AK305" s="1"/>
      <c r="AL305" s="1"/>
      <c r="AM305" s="1"/>
      <c r="AN305" s="1"/>
    </row>
    <row r="306" hidden="1">
      <c r="A306" s="1" t="s">
        <v>6646</v>
      </c>
      <c r="B306" s="1" t="s">
        <v>6646</v>
      </c>
      <c r="C306" s="4">
        <v>43659.57784722222</v>
      </c>
      <c r="D306" s="5">
        <v>1.563025926E9</v>
      </c>
      <c r="E306" s="7" t="s">
        <v>6647</v>
      </c>
      <c r="F306" s="1" t="s">
        <v>6648</v>
      </c>
      <c r="G306" s="1" t="s">
        <v>6168</v>
      </c>
      <c r="H306" s="1" t="s">
        <v>6169</v>
      </c>
      <c r="I306" s="1" t="s">
        <v>6170</v>
      </c>
      <c r="J306" s="7" t="s">
        <v>6171</v>
      </c>
      <c r="K306" s="1"/>
      <c r="L306" s="9" t="b">
        <v>0</v>
      </c>
      <c r="M306" s="1" t="s">
        <v>2805</v>
      </c>
      <c r="N306" s="1" t="s">
        <v>1235</v>
      </c>
      <c r="O306" s="1" t="s">
        <v>65</v>
      </c>
      <c r="P306" s="5">
        <v>0.0</v>
      </c>
      <c r="Q306" s="5">
        <v>0.0</v>
      </c>
      <c r="R306" s="5">
        <v>0.0</v>
      </c>
      <c r="S306" s="5">
        <v>0.0</v>
      </c>
      <c r="T306" s="1"/>
      <c r="U306" s="1" t="s">
        <v>65</v>
      </c>
      <c r="V306" s="1"/>
      <c r="W306" s="1" t="s">
        <v>65</v>
      </c>
      <c r="X306" s="1"/>
      <c r="Y306" s="1"/>
      <c r="Z306" s="1"/>
      <c r="AA306" s="1"/>
      <c r="AB306" s="1"/>
      <c r="AC306" s="1" t="s">
        <v>65</v>
      </c>
      <c r="AD306" s="1" t="s">
        <v>65</v>
      </c>
      <c r="AE306" s="1"/>
      <c r="AF306" s="1" t="s">
        <v>65</v>
      </c>
      <c r="AG306" s="1" t="s">
        <v>6654</v>
      </c>
      <c r="AH306" s="7" t="s">
        <v>6655</v>
      </c>
      <c r="AI306" s="1"/>
      <c r="AJ306" s="1"/>
      <c r="AK306" s="1"/>
      <c r="AL306" s="1"/>
      <c r="AM306" s="1"/>
      <c r="AN306" s="1"/>
    </row>
    <row r="307">
      <c r="A307" s="1" t="s">
        <v>6664</v>
      </c>
      <c r="B307" s="1" t="s">
        <v>6664</v>
      </c>
      <c r="C307" s="4">
        <v>43634.291817129626</v>
      </c>
      <c r="D307" s="5">
        <v>1.560841213E9</v>
      </c>
      <c r="E307" s="7" t="s">
        <v>6665</v>
      </c>
      <c r="F307" s="1" t="s">
        <v>6671</v>
      </c>
      <c r="G307" s="1" t="s">
        <v>4269</v>
      </c>
      <c r="H307" s="1" t="s">
        <v>4269</v>
      </c>
      <c r="I307" s="5">
        <v>3.329875162E9</v>
      </c>
      <c r="J307" s="7" t="s">
        <v>4270</v>
      </c>
      <c r="K307" s="7" t="s">
        <v>4271</v>
      </c>
      <c r="L307" s="9" t="b">
        <v>0</v>
      </c>
      <c r="M307" s="1" t="s">
        <v>67</v>
      </c>
      <c r="N307" s="1" t="s">
        <v>64</v>
      </c>
      <c r="O307" s="1" t="s">
        <v>65</v>
      </c>
      <c r="P307" s="5">
        <v>1.0</v>
      </c>
      <c r="Q307" s="5">
        <v>0.0</v>
      </c>
      <c r="R307" s="5">
        <v>2.0</v>
      </c>
      <c r="S307" s="5">
        <v>0.0</v>
      </c>
      <c r="T307" s="1"/>
      <c r="U307" s="1" t="s">
        <v>65</v>
      </c>
      <c r="V307" s="1"/>
      <c r="W307" s="1" t="s">
        <v>65</v>
      </c>
      <c r="X307" s="1"/>
      <c r="Y307" s="1"/>
      <c r="Z307" s="1"/>
      <c r="AA307" s="1"/>
      <c r="AB307" s="1"/>
      <c r="AC307" s="1" t="s">
        <v>65</v>
      </c>
      <c r="AD307" s="1" t="s">
        <v>65</v>
      </c>
      <c r="AE307" s="1"/>
      <c r="AF307" s="1" t="s">
        <v>65</v>
      </c>
      <c r="AG307" s="1" t="s">
        <v>6675</v>
      </c>
      <c r="AH307" s="1"/>
      <c r="AI307" s="7" t="s">
        <v>6676</v>
      </c>
      <c r="AJ307" s="1"/>
      <c r="AK307" s="1"/>
      <c r="AL307" s="1"/>
      <c r="AM307" s="1"/>
      <c r="AN307" s="1"/>
    </row>
    <row r="308" hidden="1">
      <c r="A308" s="1" t="s">
        <v>6678</v>
      </c>
      <c r="B308" s="1" t="s">
        <v>6678</v>
      </c>
      <c r="C308" s="4">
        <v>43629.8959837963</v>
      </c>
      <c r="D308" s="5">
        <v>1.560461413E9</v>
      </c>
      <c r="E308" s="7" t="s">
        <v>6680</v>
      </c>
      <c r="F308" s="1" t="s">
        <v>6684</v>
      </c>
      <c r="G308" s="1" t="s">
        <v>6685</v>
      </c>
      <c r="H308" s="1" t="s">
        <v>6686</v>
      </c>
      <c r="I308" s="5">
        <v>3.5372385E7</v>
      </c>
      <c r="J308" s="7" t="s">
        <v>6687</v>
      </c>
      <c r="K308" s="7" t="s">
        <v>6696</v>
      </c>
      <c r="L308" s="9" t="b">
        <v>0</v>
      </c>
      <c r="M308" s="1" t="s">
        <v>2805</v>
      </c>
      <c r="N308" s="1" t="s">
        <v>68</v>
      </c>
      <c r="O308" s="1" t="s">
        <v>65</v>
      </c>
      <c r="P308" s="5">
        <v>0.0</v>
      </c>
      <c r="Q308" s="5">
        <v>0.0</v>
      </c>
      <c r="R308" s="5">
        <v>0.0</v>
      </c>
      <c r="S308" s="5">
        <v>0.0</v>
      </c>
      <c r="T308" s="1"/>
      <c r="U308" s="1" t="s">
        <v>65</v>
      </c>
      <c r="V308" s="1"/>
      <c r="W308" s="1" t="s">
        <v>65</v>
      </c>
      <c r="X308" s="1"/>
      <c r="Y308" s="1"/>
      <c r="Z308" s="1"/>
      <c r="AA308" s="1"/>
      <c r="AB308" s="1"/>
      <c r="AC308" s="1" t="s">
        <v>65</v>
      </c>
      <c r="AD308" s="1" t="s">
        <v>65</v>
      </c>
      <c r="AE308" s="1"/>
      <c r="AF308" s="1" t="s">
        <v>65</v>
      </c>
      <c r="AG308" s="1" t="s">
        <v>6700</v>
      </c>
      <c r="AH308" s="7" t="s">
        <v>6701</v>
      </c>
      <c r="AI308" s="1"/>
      <c r="AJ308" s="1"/>
      <c r="AK308" s="1"/>
      <c r="AL308" s="1"/>
      <c r="AM308" s="1"/>
      <c r="AN308" s="1"/>
    </row>
    <row r="309" hidden="1">
      <c r="A309" s="1" t="s">
        <v>6707</v>
      </c>
      <c r="B309" s="1" t="s">
        <v>6707</v>
      </c>
      <c r="C309" s="4">
        <v>43609.721979166665</v>
      </c>
      <c r="D309" s="5">
        <v>1.558718379E9</v>
      </c>
      <c r="E309" s="7" t="s">
        <v>6708</v>
      </c>
      <c r="F309" s="1" t="s">
        <v>6710</v>
      </c>
      <c r="G309" s="1" t="s">
        <v>6711</v>
      </c>
      <c r="H309" s="1" t="s">
        <v>6712</v>
      </c>
      <c r="I309" s="5">
        <v>1.9465719E8</v>
      </c>
      <c r="J309" s="7" t="s">
        <v>6713</v>
      </c>
      <c r="K309" s="7" t="s">
        <v>6716</v>
      </c>
      <c r="L309" s="9" t="b">
        <v>0</v>
      </c>
      <c r="M309" s="1" t="s">
        <v>2805</v>
      </c>
      <c r="N309" s="1" t="s">
        <v>68</v>
      </c>
      <c r="O309" s="1" t="s">
        <v>65</v>
      </c>
      <c r="P309" s="5">
        <v>0.0</v>
      </c>
      <c r="Q309" s="5">
        <v>0.0</v>
      </c>
      <c r="R309" s="5">
        <v>0.0</v>
      </c>
      <c r="S309" s="5">
        <v>0.0</v>
      </c>
      <c r="T309" s="1"/>
      <c r="U309" s="1" t="s">
        <v>65</v>
      </c>
      <c r="V309" s="1"/>
      <c r="W309" s="1" t="s">
        <v>65</v>
      </c>
      <c r="X309" s="1"/>
      <c r="Y309" s="1"/>
      <c r="Z309" s="1"/>
      <c r="AA309" s="1"/>
      <c r="AB309" s="1"/>
      <c r="AC309" s="1" t="s">
        <v>65</v>
      </c>
      <c r="AD309" s="1" t="s">
        <v>65</v>
      </c>
      <c r="AE309" s="1"/>
      <c r="AF309" s="1" t="s">
        <v>65</v>
      </c>
      <c r="AG309" s="1" t="s">
        <v>6720</v>
      </c>
      <c r="AH309" s="7" t="s">
        <v>6721</v>
      </c>
      <c r="AI309" s="1"/>
      <c r="AJ309" s="1"/>
      <c r="AK309" s="1"/>
      <c r="AL309" s="1"/>
      <c r="AM309" s="1"/>
      <c r="AN309" s="1"/>
    </row>
    <row r="310" hidden="1">
      <c r="A310" s="1" t="s">
        <v>6727</v>
      </c>
      <c r="B310" s="1" t="s">
        <v>6727</v>
      </c>
      <c r="C310" s="4">
        <v>43606.911875</v>
      </c>
      <c r="D310" s="5">
        <v>1.558475586E9</v>
      </c>
      <c r="E310" s="7" t="s">
        <v>6728</v>
      </c>
      <c r="F310" s="1" t="s">
        <v>6729</v>
      </c>
      <c r="G310" s="1" t="s">
        <v>6711</v>
      </c>
      <c r="H310" s="1" t="s">
        <v>6712</v>
      </c>
      <c r="I310" s="5">
        <v>1.9465719E8</v>
      </c>
      <c r="J310" s="7" t="s">
        <v>6713</v>
      </c>
      <c r="K310" s="7" t="s">
        <v>6716</v>
      </c>
      <c r="L310" s="9" t="b">
        <v>0</v>
      </c>
      <c r="M310" s="1" t="s">
        <v>2805</v>
      </c>
      <c r="N310" s="1" t="s">
        <v>5998</v>
      </c>
      <c r="O310" s="1" t="s">
        <v>65</v>
      </c>
      <c r="P310" s="5">
        <v>0.0</v>
      </c>
      <c r="Q310" s="5">
        <v>0.0</v>
      </c>
      <c r="R310" s="5">
        <v>0.0</v>
      </c>
      <c r="S310" s="5">
        <v>0.0</v>
      </c>
      <c r="T310" s="1"/>
      <c r="U310" s="1" t="s">
        <v>65</v>
      </c>
      <c r="V310" s="1"/>
      <c r="W310" s="1" t="s">
        <v>65</v>
      </c>
      <c r="X310" s="1"/>
      <c r="Y310" s="1"/>
      <c r="Z310" s="1"/>
      <c r="AA310" s="1"/>
      <c r="AB310" s="1"/>
      <c r="AC310" s="1" t="s">
        <v>65</v>
      </c>
      <c r="AD310" s="1" t="s">
        <v>65</v>
      </c>
      <c r="AE310" s="1"/>
      <c r="AF310" s="1" t="s">
        <v>65</v>
      </c>
      <c r="AG310" s="1" t="s">
        <v>6732</v>
      </c>
      <c r="AH310" s="7" t="s">
        <v>6734</v>
      </c>
      <c r="AI310" s="1"/>
      <c r="AJ310" s="1"/>
      <c r="AK310" s="1"/>
      <c r="AL310" s="1"/>
      <c r="AM310" s="1"/>
      <c r="AN310" s="1"/>
    </row>
    <row r="311" hidden="1">
      <c r="A311" s="1" t="s">
        <v>6736</v>
      </c>
      <c r="B311" s="1" t="s">
        <v>6736</v>
      </c>
      <c r="C311" s="4">
        <v>43604.687939814816</v>
      </c>
      <c r="D311" s="5">
        <v>1.558283438E9</v>
      </c>
      <c r="E311" s="7" t="s">
        <v>6738</v>
      </c>
      <c r="F311" s="1" t="s">
        <v>6740</v>
      </c>
      <c r="G311" s="1" t="s">
        <v>6741</v>
      </c>
      <c r="H311" s="1" t="s">
        <v>6742</v>
      </c>
      <c r="I311" s="1" t="s">
        <v>6743</v>
      </c>
      <c r="J311" s="7" t="s">
        <v>6744</v>
      </c>
      <c r="K311" s="1"/>
      <c r="L311" s="9" t="b">
        <v>0</v>
      </c>
      <c r="M311" s="1" t="s">
        <v>67</v>
      </c>
      <c r="N311" s="1" t="s">
        <v>824</v>
      </c>
      <c r="O311" s="1" t="s">
        <v>65</v>
      </c>
      <c r="P311" s="5">
        <v>1.0</v>
      </c>
      <c r="Q311" s="5">
        <v>0.0</v>
      </c>
      <c r="R311" s="5">
        <v>1.0</v>
      </c>
      <c r="S311" s="5">
        <v>0.0</v>
      </c>
      <c r="T311" s="1"/>
      <c r="U311" s="1" t="s">
        <v>65</v>
      </c>
      <c r="V311" s="1"/>
      <c r="W311" s="1" t="s">
        <v>65</v>
      </c>
      <c r="X311" s="1"/>
      <c r="Y311" s="1"/>
      <c r="Z311" s="1"/>
      <c r="AA311" s="1"/>
      <c r="AB311" s="1"/>
      <c r="AC311" s="1" t="s">
        <v>65</v>
      </c>
      <c r="AD311" s="1" t="s">
        <v>65</v>
      </c>
      <c r="AE311" s="1"/>
      <c r="AF311" s="1" t="s">
        <v>65</v>
      </c>
      <c r="AG311" s="1" t="s">
        <v>6745</v>
      </c>
      <c r="AH311" s="1"/>
      <c r="AI311" s="7" t="s">
        <v>6746</v>
      </c>
      <c r="AJ311" s="1"/>
      <c r="AK311" s="1"/>
      <c r="AL311" s="1"/>
      <c r="AM311" s="1"/>
      <c r="AN311" s="1"/>
    </row>
    <row r="312" hidden="1">
      <c r="A312" s="1" t="s">
        <v>6747</v>
      </c>
      <c r="B312" s="1" t="s">
        <v>6747</v>
      </c>
      <c r="C312" s="4">
        <v>43604.686956018515</v>
      </c>
      <c r="D312" s="5">
        <v>1.558283353E9</v>
      </c>
      <c r="E312" s="7" t="s">
        <v>6748</v>
      </c>
      <c r="F312" s="1" t="s">
        <v>6749</v>
      </c>
      <c r="G312" s="1" t="s">
        <v>6741</v>
      </c>
      <c r="H312" s="1" t="s">
        <v>6742</v>
      </c>
      <c r="I312" s="1" t="s">
        <v>6743</v>
      </c>
      <c r="J312" s="7" t="s">
        <v>6744</v>
      </c>
      <c r="K312" s="1"/>
      <c r="L312" s="9" t="b">
        <v>0</v>
      </c>
      <c r="M312" s="1" t="s">
        <v>67</v>
      </c>
      <c r="N312" s="1" t="s">
        <v>824</v>
      </c>
      <c r="O312" s="1" t="s">
        <v>65</v>
      </c>
      <c r="P312" s="5">
        <v>0.0</v>
      </c>
      <c r="Q312" s="5">
        <v>1.0</v>
      </c>
      <c r="R312" s="5">
        <v>2.0</v>
      </c>
      <c r="S312" s="5">
        <v>0.0</v>
      </c>
      <c r="T312" s="1"/>
      <c r="U312" s="1" t="s">
        <v>65</v>
      </c>
      <c r="V312" s="1"/>
      <c r="W312" s="1" t="s">
        <v>65</v>
      </c>
      <c r="X312" s="1"/>
      <c r="Y312" s="1"/>
      <c r="Z312" s="1"/>
      <c r="AA312" s="1"/>
      <c r="AB312" s="1"/>
      <c r="AC312" s="1" t="s">
        <v>65</v>
      </c>
      <c r="AD312" s="1" t="s">
        <v>65</v>
      </c>
      <c r="AE312" s="1"/>
      <c r="AF312" s="1" t="s">
        <v>65</v>
      </c>
      <c r="AG312" s="1" t="s">
        <v>414</v>
      </c>
      <c r="AH312" s="1"/>
      <c r="AI312" s="7" t="s">
        <v>6751</v>
      </c>
      <c r="AJ312" s="1"/>
      <c r="AK312" s="1" t="s">
        <v>6753</v>
      </c>
      <c r="AL312" s="1"/>
      <c r="AM312" s="1"/>
      <c r="AN312" s="1"/>
    </row>
    <row r="313">
      <c r="A313" s="1" t="s">
        <v>6754</v>
      </c>
      <c r="B313" s="1" t="s">
        <v>6754</v>
      </c>
      <c r="C313" s="4">
        <v>43593.36405092593</v>
      </c>
      <c r="D313" s="5">
        <v>1.557305054E9</v>
      </c>
      <c r="E313" s="7" t="s">
        <v>6755</v>
      </c>
      <c r="F313" s="1" t="s">
        <v>6757</v>
      </c>
      <c r="G313" s="1" t="s">
        <v>6758</v>
      </c>
      <c r="H313" s="1" t="s">
        <v>6759</v>
      </c>
      <c r="I313" s="5">
        <v>2.27281813E8</v>
      </c>
      <c r="J313" s="7" t="s">
        <v>6760</v>
      </c>
      <c r="K313" s="7" t="s">
        <v>6763</v>
      </c>
      <c r="L313" s="9" t="b">
        <v>0</v>
      </c>
      <c r="M313" s="1" t="s">
        <v>66</v>
      </c>
      <c r="N313" s="1" t="s">
        <v>64</v>
      </c>
      <c r="O313" s="1" t="s">
        <v>65</v>
      </c>
      <c r="P313" s="5">
        <v>1.0</v>
      </c>
      <c r="Q313" s="5">
        <v>0.0</v>
      </c>
      <c r="R313" s="5">
        <v>4.0</v>
      </c>
      <c r="S313" s="5">
        <v>1.0</v>
      </c>
      <c r="T313" s="1"/>
      <c r="U313" s="1" t="s">
        <v>65</v>
      </c>
      <c r="V313" s="1"/>
      <c r="W313" s="1" t="s">
        <v>65</v>
      </c>
      <c r="X313" s="1"/>
      <c r="Y313" s="1"/>
      <c r="Z313" s="1"/>
      <c r="AA313" s="1"/>
      <c r="AB313" s="1"/>
      <c r="AC313" s="1" t="s">
        <v>65</v>
      </c>
      <c r="AD313" s="1" t="s">
        <v>65</v>
      </c>
      <c r="AE313" s="1"/>
      <c r="AF313" s="1" t="s">
        <v>65</v>
      </c>
      <c r="AG313" s="1" t="s">
        <v>561</v>
      </c>
      <c r="AH313" s="1"/>
      <c r="AI313" s="1"/>
      <c r="AJ313" s="1"/>
      <c r="AK313" s="1" t="s">
        <v>6766</v>
      </c>
      <c r="AL313" s="1"/>
      <c r="AM313" s="1"/>
      <c r="AN313" s="1"/>
    </row>
    <row r="314" hidden="1">
      <c r="A314" s="1" t="s">
        <v>6767</v>
      </c>
      <c r="B314" s="1" t="s">
        <v>6767</v>
      </c>
      <c r="C314" s="4">
        <v>43593.359664351854</v>
      </c>
      <c r="D314" s="5">
        <v>1.557304675E9</v>
      </c>
      <c r="E314" s="7" t="s">
        <v>6768</v>
      </c>
      <c r="F314" s="1" t="s">
        <v>6770</v>
      </c>
      <c r="G314" s="1" t="s">
        <v>6758</v>
      </c>
      <c r="H314" s="1" t="s">
        <v>6759</v>
      </c>
      <c r="I314" s="5">
        <v>2.27281813E8</v>
      </c>
      <c r="J314" s="7" t="s">
        <v>6760</v>
      </c>
      <c r="K314" s="7" t="s">
        <v>6763</v>
      </c>
      <c r="L314" s="9" t="b">
        <v>0</v>
      </c>
      <c r="M314" s="1" t="s">
        <v>66</v>
      </c>
      <c r="N314" s="1" t="s">
        <v>2012</v>
      </c>
      <c r="O314" s="1" t="s">
        <v>65</v>
      </c>
      <c r="P314" s="5">
        <v>0.0</v>
      </c>
      <c r="Q314" s="5">
        <v>0.0</v>
      </c>
      <c r="R314" s="5">
        <v>1.0</v>
      </c>
      <c r="S314" s="5">
        <v>0.0</v>
      </c>
      <c r="T314" s="1"/>
      <c r="U314" s="1" t="s">
        <v>65</v>
      </c>
      <c r="V314" s="1"/>
      <c r="W314" s="1" t="s">
        <v>65</v>
      </c>
      <c r="X314" s="1"/>
      <c r="Y314" s="1"/>
      <c r="Z314" s="1"/>
      <c r="AA314" s="1"/>
      <c r="AB314" s="1"/>
      <c r="AC314" s="1" t="s">
        <v>65</v>
      </c>
      <c r="AD314" s="1" t="s">
        <v>65</v>
      </c>
      <c r="AE314" s="1"/>
      <c r="AF314" s="1" t="s">
        <v>65</v>
      </c>
      <c r="AG314" s="1" t="s">
        <v>561</v>
      </c>
      <c r="AH314" s="1"/>
      <c r="AI314" s="1"/>
      <c r="AJ314" s="1"/>
      <c r="AK314" s="1" t="s">
        <v>6766</v>
      </c>
      <c r="AL314" s="1"/>
      <c r="AM314" s="1"/>
      <c r="AN314" s="1"/>
    </row>
    <row r="315">
      <c r="A315" s="1" t="s">
        <v>6772</v>
      </c>
      <c r="B315" s="1" t="s">
        <v>6772</v>
      </c>
      <c r="C315" s="4">
        <v>43593.34753472222</v>
      </c>
      <c r="D315" s="5">
        <v>1.557303627E9</v>
      </c>
      <c r="E315" s="7" t="s">
        <v>6774</v>
      </c>
      <c r="F315" s="1" t="s">
        <v>6775</v>
      </c>
      <c r="G315" s="1" t="s">
        <v>6758</v>
      </c>
      <c r="H315" s="1" t="s">
        <v>6759</v>
      </c>
      <c r="I315" s="5">
        <v>2.27281813E8</v>
      </c>
      <c r="J315" s="7" t="s">
        <v>6760</v>
      </c>
      <c r="K315" s="7" t="s">
        <v>6763</v>
      </c>
      <c r="L315" s="9" t="b">
        <v>0</v>
      </c>
      <c r="M315" s="1" t="s">
        <v>66</v>
      </c>
      <c r="N315" s="1" t="s">
        <v>64</v>
      </c>
      <c r="O315" s="1" t="s">
        <v>65</v>
      </c>
      <c r="P315" s="5">
        <v>0.0</v>
      </c>
      <c r="Q315" s="5">
        <v>0.0</v>
      </c>
      <c r="R315" s="5">
        <v>1.0</v>
      </c>
      <c r="S315" s="5">
        <v>0.0</v>
      </c>
      <c r="T315" s="1"/>
      <c r="U315" s="1" t="s">
        <v>65</v>
      </c>
      <c r="V315" s="1"/>
      <c r="W315" s="1" t="s">
        <v>65</v>
      </c>
      <c r="X315" s="1"/>
      <c r="Y315" s="1"/>
      <c r="Z315" s="1"/>
      <c r="AA315" s="1"/>
      <c r="AB315" s="1"/>
      <c r="AC315" s="1" t="s">
        <v>65</v>
      </c>
      <c r="AD315" s="1" t="s">
        <v>65</v>
      </c>
      <c r="AE315" s="1"/>
      <c r="AF315" s="1" t="s">
        <v>65</v>
      </c>
      <c r="AG315" s="1" t="s">
        <v>561</v>
      </c>
      <c r="AH315" s="1"/>
      <c r="AI315" s="1"/>
      <c r="AJ315" s="1"/>
      <c r="AK315" s="1" t="s">
        <v>6766</v>
      </c>
      <c r="AL315" s="1"/>
      <c r="AM315" s="1"/>
      <c r="AN315" s="1"/>
    </row>
    <row r="316">
      <c r="A316" s="1" t="s">
        <v>6776</v>
      </c>
      <c r="B316" s="1" t="s">
        <v>6776</v>
      </c>
      <c r="C316" s="4">
        <v>43593.3158912037</v>
      </c>
      <c r="D316" s="5">
        <v>1.557300893E9</v>
      </c>
      <c r="E316" s="7" t="s">
        <v>6777</v>
      </c>
      <c r="F316" s="1" t="s">
        <v>6778</v>
      </c>
      <c r="G316" s="1" t="s">
        <v>6758</v>
      </c>
      <c r="H316" s="1" t="s">
        <v>6759</v>
      </c>
      <c r="I316" s="5">
        <v>2.27281813E8</v>
      </c>
      <c r="J316" s="7" t="s">
        <v>6760</v>
      </c>
      <c r="K316" s="7" t="s">
        <v>6763</v>
      </c>
      <c r="L316" s="9" t="b">
        <v>0</v>
      </c>
      <c r="M316" s="1" t="s">
        <v>66</v>
      </c>
      <c r="N316" s="1" t="s">
        <v>64</v>
      </c>
      <c r="O316" s="1" t="s">
        <v>65</v>
      </c>
      <c r="P316" s="5">
        <v>2.0</v>
      </c>
      <c r="Q316" s="5">
        <v>0.0</v>
      </c>
      <c r="R316" s="5">
        <v>5.0</v>
      </c>
      <c r="S316" s="5">
        <v>0.0</v>
      </c>
      <c r="T316" s="1"/>
      <c r="U316" s="1" t="s">
        <v>65</v>
      </c>
      <c r="V316" s="1"/>
      <c r="W316" s="1" t="s">
        <v>65</v>
      </c>
      <c r="X316" s="1"/>
      <c r="Y316" s="1"/>
      <c r="Z316" s="1"/>
      <c r="AA316" s="1"/>
      <c r="AB316" s="1"/>
      <c r="AC316" s="1" t="s">
        <v>65</v>
      </c>
      <c r="AD316" s="1" t="s">
        <v>65</v>
      </c>
      <c r="AE316" s="1"/>
      <c r="AF316" s="1" t="s">
        <v>65</v>
      </c>
      <c r="AG316" s="1" t="s">
        <v>561</v>
      </c>
      <c r="AH316" s="1"/>
      <c r="AI316" s="1"/>
      <c r="AJ316" s="1"/>
      <c r="AK316" s="1" t="s">
        <v>6766</v>
      </c>
      <c r="AL316" s="1"/>
      <c r="AM316" s="1"/>
      <c r="AN316" s="1"/>
    </row>
    <row r="317">
      <c r="A317" s="1" t="s">
        <v>6779</v>
      </c>
      <c r="B317" s="1" t="s">
        <v>6779</v>
      </c>
      <c r="C317" s="4">
        <v>43592.65865740741</v>
      </c>
      <c r="D317" s="5">
        <v>1.557244108E9</v>
      </c>
      <c r="E317" s="7" t="s">
        <v>6780</v>
      </c>
      <c r="F317" s="1" t="s">
        <v>6782</v>
      </c>
      <c r="G317" s="1" t="s">
        <v>6784</v>
      </c>
      <c r="H317" s="1" t="s">
        <v>6785</v>
      </c>
      <c r="I317" s="5">
        <v>3.10674189E8</v>
      </c>
      <c r="J317" s="7" t="s">
        <v>6786</v>
      </c>
      <c r="K317" s="7" t="s">
        <v>6788</v>
      </c>
      <c r="L317" s="9" t="b">
        <v>0</v>
      </c>
      <c r="M317" s="1" t="s">
        <v>2805</v>
      </c>
      <c r="N317" s="1" t="s">
        <v>64</v>
      </c>
      <c r="O317" s="1" t="s">
        <v>65</v>
      </c>
      <c r="P317" s="5">
        <v>0.0</v>
      </c>
      <c r="Q317" s="5">
        <v>0.0</v>
      </c>
      <c r="R317" s="5">
        <v>1.0</v>
      </c>
      <c r="S317" s="5">
        <v>0.0</v>
      </c>
      <c r="T317" s="1"/>
      <c r="U317" s="1" t="s">
        <v>65</v>
      </c>
      <c r="V317" s="1"/>
      <c r="W317" s="1" t="s">
        <v>65</v>
      </c>
      <c r="X317" s="1"/>
      <c r="Y317" s="1"/>
      <c r="Z317" s="1"/>
      <c r="AA317" s="1"/>
      <c r="AB317" s="1"/>
      <c r="AC317" s="1" t="s">
        <v>65</v>
      </c>
      <c r="AD317" s="1" t="s">
        <v>65</v>
      </c>
      <c r="AE317" s="1"/>
      <c r="AF317" s="1" t="s">
        <v>65</v>
      </c>
      <c r="AG317" s="1" t="s">
        <v>6793</v>
      </c>
      <c r="AH317" s="7" t="s">
        <v>6794</v>
      </c>
      <c r="AI317" s="1"/>
      <c r="AJ317" s="1"/>
      <c r="AK317" s="1" t="s">
        <v>6796</v>
      </c>
      <c r="AL317" s="1" t="s">
        <v>1704</v>
      </c>
      <c r="AM317" s="1" t="s">
        <v>1705</v>
      </c>
      <c r="AN317" s="1"/>
    </row>
    <row r="318">
      <c r="A318" s="1" t="s">
        <v>6798</v>
      </c>
      <c r="B318" s="1" t="s">
        <v>6798</v>
      </c>
      <c r="C318" s="4">
        <v>43578.2244212963</v>
      </c>
      <c r="D318" s="5">
        <v>1.55599699E9</v>
      </c>
      <c r="E318" s="7" t="s">
        <v>6800</v>
      </c>
      <c r="F318" s="1" t="s">
        <v>6801</v>
      </c>
      <c r="G318" s="1" t="s">
        <v>6802</v>
      </c>
      <c r="H318" s="1" t="s">
        <v>6804</v>
      </c>
      <c r="I318" s="5">
        <v>4.40318017E8</v>
      </c>
      <c r="J318" s="7" t="s">
        <v>6805</v>
      </c>
      <c r="K318" s="7" t="s">
        <v>6806</v>
      </c>
      <c r="L318" s="9" t="b">
        <v>0</v>
      </c>
      <c r="M318" s="1" t="s">
        <v>2805</v>
      </c>
      <c r="N318" s="1" t="s">
        <v>64</v>
      </c>
      <c r="O318" s="1" t="s">
        <v>65</v>
      </c>
      <c r="P318" s="5">
        <v>0.0</v>
      </c>
      <c r="Q318" s="5">
        <v>0.0</v>
      </c>
      <c r="R318" s="5">
        <v>0.0</v>
      </c>
      <c r="S318" s="5">
        <v>0.0</v>
      </c>
      <c r="T318" s="1"/>
      <c r="U318" s="1" t="s">
        <v>65</v>
      </c>
      <c r="V318" s="1"/>
      <c r="W318" s="1" t="s">
        <v>65</v>
      </c>
      <c r="X318" s="1"/>
      <c r="Y318" s="1"/>
      <c r="Z318" s="1"/>
      <c r="AA318" s="1"/>
      <c r="AB318" s="1"/>
      <c r="AC318" s="1" t="s">
        <v>65</v>
      </c>
      <c r="AD318" s="1" t="s">
        <v>65</v>
      </c>
      <c r="AE318" s="1"/>
      <c r="AF318" s="1" t="s">
        <v>65</v>
      </c>
      <c r="AG318" s="1" t="s">
        <v>6807</v>
      </c>
      <c r="AH318" s="7" t="s">
        <v>6808</v>
      </c>
      <c r="AI318" s="1"/>
      <c r="AJ318" s="1"/>
      <c r="AK318" s="1"/>
      <c r="AL318" s="1" t="s">
        <v>6809</v>
      </c>
      <c r="AM318" s="1" t="s">
        <v>6810</v>
      </c>
      <c r="AN318" s="1"/>
    </row>
    <row r="319" hidden="1">
      <c r="A319" s="1" t="s">
        <v>6811</v>
      </c>
      <c r="B319" s="1" t="s">
        <v>6811</v>
      </c>
      <c r="C319" s="4">
        <v>43575.66166666667</v>
      </c>
      <c r="D319" s="5">
        <v>1.555775568E9</v>
      </c>
      <c r="E319" s="7" t="s">
        <v>6812</v>
      </c>
      <c r="F319" s="1" t="s">
        <v>6813</v>
      </c>
      <c r="G319" s="1" t="s">
        <v>6711</v>
      </c>
      <c r="H319" s="1" t="s">
        <v>6712</v>
      </c>
      <c r="I319" s="5">
        <v>1.9465719E8</v>
      </c>
      <c r="J319" s="7" t="s">
        <v>6713</v>
      </c>
      <c r="K319" s="7" t="s">
        <v>6716</v>
      </c>
      <c r="L319" s="9" t="b">
        <v>0</v>
      </c>
      <c r="M319" s="1" t="s">
        <v>2805</v>
      </c>
      <c r="N319" s="1" t="s">
        <v>68</v>
      </c>
      <c r="O319" s="1" t="s">
        <v>65</v>
      </c>
      <c r="P319" s="5">
        <v>0.0</v>
      </c>
      <c r="Q319" s="5">
        <v>0.0</v>
      </c>
      <c r="R319" s="5">
        <v>0.0</v>
      </c>
      <c r="S319" s="5">
        <v>0.0</v>
      </c>
      <c r="T319" s="1"/>
      <c r="U319" s="1" t="s">
        <v>65</v>
      </c>
      <c r="V319" s="1"/>
      <c r="W319" s="1" t="s">
        <v>65</v>
      </c>
      <c r="X319" s="1"/>
      <c r="Y319" s="1"/>
      <c r="Z319" s="1"/>
      <c r="AA319" s="1"/>
      <c r="AB319" s="1"/>
      <c r="AC319" s="1" t="s">
        <v>65</v>
      </c>
      <c r="AD319" s="1" t="s">
        <v>65</v>
      </c>
      <c r="AE319" s="1"/>
      <c r="AF319" s="1" t="s">
        <v>65</v>
      </c>
      <c r="AG319" s="1" t="s">
        <v>6814</v>
      </c>
      <c r="AH319" s="7" t="s">
        <v>6815</v>
      </c>
      <c r="AI319" s="1"/>
      <c r="AJ319" s="1"/>
      <c r="AK319" s="1"/>
      <c r="AL319" s="1"/>
      <c r="AM319" s="1"/>
      <c r="AN319" s="1"/>
    </row>
    <row r="320" hidden="1">
      <c r="A320" s="1" t="s">
        <v>6816</v>
      </c>
      <c r="B320" s="1" t="s">
        <v>6816</v>
      </c>
      <c r="C320" s="4">
        <v>43575.54707175926</v>
      </c>
      <c r="D320" s="5">
        <v>1.555765667E9</v>
      </c>
      <c r="E320" s="7" t="s">
        <v>6817</v>
      </c>
      <c r="F320" s="1" t="s">
        <v>6818</v>
      </c>
      <c r="G320" s="1" t="s">
        <v>6168</v>
      </c>
      <c r="H320" s="1" t="s">
        <v>6169</v>
      </c>
      <c r="I320" s="1" t="s">
        <v>6170</v>
      </c>
      <c r="J320" s="7" t="s">
        <v>6171</v>
      </c>
      <c r="K320" s="1"/>
      <c r="L320" s="9" t="b">
        <v>0</v>
      </c>
      <c r="M320" s="1" t="s">
        <v>2805</v>
      </c>
      <c r="N320" s="1" t="s">
        <v>1235</v>
      </c>
      <c r="O320" s="1" t="s">
        <v>65</v>
      </c>
      <c r="P320" s="5">
        <v>1.0</v>
      </c>
      <c r="Q320" s="5">
        <v>0.0</v>
      </c>
      <c r="R320" s="5">
        <v>0.0</v>
      </c>
      <c r="S320" s="5">
        <v>0.0</v>
      </c>
      <c r="T320" s="1"/>
      <c r="U320" s="1" t="s">
        <v>65</v>
      </c>
      <c r="V320" s="1"/>
      <c r="W320" s="1" t="s">
        <v>65</v>
      </c>
      <c r="X320" s="1"/>
      <c r="Y320" s="1"/>
      <c r="Z320" s="1"/>
      <c r="AA320" s="1"/>
      <c r="AB320" s="1"/>
      <c r="AC320" s="1" t="s">
        <v>65</v>
      </c>
      <c r="AD320" s="1" t="s">
        <v>65</v>
      </c>
      <c r="AE320" s="1"/>
      <c r="AF320" s="1" t="s">
        <v>65</v>
      </c>
      <c r="AG320" s="1" t="s">
        <v>6819</v>
      </c>
      <c r="AH320" s="7" t="s">
        <v>6820</v>
      </c>
      <c r="AI320" s="1"/>
      <c r="AJ320" s="1"/>
      <c r="AK320" s="1"/>
      <c r="AL320" s="1"/>
      <c r="AM320" s="1"/>
      <c r="AN320" s="1"/>
    </row>
    <row r="321" hidden="1">
      <c r="A321" s="1" t="s">
        <v>6821</v>
      </c>
      <c r="B321" s="1" t="s">
        <v>6821</v>
      </c>
      <c r="C321" s="4">
        <v>43574.64990740741</v>
      </c>
      <c r="D321" s="5">
        <v>1.555688152E9</v>
      </c>
      <c r="E321" s="7" t="s">
        <v>6822</v>
      </c>
      <c r="F321" s="1" t="s">
        <v>6823</v>
      </c>
      <c r="G321" s="1" t="s">
        <v>6711</v>
      </c>
      <c r="H321" s="1" t="s">
        <v>6712</v>
      </c>
      <c r="I321" s="5">
        <v>1.9465719E8</v>
      </c>
      <c r="J321" s="7" t="s">
        <v>6713</v>
      </c>
      <c r="K321" s="7" t="s">
        <v>6716</v>
      </c>
      <c r="L321" s="9" t="b">
        <v>0</v>
      </c>
      <c r="M321" s="1" t="s">
        <v>2805</v>
      </c>
      <c r="N321" s="1" t="s">
        <v>68</v>
      </c>
      <c r="O321" s="1" t="s">
        <v>65</v>
      </c>
      <c r="P321" s="5">
        <v>0.0</v>
      </c>
      <c r="Q321" s="5">
        <v>0.0</v>
      </c>
      <c r="R321" s="5">
        <v>1.0</v>
      </c>
      <c r="S321" s="5">
        <v>0.0</v>
      </c>
      <c r="T321" s="1"/>
      <c r="U321" s="1" t="s">
        <v>65</v>
      </c>
      <c r="V321" s="1"/>
      <c r="W321" s="1" t="s">
        <v>65</v>
      </c>
      <c r="X321" s="1"/>
      <c r="Y321" s="1"/>
      <c r="Z321" s="1"/>
      <c r="AA321" s="1"/>
      <c r="AB321" s="1"/>
      <c r="AC321" s="1" t="s">
        <v>65</v>
      </c>
      <c r="AD321" s="1" t="s">
        <v>65</v>
      </c>
      <c r="AE321" s="1"/>
      <c r="AF321" s="1" t="s">
        <v>65</v>
      </c>
      <c r="AG321" s="1" t="s">
        <v>6825</v>
      </c>
      <c r="AH321" s="7" t="s">
        <v>6826</v>
      </c>
      <c r="AI321" s="1"/>
      <c r="AJ321" s="1"/>
      <c r="AK321" s="1"/>
      <c r="AL321" s="1"/>
      <c r="AM321" s="1"/>
      <c r="AN321" s="1"/>
    </row>
    <row r="322">
      <c r="A322" s="1" t="s">
        <v>6833</v>
      </c>
      <c r="B322" s="1" t="s">
        <v>6833</v>
      </c>
      <c r="C322" s="4">
        <v>43562.36403935185</v>
      </c>
      <c r="D322" s="5">
        <v>1.554626653E9</v>
      </c>
      <c r="E322" s="7" t="s">
        <v>6834</v>
      </c>
      <c r="F322" s="1" t="s">
        <v>6836</v>
      </c>
      <c r="G322" s="1" t="s">
        <v>4269</v>
      </c>
      <c r="H322" s="1" t="s">
        <v>4269</v>
      </c>
      <c r="I322" s="5">
        <v>3.329875162E9</v>
      </c>
      <c r="J322" s="7" t="s">
        <v>4270</v>
      </c>
      <c r="K322" s="7" t="s">
        <v>4271</v>
      </c>
      <c r="L322" s="9" t="b">
        <v>0</v>
      </c>
      <c r="M322" s="1" t="s">
        <v>67</v>
      </c>
      <c r="N322" s="1" t="s">
        <v>64</v>
      </c>
      <c r="O322" s="1" t="s">
        <v>65</v>
      </c>
      <c r="P322" s="5">
        <v>1.0</v>
      </c>
      <c r="Q322" s="5">
        <v>0.0</v>
      </c>
      <c r="R322" s="5">
        <v>3.0</v>
      </c>
      <c r="S322" s="5">
        <v>0.0</v>
      </c>
      <c r="T322" s="1"/>
      <c r="U322" s="1" t="s">
        <v>65</v>
      </c>
      <c r="V322" s="1"/>
      <c r="W322" s="1" t="s">
        <v>65</v>
      </c>
      <c r="X322" s="1"/>
      <c r="Y322" s="1"/>
      <c r="Z322" s="1"/>
      <c r="AA322" s="1"/>
      <c r="AB322" s="1"/>
      <c r="AC322" s="1" t="s">
        <v>65</v>
      </c>
      <c r="AD322" s="1" t="s">
        <v>65</v>
      </c>
      <c r="AE322" s="1"/>
      <c r="AF322" s="1" t="s">
        <v>65</v>
      </c>
      <c r="AG322" s="1" t="s">
        <v>6840</v>
      </c>
      <c r="AH322" s="7" t="s">
        <v>6841</v>
      </c>
      <c r="AI322" s="1"/>
      <c r="AJ322" s="1"/>
      <c r="AK322" s="1"/>
      <c r="AL322" s="1"/>
      <c r="AM322" s="1"/>
      <c r="AN322" s="1"/>
    </row>
  </sheetData>
  <autoFilter ref="$A$1:$AN$322">
    <filterColumn colId="13">
      <filters>
        <filter val="es"/>
      </filters>
    </filterColumn>
  </autoFilter>
  <hyperlinks>
    <hyperlink r:id="rId1" ref="E2"/>
    <hyperlink r:id="rId2" ref="J2"/>
    <hyperlink r:id="rId3" ref="AI2"/>
    <hyperlink r:id="rId4" ref="AJ2"/>
    <hyperlink r:id="rId5" ref="E3"/>
    <hyperlink r:id="rId6" ref="J3"/>
    <hyperlink r:id="rId7" ref="K3"/>
    <hyperlink r:id="rId8" ref="E4"/>
    <hyperlink r:id="rId9" ref="J4"/>
    <hyperlink r:id="rId10" ref="AI4"/>
    <hyperlink r:id="rId11" ref="AJ4"/>
    <hyperlink r:id="rId12" ref="E5"/>
    <hyperlink r:id="rId13" ref="J5"/>
    <hyperlink r:id="rId14" ref="AI5"/>
    <hyperlink r:id="rId15" ref="AJ5"/>
    <hyperlink r:id="rId16" ref="E6"/>
    <hyperlink r:id="rId17" ref="J6"/>
    <hyperlink r:id="rId18" ref="K6"/>
    <hyperlink r:id="rId19" ref="AI6"/>
    <hyperlink r:id="rId20" ref="AJ6"/>
    <hyperlink r:id="rId21" ref="E7"/>
    <hyperlink r:id="rId22" ref="J7"/>
    <hyperlink r:id="rId23" ref="K7"/>
    <hyperlink r:id="rId24" ref="AH7"/>
    <hyperlink r:id="rId25" ref="AI7"/>
    <hyperlink r:id="rId26" ref="AJ7"/>
    <hyperlink r:id="rId27" ref="E8"/>
    <hyperlink r:id="rId28" ref="J8"/>
    <hyperlink r:id="rId29" ref="K8"/>
    <hyperlink r:id="rId30" ref="AI8"/>
    <hyperlink r:id="rId31" ref="AJ8"/>
    <hyperlink r:id="rId32" ref="E9"/>
    <hyperlink r:id="rId33" ref="J9"/>
    <hyperlink r:id="rId34" ref="K9"/>
    <hyperlink r:id="rId35" ref="AH9"/>
    <hyperlink r:id="rId36" ref="AI9"/>
    <hyperlink r:id="rId37" ref="E10"/>
    <hyperlink r:id="rId38" ref="J10"/>
    <hyperlink r:id="rId39" ref="AI10"/>
    <hyperlink r:id="rId40" ref="AJ10"/>
    <hyperlink r:id="rId41" ref="E11"/>
    <hyperlink r:id="rId42" ref="J11"/>
    <hyperlink r:id="rId43" ref="AI11"/>
    <hyperlink r:id="rId44" ref="AJ11"/>
    <hyperlink r:id="rId45" ref="E12"/>
    <hyperlink r:id="rId46" ref="J12"/>
    <hyperlink r:id="rId47" ref="AI12"/>
    <hyperlink r:id="rId48" ref="AJ12"/>
    <hyperlink r:id="rId49" ref="E13"/>
    <hyperlink r:id="rId50" ref="J13"/>
    <hyperlink r:id="rId51" ref="AI13"/>
    <hyperlink r:id="rId52" ref="AJ13"/>
    <hyperlink r:id="rId53" ref="E14"/>
    <hyperlink r:id="rId54" ref="J14"/>
    <hyperlink r:id="rId55" ref="AI14"/>
    <hyperlink r:id="rId56" ref="AJ14"/>
    <hyperlink r:id="rId57" ref="E15"/>
    <hyperlink r:id="rId58" ref="J15"/>
    <hyperlink r:id="rId59" ref="K15"/>
    <hyperlink r:id="rId60" ref="AI15"/>
    <hyperlink r:id="rId61" ref="AJ15"/>
    <hyperlink r:id="rId62" ref="E16"/>
    <hyperlink r:id="rId63" ref="J16"/>
    <hyperlink r:id="rId64" ref="K16"/>
    <hyperlink r:id="rId65" ref="AH16"/>
    <hyperlink r:id="rId66" ref="AI16"/>
    <hyperlink r:id="rId67" ref="AJ16"/>
    <hyperlink r:id="rId68" ref="E17"/>
    <hyperlink r:id="rId69" ref="J17"/>
    <hyperlink r:id="rId70" ref="K17"/>
    <hyperlink r:id="rId71" ref="AH17"/>
    <hyperlink r:id="rId72" ref="E18"/>
    <hyperlink r:id="rId73" ref="J18"/>
    <hyperlink r:id="rId74" ref="K18"/>
    <hyperlink r:id="rId75" ref="AI18"/>
    <hyperlink r:id="rId76" ref="E19"/>
    <hyperlink r:id="rId77" ref="J19"/>
    <hyperlink r:id="rId78" ref="K19"/>
    <hyperlink r:id="rId79" ref="AB19"/>
    <hyperlink r:id="rId80" ref="E20"/>
    <hyperlink r:id="rId81" ref="J20"/>
    <hyperlink r:id="rId82" ref="AH20"/>
    <hyperlink r:id="rId83" ref="AI20"/>
    <hyperlink r:id="rId84" ref="E21"/>
    <hyperlink r:id="rId85" ref="J21"/>
    <hyperlink r:id="rId86" ref="K21"/>
    <hyperlink r:id="rId87" ref="AH21"/>
    <hyperlink r:id="rId88" ref="E22"/>
    <hyperlink r:id="rId89" ref="J22"/>
    <hyperlink r:id="rId90" ref="K22"/>
    <hyperlink r:id="rId91" ref="AH22"/>
    <hyperlink r:id="rId92" ref="E23"/>
    <hyperlink r:id="rId93" ref="J23"/>
    <hyperlink r:id="rId94" ref="K23"/>
    <hyperlink r:id="rId95" ref="AH23"/>
    <hyperlink r:id="rId96" ref="AI23"/>
    <hyperlink r:id="rId97" ref="E24"/>
    <hyperlink r:id="rId98" ref="J24"/>
    <hyperlink r:id="rId99" ref="K24"/>
    <hyperlink r:id="rId100" ref="AH24"/>
    <hyperlink r:id="rId101" ref="E25"/>
    <hyperlink r:id="rId102" ref="J25"/>
    <hyperlink r:id="rId103" ref="K25"/>
    <hyperlink r:id="rId104" ref="AH25"/>
    <hyperlink r:id="rId105" ref="E26"/>
    <hyperlink r:id="rId106" ref="J26"/>
    <hyperlink r:id="rId107" ref="K26"/>
    <hyperlink r:id="rId108" ref="E27"/>
    <hyperlink r:id="rId109" ref="J27"/>
    <hyperlink r:id="rId110" ref="K27"/>
    <hyperlink r:id="rId111" ref="Z27"/>
    <hyperlink r:id="rId112" ref="AA27"/>
    <hyperlink r:id="rId113" ref="E28"/>
    <hyperlink r:id="rId114" ref="J28"/>
    <hyperlink r:id="rId115" ref="K28"/>
    <hyperlink r:id="rId116" ref="E29"/>
    <hyperlink r:id="rId117" ref="J29"/>
    <hyperlink r:id="rId118" ref="K29"/>
    <hyperlink r:id="rId119" ref="E30"/>
    <hyperlink r:id="rId120" ref="J30"/>
    <hyperlink r:id="rId121" ref="K30"/>
    <hyperlink r:id="rId122" ref="AH30"/>
    <hyperlink r:id="rId123" ref="AI30"/>
    <hyperlink r:id="rId124" ref="E31"/>
    <hyperlink r:id="rId125" ref="J31"/>
    <hyperlink r:id="rId126" ref="K31"/>
    <hyperlink r:id="rId127" ref="E32"/>
    <hyperlink r:id="rId128" ref="J32"/>
    <hyperlink r:id="rId129" ref="K32"/>
    <hyperlink r:id="rId130" ref="AI32"/>
    <hyperlink r:id="rId131" ref="E33"/>
    <hyperlink r:id="rId132" ref="J33"/>
    <hyperlink r:id="rId133" ref="K33"/>
    <hyperlink r:id="rId134" ref="AH33"/>
    <hyperlink r:id="rId135" ref="AI33"/>
    <hyperlink r:id="rId136" ref="E34"/>
    <hyperlink r:id="rId137" ref="J34"/>
    <hyperlink r:id="rId138" ref="AH34"/>
    <hyperlink r:id="rId139" ref="E35"/>
    <hyperlink r:id="rId140" ref="J35"/>
    <hyperlink r:id="rId141" ref="K35"/>
    <hyperlink r:id="rId142" ref="E36"/>
    <hyperlink r:id="rId143" ref="J36"/>
    <hyperlink r:id="rId144" ref="K36"/>
    <hyperlink r:id="rId145" ref="AH36"/>
    <hyperlink r:id="rId146" ref="AI36"/>
    <hyperlink r:id="rId147" ref="E37"/>
    <hyperlink r:id="rId148" ref="J37"/>
    <hyperlink r:id="rId149" ref="K37"/>
    <hyperlink r:id="rId150" ref="AI37"/>
    <hyperlink r:id="rId151" ref="AJ37"/>
    <hyperlink r:id="rId152" ref="E38"/>
    <hyperlink r:id="rId153" ref="J38"/>
    <hyperlink r:id="rId154" ref="K38"/>
    <hyperlink r:id="rId155" ref="E39"/>
    <hyperlink r:id="rId156" ref="J39"/>
    <hyperlink r:id="rId157" ref="K39"/>
    <hyperlink r:id="rId158" ref="AH39"/>
    <hyperlink r:id="rId159" ref="AI39"/>
    <hyperlink r:id="rId160" ref="E40"/>
    <hyperlink r:id="rId161" ref="J40"/>
    <hyperlink r:id="rId162" ref="K40"/>
    <hyperlink r:id="rId163" ref="AH40"/>
    <hyperlink r:id="rId164" ref="AI40"/>
    <hyperlink r:id="rId165" ref="E41"/>
    <hyperlink r:id="rId166" ref="J41"/>
    <hyperlink r:id="rId167" ref="K41"/>
    <hyperlink r:id="rId168" ref="E42"/>
    <hyperlink r:id="rId169" ref="J42"/>
    <hyperlink r:id="rId170" ref="K42"/>
    <hyperlink r:id="rId171" ref="E43"/>
    <hyperlink r:id="rId172" ref="J43"/>
    <hyperlink r:id="rId173" ref="K43"/>
    <hyperlink r:id="rId174" ref="E44"/>
    <hyperlink r:id="rId175" ref="J44"/>
    <hyperlink r:id="rId176" ref="K44"/>
    <hyperlink r:id="rId177" ref="AI44"/>
    <hyperlink r:id="rId178" ref="E45"/>
    <hyperlink r:id="rId179" ref="J45"/>
    <hyperlink r:id="rId180" ref="K45"/>
    <hyperlink r:id="rId181" ref="Z45"/>
    <hyperlink r:id="rId182" ref="AA45"/>
    <hyperlink r:id="rId183" ref="E46"/>
    <hyperlink r:id="rId184" ref="J46"/>
    <hyperlink r:id="rId185" ref="K46"/>
    <hyperlink r:id="rId186" ref="AI46"/>
    <hyperlink r:id="rId187" ref="E47"/>
    <hyperlink r:id="rId188" ref="J47"/>
    <hyperlink r:id="rId189" ref="K47"/>
    <hyperlink r:id="rId190" ref="AH47"/>
    <hyperlink r:id="rId191" ref="AI47"/>
    <hyperlink r:id="rId192" ref="AJ47"/>
    <hyperlink r:id="rId193" ref="E48"/>
    <hyperlink r:id="rId194" ref="J48"/>
    <hyperlink r:id="rId195" ref="K48"/>
    <hyperlink r:id="rId196" ref="AH48"/>
    <hyperlink r:id="rId197" ref="AI48"/>
    <hyperlink r:id="rId198" ref="AJ48"/>
    <hyperlink r:id="rId199" ref="E49"/>
    <hyperlink r:id="rId200" ref="J49"/>
    <hyperlink r:id="rId201" ref="K49"/>
    <hyperlink r:id="rId202" ref="AH49"/>
    <hyperlink r:id="rId203" ref="AI49"/>
    <hyperlink r:id="rId204" ref="AJ49"/>
    <hyperlink r:id="rId205" ref="E50"/>
    <hyperlink r:id="rId206" ref="J50"/>
    <hyperlink r:id="rId207" ref="K50"/>
    <hyperlink r:id="rId208" ref="AI50"/>
    <hyperlink r:id="rId209" ref="E51"/>
    <hyperlink r:id="rId210" ref="J51"/>
    <hyperlink r:id="rId211" ref="K51"/>
    <hyperlink r:id="rId212" ref="AI51"/>
    <hyperlink r:id="rId213" ref="E52"/>
    <hyperlink r:id="rId214" ref="J52"/>
    <hyperlink r:id="rId215" ref="K52"/>
    <hyperlink r:id="rId216" ref="AI52"/>
    <hyperlink r:id="rId217" ref="E53"/>
    <hyperlink r:id="rId218" ref="J53"/>
    <hyperlink r:id="rId219" ref="K53"/>
    <hyperlink r:id="rId220" ref="AI53"/>
    <hyperlink r:id="rId221" ref="E54"/>
    <hyperlink r:id="rId222" ref="J54"/>
    <hyperlink r:id="rId223" ref="K54"/>
    <hyperlink r:id="rId224" ref="E55"/>
    <hyperlink r:id="rId225" ref="J55"/>
    <hyperlink r:id="rId226" ref="K55"/>
    <hyperlink r:id="rId227" ref="E56"/>
    <hyperlink r:id="rId228" ref="J56"/>
    <hyperlink r:id="rId229" ref="K56"/>
    <hyperlink r:id="rId230" ref="E57"/>
    <hyperlink r:id="rId231" ref="J57"/>
    <hyperlink r:id="rId232" ref="K57"/>
    <hyperlink r:id="rId233" ref="E58"/>
    <hyperlink r:id="rId234" ref="J58"/>
    <hyperlink r:id="rId235" ref="K58"/>
    <hyperlink r:id="rId236" ref="AI58"/>
    <hyperlink r:id="rId237" ref="E59"/>
    <hyperlink r:id="rId238" ref="J59"/>
    <hyperlink r:id="rId239" ref="K59"/>
    <hyperlink r:id="rId240" ref="AH59"/>
    <hyperlink r:id="rId241" ref="E60"/>
    <hyperlink r:id="rId242" ref="J60"/>
    <hyperlink r:id="rId243" ref="K60"/>
    <hyperlink r:id="rId244" ref="AH60"/>
    <hyperlink r:id="rId245" ref="E61"/>
    <hyperlink r:id="rId246" ref="J61"/>
    <hyperlink r:id="rId247" ref="AH61"/>
    <hyperlink r:id="rId248" ref="E62"/>
    <hyperlink r:id="rId249" ref="J62"/>
    <hyperlink r:id="rId250" ref="K62"/>
    <hyperlink r:id="rId251" ref="AB62"/>
    <hyperlink r:id="rId252" ref="E63"/>
    <hyperlink r:id="rId253" ref="J63"/>
    <hyperlink r:id="rId254" ref="K63"/>
    <hyperlink r:id="rId255" ref="AI63"/>
    <hyperlink r:id="rId256" ref="E64"/>
    <hyperlink r:id="rId257" ref="J64"/>
    <hyperlink r:id="rId258" ref="K64"/>
    <hyperlink r:id="rId259" ref="AI64"/>
    <hyperlink r:id="rId260" ref="E65"/>
    <hyperlink r:id="rId261" ref="J65"/>
    <hyperlink r:id="rId262" ref="K65"/>
    <hyperlink r:id="rId263" ref="AI65"/>
    <hyperlink r:id="rId264" ref="E66"/>
    <hyperlink r:id="rId265" ref="J66"/>
    <hyperlink r:id="rId266" ref="K66"/>
    <hyperlink r:id="rId267" ref="AI66"/>
    <hyperlink r:id="rId268" ref="E67"/>
    <hyperlink r:id="rId269" ref="J67"/>
    <hyperlink r:id="rId270" ref="K67"/>
    <hyperlink r:id="rId271" ref="AI67"/>
    <hyperlink r:id="rId272" ref="E68"/>
    <hyperlink r:id="rId273" ref="J68"/>
    <hyperlink r:id="rId274" ref="K68"/>
    <hyperlink r:id="rId275" ref="AI68"/>
    <hyperlink r:id="rId276" ref="E69"/>
    <hyperlink r:id="rId277" ref="J69"/>
    <hyperlink r:id="rId278" ref="K69"/>
    <hyperlink r:id="rId279" ref="AI69"/>
    <hyperlink r:id="rId280" ref="E70"/>
    <hyperlink r:id="rId281" ref="J70"/>
    <hyperlink r:id="rId282" ref="K70"/>
    <hyperlink r:id="rId283" ref="AI70"/>
    <hyperlink r:id="rId284" ref="AJ70"/>
    <hyperlink r:id="rId285" ref="E71"/>
    <hyperlink r:id="rId286" ref="J71"/>
    <hyperlink r:id="rId287" ref="K71"/>
    <hyperlink r:id="rId288" ref="AI71"/>
    <hyperlink r:id="rId289" ref="E72"/>
    <hyperlink r:id="rId290" ref="J72"/>
    <hyperlink r:id="rId291" ref="AI72"/>
    <hyperlink r:id="rId292" ref="AJ72"/>
    <hyperlink r:id="rId293" ref="E73"/>
    <hyperlink r:id="rId294" ref="J73"/>
    <hyperlink r:id="rId295" ref="AI73"/>
    <hyperlink r:id="rId296" ref="AJ73"/>
    <hyperlink r:id="rId297" ref="E74"/>
    <hyperlink r:id="rId298" ref="J74"/>
    <hyperlink r:id="rId299" ref="AI74"/>
    <hyperlink r:id="rId300" ref="AJ74"/>
    <hyperlink r:id="rId301" ref="E75"/>
    <hyperlink r:id="rId302" ref="J75"/>
    <hyperlink r:id="rId303" ref="AI75"/>
    <hyperlink r:id="rId304" ref="AJ75"/>
    <hyperlink r:id="rId305" ref="E76"/>
    <hyperlink r:id="rId306" ref="J76"/>
    <hyperlink r:id="rId307" ref="AI76"/>
    <hyperlink r:id="rId308" ref="AJ76"/>
    <hyperlink r:id="rId309" ref="E77"/>
    <hyperlink r:id="rId310" ref="J77"/>
    <hyperlink r:id="rId311" ref="K77"/>
    <hyperlink r:id="rId312" ref="AI77"/>
    <hyperlink r:id="rId313" ref="AJ77"/>
    <hyperlink r:id="rId314" ref="E78"/>
    <hyperlink r:id="rId315" ref="J78"/>
    <hyperlink r:id="rId316" ref="AI78"/>
    <hyperlink r:id="rId317" ref="AJ78"/>
    <hyperlink r:id="rId318" ref="E79"/>
    <hyperlink r:id="rId319" ref="J79"/>
    <hyperlink r:id="rId320" ref="AI79"/>
    <hyperlink r:id="rId321" ref="AJ79"/>
    <hyperlink r:id="rId322" ref="E80"/>
    <hyperlink r:id="rId323" ref="J80"/>
    <hyperlink r:id="rId324" ref="AI80"/>
    <hyperlink r:id="rId325" ref="AJ80"/>
    <hyperlink r:id="rId326" ref="E81"/>
    <hyperlink r:id="rId327" ref="J81"/>
    <hyperlink r:id="rId328" ref="K81"/>
    <hyperlink r:id="rId329" ref="AI81"/>
    <hyperlink r:id="rId330" ref="E82"/>
    <hyperlink r:id="rId331" ref="J82"/>
    <hyperlink r:id="rId332" ref="K82"/>
    <hyperlink r:id="rId333" ref="AI82"/>
    <hyperlink r:id="rId334" ref="E83"/>
    <hyperlink r:id="rId335" ref="J83"/>
    <hyperlink r:id="rId336" ref="K83"/>
    <hyperlink r:id="rId337" ref="AI83"/>
    <hyperlink r:id="rId338" ref="E84"/>
    <hyperlink r:id="rId339" ref="J84"/>
    <hyperlink r:id="rId340" ref="K84"/>
    <hyperlink r:id="rId341" ref="AI84"/>
    <hyperlink r:id="rId342" ref="E85"/>
    <hyperlink r:id="rId343" ref="J85"/>
    <hyperlink r:id="rId344" ref="K85"/>
    <hyperlink r:id="rId345" ref="E86"/>
    <hyperlink r:id="rId346" ref="J86"/>
    <hyperlink r:id="rId347" ref="K86"/>
    <hyperlink r:id="rId348" ref="AI86"/>
    <hyperlink r:id="rId349" ref="AJ86"/>
    <hyperlink r:id="rId350" ref="E87"/>
    <hyperlink r:id="rId351" ref="J87"/>
    <hyperlink r:id="rId352" ref="K87"/>
    <hyperlink r:id="rId353" ref="AI87"/>
    <hyperlink r:id="rId354" ref="E88"/>
    <hyperlink r:id="rId355" ref="J88"/>
    <hyperlink r:id="rId356" ref="K88"/>
    <hyperlink r:id="rId357" ref="M88"/>
    <hyperlink r:id="rId358" ref="AH88"/>
    <hyperlink r:id="rId359" ref="AI88"/>
    <hyperlink r:id="rId360" ref="E89"/>
    <hyperlink r:id="rId361" ref="J89"/>
    <hyperlink r:id="rId362" ref="K89"/>
    <hyperlink r:id="rId363" ref="E90"/>
    <hyperlink r:id="rId364" ref="J90"/>
    <hyperlink r:id="rId365" ref="K90"/>
    <hyperlink r:id="rId366" ref="AI90"/>
    <hyperlink r:id="rId367" ref="E91"/>
    <hyperlink r:id="rId368" ref="J91"/>
    <hyperlink r:id="rId369" ref="K91"/>
    <hyperlink r:id="rId370" ref="AH91"/>
    <hyperlink r:id="rId371" ref="E92"/>
    <hyperlink r:id="rId372" ref="J92"/>
    <hyperlink r:id="rId373" ref="K92"/>
    <hyperlink r:id="rId374" ref="AI92"/>
    <hyperlink r:id="rId375" ref="E93"/>
    <hyperlink r:id="rId376" ref="J93"/>
    <hyperlink r:id="rId377" ref="K93"/>
    <hyperlink r:id="rId378" ref="E94"/>
    <hyperlink r:id="rId379" ref="J94"/>
    <hyperlink r:id="rId380" ref="K94"/>
    <hyperlink r:id="rId381" ref="E95"/>
    <hyperlink r:id="rId382" ref="J95"/>
    <hyperlink r:id="rId383" ref="K95"/>
    <hyperlink r:id="rId384" ref="AI95"/>
    <hyperlink r:id="rId385" ref="AJ95"/>
    <hyperlink r:id="rId386" ref="E96"/>
    <hyperlink r:id="rId387" ref="J96"/>
    <hyperlink r:id="rId388" ref="K96"/>
    <hyperlink r:id="rId389" ref="AI96"/>
    <hyperlink r:id="rId390" ref="E97"/>
    <hyperlink r:id="rId391" ref="J97"/>
    <hyperlink r:id="rId392" ref="K97"/>
    <hyperlink r:id="rId393" ref="E98"/>
    <hyperlink r:id="rId394" ref="J98"/>
    <hyperlink r:id="rId395" ref="K98"/>
    <hyperlink r:id="rId396" ref="E99"/>
    <hyperlink r:id="rId397" ref="J99"/>
    <hyperlink r:id="rId398" ref="K99"/>
    <hyperlink r:id="rId399" ref="AI99"/>
    <hyperlink r:id="rId400" ref="E100"/>
    <hyperlink r:id="rId401" ref="J100"/>
    <hyperlink r:id="rId402" ref="K100"/>
    <hyperlink r:id="rId403" ref="E101"/>
    <hyperlink r:id="rId404" ref="J101"/>
    <hyperlink r:id="rId405" ref="E102"/>
    <hyperlink r:id="rId406" ref="J102"/>
    <hyperlink r:id="rId407" ref="K102"/>
    <hyperlink r:id="rId408" ref="AI102"/>
    <hyperlink r:id="rId409" ref="E103"/>
    <hyperlink r:id="rId410" ref="J103"/>
    <hyperlink r:id="rId411" ref="K103"/>
    <hyperlink r:id="rId412" ref="E104"/>
    <hyperlink r:id="rId413" ref="J104"/>
    <hyperlink r:id="rId414" ref="K104"/>
    <hyperlink r:id="rId415" ref="E105"/>
    <hyperlink r:id="rId416" ref="J105"/>
    <hyperlink r:id="rId417" ref="K105"/>
    <hyperlink r:id="rId418" ref="AI105"/>
    <hyperlink r:id="rId419" ref="E106"/>
    <hyperlink r:id="rId420" ref="J106"/>
    <hyperlink r:id="rId421" ref="AI106"/>
    <hyperlink r:id="rId422" ref="E107"/>
    <hyperlink r:id="rId423" ref="J107"/>
    <hyperlink r:id="rId424" ref="K107"/>
    <hyperlink r:id="rId425" ref="AI107"/>
    <hyperlink r:id="rId426" ref="AJ107"/>
    <hyperlink r:id="rId427" ref="E108"/>
    <hyperlink r:id="rId428" ref="J108"/>
    <hyperlink r:id="rId429" ref="K108"/>
    <hyperlink r:id="rId430" ref="AI108"/>
    <hyperlink r:id="rId431" ref="E109"/>
    <hyperlink r:id="rId432" ref="J109"/>
    <hyperlink r:id="rId433" ref="K109"/>
    <hyperlink r:id="rId434" ref="AI109"/>
    <hyperlink r:id="rId435" ref="AJ109"/>
    <hyperlink r:id="rId436" ref="E110"/>
    <hyperlink r:id="rId437" ref="J110"/>
    <hyperlink r:id="rId438" ref="K110"/>
    <hyperlink r:id="rId439" ref="AI110"/>
    <hyperlink r:id="rId440" ref="E111"/>
    <hyperlink r:id="rId441" ref="J111"/>
    <hyperlink r:id="rId442" ref="K111"/>
    <hyperlink r:id="rId443" ref="AH111"/>
    <hyperlink r:id="rId444" ref="E112"/>
    <hyperlink r:id="rId445" ref="J112"/>
    <hyperlink r:id="rId446" ref="K112"/>
    <hyperlink r:id="rId447" ref="AI112"/>
    <hyperlink r:id="rId448" ref="AJ112"/>
    <hyperlink r:id="rId449" ref="E113"/>
    <hyperlink r:id="rId450" ref="J113"/>
    <hyperlink r:id="rId451" ref="K113"/>
    <hyperlink r:id="rId452" ref="AI113"/>
    <hyperlink r:id="rId453" ref="AJ113"/>
    <hyperlink r:id="rId454" ref="E114"/>
    <hyperlink r:id="rId455" ref="J114"/>
    <hyperlink r:id="rId456" ref="K114"/>
    <hyperlink r:id="rId457" ref="E115"/>
    <hyperlink r:id="rId458" ref="J115"/>
    <hyperlink r:id="rId459" ref="K115"/>
    <hyperlink r:id="rId460" ref="AH115"/>
    <hyperlink r:id="rId461" ref="E116"/>
    <hyperlink r:id="rId462" ref="J116"/>
    <hyperlink r:id="rId463" ref="K116"/>
    <hyperlink r:id="rId464" ref="E117"/>
    <hyperlink r:id="rId465" ref="J117"/>
    <hyperlink r:id="rId466" ref="AH117"/>
    <hyperlink r:id="rId467" ref="E118"/>
    <hyperlink r:id="rId468" ref="J118"/>
    <hyperlink r:id="rId469" ref="K118"/>
    <hyperlink r:id="rId470" ref="AI118"/>
    <hyperlink r:id="rId471" ref="E119"/>
    <hyperlink r:id="rId472" ref="J119"/>
    <hyperlink r:id="rId473" ref="K119"/>
    <hyperlink r:id="rId474" ref="AI119"/>
    <hyperlink r:id="rId475" ref="E120"/>
    <hyperlink r:id="rId476" ref="J120"/>
    <hyperlink r:id="rId477" ref="K120"/>
    <hyperlink r:id="rId478" ref="AA120"/>
    <hyperlink r:id="rId479" ref="E121"/>
    <hyperlink r:id="rId480" ref="J121"/>
    <hyperlink r:id="rId481" ref="K121"/>
    <hyperlink r:id="rId482" ref="E122"/>
    <hyperlink r:id="rId483" ref="J122"/>
    <hyperlink r:id="rId484" ref="E123"/>
    <hyperlink r:id="rId485" ref="J123"/>
    <hyperlink r:id="rId486" ref="K123"/>
    <hyperlink r:id="rId487" ref="AI123"/>
    <hyperlink r:id="rId488" ref="E124"/>
    <hyperlink r:id="rId489" ref="J124"/>
    <hyperlink r:id="rId490" ref="K124"/>
    <hyperlink r:id="rId491" ref="E125"/>
    <hyperlink r:id="rId492" ref="J125"/>
    <hyperlink r:id="rId493" ref="K125"/>
    <hyperlink r:id="rId494" ref="E126"/>
    <hyperlink r:id="rId495" ref="J126"/>
    <hyperlink r:id="rId496" ref="K126"/>
    <hyperlink r:id="rId497" ref="AI126"/>
    <hyperlink r:id="rId498" ref="E127"/>
    <hyperlink r:id="rId499" ref="J127"/>
    <hyperlink r:id="rId500" ref="AI127"/>
    <hyperlink r:id="rId501" ref="E128"/>
    <hyperlink r:id="rId502" ref="J128"/>
    <hyperlink r:id="rId503" ref="K128"/>
    <hyperlink r:id="rId504" ref="E129"/>
    <hyperlink r:id="rId505" ref="J129"/>
    <hyperlink r:id="rId506" ref="K129"/>
    <hyperlink r:id="rId507" ref="AH129"/>
    <hyperlink r:id="rId508" ref="E130"/>
    <hyperlink r:id="rId509" ref="J130"/>
    <hyperlink r:id="rId510" ref="K130"/>
    <hyperlink r:id="rId511" ref="E131"/>
    <hyperlink r:id="rId512" ref="J131"/>
    <hyperlink r:id="rId513" ref="K131"/>
    <hyperlink r:id="rId514" ref="E132"/>
    <hyperlink r:id="rId515" ref="J132"/>
    <hyperlink r:id="rId516" ref="K132"/>
    <hyperlink r:id="rId517" ref="AI132"/>
    <hyperlink r:id="rId518" ref="E133"/>
    <hyperlink r:id="rId519" ref="J133"/>
    <hyperlink r:id="rId520" ref="K133"/>
    <hyperlink r:id="rId521" ref="E134"/>
    <hyperlink r:id="rId522" ref="J134"/>
    <hyperlink r:id="rId523" ref="K134"/>
    <hyperlink r:id="rId524" ref="AH134"/>
    <hyperlink r:id="rId525" ref="E135"/>
    <hyperlink r:id="rId526" ref="J135"/>
    <hyperlink r:id="rId527" ref="K135"/>
    <hyperlink r:id="rId528" ref="E136"/>
    <hyperlink r:id="rId529" ref="J136"/>
    <hyperlink r:id="rId530" ref="K136"/>
    <hyperlink r:id="rId531" ref="AH136"/>
    <hyperlink r:id="rId532" ref="E137"/>
    <hyperlink r:id="rId533" ref="J137"/>
    <hyperlink r:id="rId534" ref="K137"/>
    <hyperlink r:id="rId535" ref="E138"/>
    <hyperlink r:id="rId536" ref="J138"/>
    <hyperlink r:id="rId537" ref="K138"/>
    <hyperlink r:id="rId538" ref="AH138"/>
    <hyperlink r:id="rId539" ref="E139"/>
    <hyperlink r:id="rId540" ref="J139"/>
    <hyperlink r:id="rId541" ref="K139"/>
    <hyperlink r:id="rId542" ref="E140"/>
    <hyperlink r:id="rId543" ref="J140"/>
    <hyperlink r:id="rId544" ref="K140"/>
    <hyperlink r:id="rId545" ref="AH140"/>
    <hyperlink r:id="rId546" ref="E141"/>
    <hyperlink r:id="rId547" ref="J141"/>
    <hyperlink r:id="rId548" ref="K141"/>
    <hyperlink r:id="rId549" ref="E142"/>
    <hyperlink r:id="rId550" ref="J142"/>
    <hyperlink r:id="rId551" ref="E143"/>
    <hyperlink r:id="rId552" ref="J143"/>
    <hyperlink r:id="rId553" ref="AI143"/>
    <hyperlink r:id="rId554" ref="E144"/>
    <hyperlink r:id="rId555" ref="J144"/>
    <hyperlink r:id="rId556" ref="K144"/>
    <hyperlink r:id="rId557" ref="AH144"/>
    <hyperlink r:id="rId558" ref="E145"/>
    <hyperlink r:id="rId559" ref="J145"/>
    <hyperlink r:id="rId560" ref="K145"/>
    <hyperlink r:id="rId561" ref="AH145"/>
    <hyperlink r:id="rId562" ref="AI145"/>
    <hyperlink r:id="rId563" ref="E146"/>
    <hyperlink r:id="rId564" ref="J146"/>
    <hyperlink r:id="rId565" ref="K146"/>
    <hyperlink r:id="rId566" ref="AH146"/>
    <hyperlink r:id="rId567" ref="E147"/>
    <hyperlink r:id="rId568" ref="J147"/>
    <hyperlink r:id="rId569" ref="AH147"/>
    <hyperlink r:id="rId570" ref="E148"/>
    <hyperlink r:id="rId571" ref="J148"/>
    <hyperlink r:id="rId572" ref="K148"/>
    <hyperlink r:id="rId573" ref="AI148"/>
    <hyperlink r:id="rId574" ref="E149"/>
    <hyperlink r:id="rId575" ref="J149"/>
    <hyperlink r:id="rId576" ref="K149"/>
    <hyperlink r:id="rId577" ref="E150"/>
    <hyperlink r:id="rId578" ref="J150"/>
    <hyperlink r:id="rId579" ref="AH150"/>
    <hyperlink r:id="rId580" ref="E151"/>
    <hyperlink r:id="rId581" ref="J151"/>
    <hyperlink r:id="rId582" ref="K151"/>
    <hyperlink r:id="rId583" ref="M151"/>
    <hyperlink r:id="rId584" ref="AH151"/>
    <hyperlink r:id="rId585" ref="AI151"/>
    <hyperlink r:id="rId586" ref="E152"/>
    <hyperlink r:id="rId587" ref="J152"/>
    <hyperlink r:id="rId588" ref="K152"/>
    <hyperlink r:id="rId589" ref="E153"/>
    <hyperlink r:id="rId590" ref="J153"/>
    <hyperlink r:id="rId591" ref="K153"/>
    <hyperlink r:id="rId592" ref="E154"/>
    <hyperlink r:id="rId593" ref="J154"/>
    <hyperlink r:id="rId594" ref="K154"/>
    <hyperlink r:id="rId595" ref="E155"/>
    <hyperlink r:id="rId596" ref="J155"/>
    <hyperlink r:id="rId597" ref="K155"/>
    <hyperlink r:id="rId598" ref="M155"/>
    <hyperlink r:id="rId599" ref="AH155"/>
    <hyperlink r:id="rId600" ref="AI155"/>
    <hyperlink r:id="rId601" ref="E156"/>
    <hyperlink r:id="rId602" ref="J156"/>
    <hyperlink r:id="rId603" ref="K156"/>
    <hyperlink r:id="rId604" ref="M156"/>
    <hyperlink r:id="rId605" ref="AH156"/>
    <hyperlink r:id="rId606" ref="AI156"/>
    <hyperlink r:id="rId607" ref="E157"/>
    <hyperlink r:id="rId608" ref="J157"/>
    <hyperlink r:id="rId609" ref="K157"/>
    <hyperlink r:id="rId610" ref="AI157"/>
    <hyperlink r:id="rId611" ref="E158"/>
    <hyperlink r:id="rId612" ref="J158"/>
    <hyperlink r:id="rId613" ref="K158"/>
    <hyperlink r:id="rId614" ref="E159"/>
    <hyperlink r:id="rId615" ref="J159"/>
    <hyperlink r:id="rId616" ref="K159"/>
    <hyperlink r:id="rId617" ref="AH159"/>
    <hyperlink r:id="rId618" ref="E160"/>
    <hyperlink r:id="rId619" ref="J160"/>
    <hyperlink r:id="rId620" ref="K160"/>
    <hyperlink r:id="rId621" ref="AI160"/>
    <hyperlink r:id="rId622" ref="AJ160"/>
    <hyperlink r:id="rId623" ref="E161"/>
    <hyperlink r:id="rId624" ref="J161"/>
    <hyperlink r:id="rId625" ref="K161"/>
    <hyperlink r:id="rId626" ref="AI161"/>
    <hyperlink r:id="rId627" ref="E162"/>
    <hyperlink r:id="rId628" ref="J162"/>
    <hyperlink r:id="rId629" ref="K162"/>
    <hyperlink r:id="rId630" ref="AI162"/>
    <hyperlink r:id="rId631" ref="E163"/>
    <hyperlink r:id="rId632" ref="J163"/>
    <hyperlink r:id="rId633" ref="K163"/>
    <hyperlink r:id="rId634" ref="AI163"/>
    <hyperlink r:id="rId635" ref="E164"/>
    <hyperlink r:id="rId636" ref="J164"/>
    <hyperlink r:id="rId637" ref="K164"/>
    <hyperlink r:id="rId638" ref="AI164"/>
    <hyperlink r:id="rId639" ref="E165"/>
    <hyperlink r:id="rId640" ref="J165"/>
    <hyperlink r:id="rId641" ref="K165"/>
    <hyperlink r:id="rId642" ref="AA165"/>
    <hyperlink r:id="rId643" ref="E166"/>
    <hyperlink r:id="rId644" ref="J166"/>
    <hyperlink r:id="rId645" ref="K166"/>
    <hyperlink r:id="rId646" ref="AH166"/>
    <hyperlink r:id="rId647" ref="E167"/>
    <hyperlink r:id="rId648" ref="J167"/>
    <hyperlink r:id="rId649" ref="K167"/>
    <hyperlink r:id="rId650" ref="E168"/>
    <hyperlink r:id="rId651" ref="J168"/>
    <hyperlink r:id="rId652" ref="K168"/>
    <hyperlink r:id="rId653" ref="AI168"/>
    <hyperlink r:id="rId654" ref="AJ168"/>
    <hyperlink r:id="rId655" ref="E169"/>
    <hyperlink r:id="rId656" ref="J169"/>
    <hyperlink r:id="rId657" ref="K169"/>
    <hyperlink r:id="rId658" ref="E170"/>
    <hyperlink r:id="rId659" ref="J170"/>
    <hyperlink r:id="rId660" ref="AH170"/>
    <hyperlink r:id="rId661" ref="E171"/>
    <hyperlink r:id="rId662" ref="J171"/>
    <hyperlink r:id="rId663" ref="K171"/>
    <hyperlink r:id="rId664" ref="E172"/>
    <hyperlink r:id="rId665" ref="J172"/>
    <hyperlink r:id="rId666" ref="K172"/>
    <hyperlink r:id="rId667" ref="E173"/>
    <hyperlink r:id="rId668" ref="J173"/>
    <hyperlink r:id="rId669" ref="K173"/>
    <hyperlink r:id="rId670" ref="E174"/>
    <hyperlink r:id="rId671" ref="J174"/>
    <hyperlink r:id="rId672" ref="K174"/>
    <hyperlink r:id="rId673" ref="AH174"/>
    <hyperlink r:id="rId674" ref="E175"/>
    <hyperlink r:id="rId675" ref="J175"/>
    <hyperlink r:id="rId676" ref="K175"/>
    <hyperlink r:id="rId677" ref="AA175"/>
    <hyperlink r:id="rId678" ref="E176"/>
    <hyperlink r:id="rId679" ref="J176"/>
    <hyperlink r:id="rId680" ref="E177"/>
    <hyperlink r:id="rId681" ref="J177"/>
    <hyperlink r:id="rId682" ref="K177"/>
    <hyperlink r:id="rId683" ref="AI177"/>
    <hyperlink r:id="rId684" ref="E178"/>
    <hyperlink r:id="rId685" ref="J178"/>
    <hyperlink r:id="rId686" ref="K178"/>
    <hyperlink r:id="rId687" ref="AH178"/>
    <hyperlink r:id="rId688" ref="E179"/>
    <hyperlink r:id="rId689" ref="J179"/>
    <hyperlink r:id="rId690" ref="K179"/>
    <hyperlink r:id="rId691" ref="AH179"/>
    <hyperlink r:id="rId692" ref="E180"/>
    <hyperlink r:id="rId693" ref="J180"/>
    <hyperlink r:id="rId694" ref="K180"/>
    <hyperlink r:id="rId695" ref="AH180"/>
    <hyperlink r:id="rId696" ref="E181"/>
    <hyperlink r:id="rId697" ref="J181"/>
    <hyperlink r:id="rId698" ref="K181"/>
    <hyperlink r:id="rId699" ref="AH181"/>
    <hyperlink r:id="rId700" ref="E182"/>
    <hyperlink r:id="rId701" ref="J182"/>
    <hyperlink r:id="rId702" ref="K182"/>
    <hyperlink r:id="rId703" ref="AH182"/>
    <hyperlink r:id="rId704" ref="E183"/>
    <hyperlink r:id="rId705" ref="J183"/>
    <hyperlink r:id="rId706" ref="K183"/>
    <hyperlink r:id="rId707" ref="AA183"/>
    <hyperlink r:id="rId708" ref="E184"/>
    <hyperlink r:id="rId709" ref="J184"/>
    <hyperlink r:id="rId710" ref="K184"/>
    <hyperlink r:id="rId711" ref="E185"/>
    <hyperlink r:id="rId712" ref="J185"/>
    <hyperlink r:id="rId713" ref="K185"/>
    <hyperlink r:id="rId714" ref="AI185"/>
    <hyperlink r:id="rId715" ref="E186"/>
    <hyperlink r:id="rId716" ref="J186"/>
    <hyperlink r:id="rId717" ref="K186"/>
    <hyperlink r:id="rId718" ref="AA186"/>
    <hyperlink r:id="rId719" ref="E187"/>
    <hyperlink r:id="rId720" ref="J187"/>
    <hyperlink r:id="rId721" ref="K187"/>
    <hyperlink r:id="rId722" ref="AH187"/>
    <hyperlink r:id="rId723" ref="E188"/>
    <hyperlink r:id="rId724" ref="J188"/>
    <hyperlink r:id="rId725" ref="K188"/>
    <hyperlink r:id="rId726" ref="AA188"/>
    <hyperlink r:id="rId727" ref="E189"/>
    <hyperlink r:id="rId728" ref="J189"/>
    <hyperlink r:id="rId729" ref="K189"/>
    <hyperlink r:id="rId730" ref="AA189"/>
    <hyperlink r:id="rId731" ref="E190"/>
    <hyperlink r:id="rId732" ref="J190"/>
    <hyperlink r:id="rId733" ref="K190"/>
    <hyperlink r:id="rId734" ref="E191"/>
    <hyperlink r:id="rId735" ref="J191"/>
    <hyperlink r:id="rId736" ref="K191"/>
    <hyperlink r:id="rId737" ref="AH191"/>
    <hyperlink r:id="rId738" ref="E192"/>
    <hyperlink r:id="rId739" ref="J192"/>
    <hyperlink r:id="rId740" ref="K192"/>
    <hyperlink r:id="rId741" ref="AH192"/>
    <hyperlink r:id="rId742" ref="E193"/>
    <hyperlink r:id="rId743" ref="J193"/>
    <hyperlink r:id="rId744" ref="K193"/>
    <hyperlink r:id="rId745" ref="AA193"/>
    <hyperlink r:id="rId746" ref="E194"/>
    <hyperlink r:id="rId747" ref="J194"/>
    <hyperlink r:id="rId748" ref="K194"/>
    <hyperlink r:id="rId749" ref="AH194"/>
    <hyperlink r:id="rId750" ref="E195"/>
    <hyperlink r:id="rId751" ref="J195"/>
    <hyperlink r:id="rId752" ref="K195"/>
    <hyperlink r:id="rId753" ref="AH195"/>
    <hyperlink r:id="rId754" ref="E196"/>
    <hyperlink r:id="rId755" ref="J196"/>
    <hyperlink r:id="rId756" ref="K196"/>
    <hyperlink r:id="rId757" ref="AH196"/>
    <hyperlink r:id="rId758" ref="E197"/>
    <hyperlink r:id="rId759" ref="J197"/>
    <hyperlink r:id="rId760" ref="K197"/>
    <hyperlink r:id="rId761" ref="AI197"/>
    <hyperlink r:id="rId762" ref="AJ197"/>
    <hyperlink r:id="rId763" ref="E198"/>
    <hyperlink r:id="rId764" ref="J198"/>
    <hyperlink r:id="rId765" ref="E199"/>
    <hyperlink r:id="rId766" ref="J199"/>
    <hyperlink r:id="rId767" ref="K199"/>
    <hyperlink r:id="rId768" ref="AI199"/>
    <hyperlink r:id="rId769" ref="E200"/>
    <hyperlink r:id="rId770" ref="J200"/>
    <hyperlink r:id="rId771" ref="K200"/>
    <hyperlink r:id="rId772" ref="AI200"/>
    <hyperlink r:id="rId773" ref="E201"/>
    <hyperlink r:id="rId774" ref="J201"/>
    <hyperlink r:id="rId775" ref="K201"/>
    <hyperlink r:id="rId776" ref="AH201"/>
    <hyperlink r:id="rId777" ref="E202"/>
    <hyperlink r:id="rId778" ref="J202"/>
    <hyperlink r:id="rId779" ref="K202"/>
    <hyperlink r:id="rId780" ref="AI202"/>
    <hyperlink r:id="rId781" ref="E203"/>
    <hyperlink r:id="rId782" ref="J203"/>
    <hyperlink r:id="rId783" ref="K203"/>
    <hyperlink r:id="rId784" ref="AI203"/>
    <hyperlink r:id="rId785" ref="E204"/>
    <hyperlink r:id="rId786" ref="J204"/>
    <hyperlink r:id="rId787" ref="K204"/>
    <hyperlink r:id="rId788" ref="AB204"/>
    <hyperlink r:id="rId789" ref="E205"/>
    <hyperlink r:id="rId790" ref="J205"/>
    <hyperlink r:id="rId791" ref="K205"/>
    <hyperlink r:id="rId792" ref="AH205"/>
    <hyperlink r:id="rId793" ref="E206"/>
    <hyperlink r:id="rId794" ref="J206"/>
    <hyperlink r:id="rId795" ref="K206"/>
    <hyperlink r:id="rId796" ref="E207"/>
    <hyperlink r:id="rId797" ref="J207"/>
    <hyperlink r:id="rId798" ref="K207"/>
    <hyperlink r:id="rId799" ref="E208"/>
    <hyperlink r:id="rId800" ref="J208"/>
    <hyperlink r:id="rId801" ref="AH208"/>
    <hyperlink r:id="rId802" ref="E209"/>
    <hyperlink r:id="rId803" ref="J209"/>
    <hyperlink r:id="rId804" ref="AH209"/>
    <hyperlink r:id="rId805" ref="E210"/>
    <hyperlink r:id="rId806" ref="J210"/>
    <hyperlink r:id="rId807" ref="K210"/>
    <hyperlink r:id="rId808" ref="E211"/>
    <hyperlink r:id="rId809" ref="J211"/>
    <hyperlink r:id="rId810" ref="K211"/>
    <hyperlink r:id="rId811" ref="AH211"/>
    <hyperlink r:id="rId812" ref="E212"/>
    <hyperlink r:id="rId813" ref="J212"/>
    <hyperlink r:id="rId814" ref="K212"/>
    <hyperlink r:id="rId815" ref="E213"/>
    <hyperlink r:id="rId816" ref="J213"/>
    <hyperlink r:id="rId817" ref="K213"/>
    <hyperlink r:id="rId818" ref="AI213"/>
    <hyperlink r:id="rId819" ref="E214"/>
    <hyperlink r:id="rId820" ref="J214"/>
    <hyperlink r:id="rId821" ref="K214"/>
    <hyperlink r:id="rId822" ref="AH214"/>
    <hyperlink r:id="rId823" ref="E215"/>
    <hyperlink r:id="rId824" ref="J215"/>
    <hyperlink r:id="rId825" ref="K215"/>
    <hyperlink r:id="rId826" ref="AA215"/>
    <hyperlink r:id="rId827" ref="E216"/>
    <hyperlink r:id="rId828" ref="J216"/>
    <hyperlink r:id="rId829" ref="K216"/>
    <hyperlink r:id="rId830" ref="E217"/>
    <hyperlink r:id="rId831" ref="J217"/>
    <hyperlink r:id="rId832" ref="K217"/>
    <hyperlink r:id="rId833" ref="AH217"/>
    <hyperlink r:id="rId834" ref="E218"/>
    <hyperlink r:id="rId835" ref="J218"/>
    <hyperlink r:id="rId836" ref="K218"/>
    <hyperlink r:id="rId837" ref="E219"/>
    <hyperlink r:id="rId838" ref="J219"/>
    <hyperlink r:id="rId839" ref="K219"/>
    <hyperlink r:id="rId840" ref="E220"/>
    <hyperlink r:id="rId841" ref="J220"/>
    <hyperlink r:id="rId842" ref="K220"/>
    <hyperlink r:id="rId843" ref="E221"/>
    <hyperlink r:id="rId844" ref="J221"/>
    <hyperlink r:id="rId845" ref="K221"/>
    <hyperlink r:id="rId846" ref="E222"/>
    <hyperlink r:id="rId847" ref="J222"/>
    <hyperlink r:id="rId848" ref="K222"/>
    <hyperlink r:id="rId849" ref="E223"/>
    <hyperlink r:id="rId850" ref="J223"/>
    <hyperlink r:id="rId851" ref="K223"/>
    <hyperlink r:id="rId852" ref="AI223"/>
    <hyperlink r:id="rId853" ref="E224"/>
    <hyperlink r:id="rId854" ref="J224"/>
    <hyperlink r:id="rId855" ref="K224"/>
    <hyperlink r:id="rId856" ref="E225"/>
    <hyperlink r:id="rId857" ref="J225"/>
    <hyperlink r:id="rId858" ref="K225"/>
    <hyperlink r:id="rId859" ref="E226"/>
    <hyperlink r:id="rId860" ref="J226"/>
    <hyperlink r:id="rId861" ref="K226"/>
    <hyperlink r:id="rId862" ref="E227"/>
    <hyperlink r:id="rId863" ref="J227"/>
    <hyperlink r:id="rId864" ref="K227"/>
    <hyperlink r:id="rId865" ref="E228"/>
    <hyperlink r:id="rId866" ref="J228"/>
    <hyperlink r:id="rId867" ref="K228"/>
    <hyperlink r:id="rId868" ref="AI228"/>
    <hyperlink r:id="rId869" ref="E229"/>
    <hyperlink r:id="rId870" ref="J229"/>
    <hyperlink r:id="rId871" ref="K229"/>
    <hyperlink r:id="rId872" ref="AH229"/>
    <hyperlink r:id="rId873" ref="E230"/>
    <hyperlink r:id="rId874" ref="J230"/>
    <hyperlink r:id="rId875" ref="K230"/>
    <hyperlink r:id="rId876" ref="AI230"/>
    <hyperlink r:id="rId877" ref="E231"/>
    <hyperlink r:id="rId878" ref="J231"/>
    <hyperlink r:id="rId879" ref="K231"/>
    <hyperlink r:id="rId880" ref="AI231"/>
    <hyperlink r:id="rId881" ref="E232"/>
    <hyperlink r:id="rId882" ref="J232"/>
    <hyperlink r:id="rId883" ref="K232"/>
    <hyperlink r:id="rId884" ref="AI232"/>
    <hyperlink r:id="rId885" ref="E233"/>
    <hyperlink r:id="rId886" ref="J233"/>
    <hyperlink r:id="rId887" ref="K233"/>
    <hyperlink r:id="rId888" ref="E234"/>
    <hyperlink r:id="rId889" ref="J234"/>
    <hyperlink r:id="rId890" ref="K234"/>
    <hyperlink r:id="rId891" ref="AI234"/>
    <hyperlink r:id="rId892" ref="E235"/>
    <hyperlink r:id="rId893" ref="J235"/>
    <hyperlink r:id="rId894" ref="K235"/>
    <hyperlink r:id="rId895" ref="AI235"/>
    <hyperlink r:id="rId896" ref="E236"/>
    <hyperlink r:id="rId897" ref="J236"/>
    <hyperlink r:id="rId898" ref="K236"/>
    <hyperlink r:id="rId899" ref="AI236"/>
    <hyperlink r:id="rId900" ref="E237"/>
    <hyperlink r:id="rId901" ref="J237"/>
    <hyperlink r:id="rId902" ref="K237"/>
    <hyperlink r:id="rId903" ref="AI237"/>
    <hyperlink r:id="rId904" ref="E238"/>
    <hyperlink r:id="rId905" ref="J238"/>
    <hyperlink r:id="rId906" ref="K238"/>
    <hyperlink r:id="rId907" ref="E239"/>
    <hyperlink r:id="rId908" ref="J239"/>
    <hyperlink r:id="rId909" ref="K239"/>
    <hyperlink r:id="rId910" ref="AA239"/>
    <hyperlink r:id="rId911" ref="E240"/>
    <hyperlink r:id="rId912" ref="J240"/>
    <hyperlink r:id="rId913" ref="K240"/>
    <hyperlink r:id="rId914" ref="AI240"/>
    <hyperlink r:id="rId915" ref="E241"/>
    <hyperlink r:id="rId916" ref="J241"/>
    <hyperlink r:id="rId917" ref="K241"/>
    <hyperlink r:id="rId918" ref="E242"/>
    <hyperlink r:id="rId919" ref="J242"/>
    <hyperlink r:id="rId920" ref="K242"/>
    <hyperlink r:id="rId921" ref="AH242"/>
    <hyperlink r:id="rId922" ref="AI242"/>
    <hyperlink r:id="rId923" ref="E243"/>
    <hyperlink r:id="rId924" ref="J243"/>
    <hyperlink r:id="rId925" ref="K243"/>
    <hyperlink r:id="rId926" ref="E244"/>
    <hyperlink r:id="rId927" ref="J244"/>
    <hyperlink r:id="rId928" ref="K244"/>
    <hyperlink r:id="rId929" ref="E245"/>
    <hyperlink r:id="rId930" ref="J245"/>
    <hyperlink r:id="rId931" ref="K245"/>
    <hyperlink r:id="rId932" ref="E246"/>
    <hyperlink r:id="rId933" ref="J246"/>
    <hyperlink r:id="rId934" ref="K246"/>
    <hyperlink r:id="rId935" ref="E247"/>
    <hyperlink r:id="rId936" ref="J247"/>
    <hyperlink r:id="rId937" ref="K247"/>
    <hyperlink r:id="rId938" ref="AA247"/>
    <hyperlink r:id="rId939" ref="E248"/>
    <hyperlink r:id="rId940" ref="J248"/>
    <hyperlink r:id="rId941" ref="K248"/>
    <hyperlink r:id="rId942" ref="AI248"/>
    <hyperlink r:id="rId943" ref="E249"/>
    <hyperlink r:id="rId944" ref="J249"/>
    <hyperlink r:id="rId945" ref="K249"/>
    <hyperlink r:id="rId946" ref="AI249"/>
    <hyperlink r:id="rId947" ref="E250"/>
    <hyperlink r:id="rId948" ref="J250"/>
    <hyperlink r:id="rId949" ref="K250"/>
    <hyperlink r:id="rId950" ref="E251"/>
    <hyperlink r:id="rId951" ref="J251"/>
    <hyperlink r:id="rId952" ref="K251"/>
    <hyperlink r:id="rId953" ref="E252"/>
    <hyperlink r:id="rId954" ref="J252"/>
    <hyperlink r:id="rId955" ref="K252"/>
    <hyperlink r:id="rId956" ref="E253"/>
    <hyperlink r:id="rId957" ref="J253"/>
    <hyperlink r:id="rId958" ref="K253"/>
    <hyperlink r:id="rId959" ref="AI253"/>
    <hyperlink r:id="rId960" ref="E254"/>
    <hyperlink r:id="rId961" ref="J254"/>
    <hyperlink r:id="rId962" ref="AH254"/>
    <hyperlink r:id="rId963" ref="E255"/>
    <hyperlink r:id="rId964" ref="J255"/>
    <hyperlink r:id="rId965" ref="K255"/>
    <hyperlink r:id="rId966" ref="AH255"/>
    <hyperlink r:id="rId967" ref="E256"/>
    <hyperlink r:id="rId968" ref="J256"/>
    <hyperlink r:id="rId969" ref="K256"/>
    <hyperlink r:id="rId970" ref="AA256"/>
    <hyperlink r:id="rId971" ref="E257"/>
    <hyperlink r:id="rId972" ref="J257"/>
    <hyperlink r:id="rId973" ref="AH257"/>
    <hyperlink r:id="rId974" ref="E258"/>
    <hyperlink r:id="rId975" ref="J258"/>
    <hyperlink r:id="rId976" ref="K258"/>
    <hyperlink r:id="rId977" ref="AH258"/>
    <hyperlink r:id="rId978" ref="E259"/>
    <hyperlink r:id="rId979" ref="J259"/>
    <hyperlink r:id="rId980" ref="AH259"/>
    <hyperlink r:id="rId981" ref="E260"/>
    <hyperlink r:id="rId982" ref="J260"/>
    <hyperlink r:id="rId983" ref="K260"/>
    <hyperlink r:id="rId984" ref="AH260"/>
    <hyperlink r:id="rId985" ref="E261"/>
    <hyperlink r:id="rId986" ref="J261"/>
    <hyperlink r:id="rId987" ref="K261"/>
    <hyperlink r:id="rId988" ref="AH261"/>
    <hyperlink r:id="rId989" ref="E262"/>
    <hyperlink r:id="rId990" ref="J262"/>
    <hyperlink r:id="rId991" ref="K262"/>
    <hyperlink r:id="rId992" ref="E263"/>
    <hyperlink r:id="rId993" ref="J263"/>
    <hyperlink r:id="rId994" ref="K263"/>
    <hyperlink r:id="rId995" ref="AH263"/>
    <hyperlink r:id="rId996" ref="E264"/>
    <hyperlink r:id="rId997" ref="J264"/>
    <hyperlink r:id="rId998" ref="K264"/>
    <hyperlink r:id="rId999" ref="E265"/>
    <hyperlink r:id="rId1000" ref="J265"/>
    <hyperlink r:id="rId1001" ref="K265"/>
    <hyperlink r:id="rId1002" ref="AH265"/>
    <hyperlink r:id="rId1003" ref="E266"/>
    <hyperlink r:id="rId1004" ref="J266"/>
    <hyperlink r:id="rId1005" ref="K266"/>
    <hyperlink r:id="rId1006" ref="AH266"/>
    <hyperlink r:id="rId1007" ref="AI266"/>
    <hyperlink r:id="rId1008" ref="E267"/>
    <hyperlink r:id="rId1009" ref="J267"/>
    <hyperlink r:id="rId1010" ref="AH267"/>
    <hyperlink r:id="rId1011" ref="E268"/>
    <hyperlink r:id="rId1012" ref="J268"/>
    <hyperlink r:id="rId1013" ref="K268"/>
    <hyperlink r:id="rId1014" ref="AH268"/>
    <hyperlink r:id="rId1015" ref="E269"/>
    <hyperlink r:id="rId1016" ref="J269"/>
    <hyperlink r:id="rId1017" ref="K269"/>
    <hyperlink r:id="rId1018" ref="AH269"/>
    <hyperlink r:id="rId1019" ref="AI269"/>
    <hyperlink r:id="rId1020" ref="E270"/>
    <hyperlink r:id="rId1021" ref="J270"/>
    <hyperlink r:id="rId1022" ref="K270"/>
    <hyperlink r:id="rId1023" ref="AI270"/>
    <hyperlink r:id="rId1024" ref="E271"/>
    <hyperlink r:id="rId1025" ref="J271"/>
    <hyperlink r:id="rId1026" ref="K271"/>
    <hyperlink r:id="rId1027" ref="AH271"/>
    <hyperlink r:id="rId1028" ref="E272"/>
    <hyperlink r:id="rId1029" ref="J272"/>
    <hyperlink r:id="rId1030" ref="K272"/>
    <hyperlink r:id="rId1031" ref="AI272"/>
    <hyperlink r:id="rId1032" ref="E273"/>
    <hyperlink r:id="rId1033" ref="J273"/>
    <hyperlink r:id="rId1034" ref="K273"/>
    <hyperlink r:id="rId1035" ref="AI273"/>
    <hyperlink r:id="rId1036" ref="E274"/>
    <hyperlink r:id="rId1037" ref="J274"/>
    <hyperlink r:id="rId1038" ref="K274"/>
    <hyperlink r:id="rId1039" ref="AI274"/>
    <hyperlink r:id="rId1040" ref="E275"/>
    <hyperlink r:id="rId1041" ref="J275"/>
    <hyperlink r:id="rId1042" ref="K275"/>
    <hyperlink r:id="rId1043" ref="E276"/>
    <hyperlink r:id="rId1044" ref="J276"/>
    <hyperlink r:id="rId1045" ref="K276"/>
    <hyperlink r:id="rId1046" ref="AI276"/>
    <hyperlink r:id="rId1047" ref="E277"/>
    <hyperlink r:id="rId1048" ref="J277"/>
    <hyperlink r:id="rId1049" ref="K277"/>
    <hyperlink r:id="rId1050" ref="E278"/>
    <hyperlink r:id="rId1051" ref="J278"/>
    <hyperlink r:id="rId1052" ref="K278"/>
    <hyperlink r:id="rId1053" ref="AI278"/>
    <hyperlink r:id="rId1054" ref="E279"/>
    <hyperlink r:id="rId1055" ref="J279"/>
    <hyperlink r:id="rId1056" ref="K279"/>
    <hyperlink r:id="rId1057" ref="E280"/>
    <hyperlink r:id="rId1058" ref="J280"/>
    <hyperlink r:id="rId1059" ref="K280"/>
    <hyperlink r:id="rId1060" ref="E281"/>
    <hyperlink r:id="rId1061" ref="J281"/>
    <hyperlink r:id="rId1062" ref="AH281"/>
    <hyperlink r:id="rId1063" ref="E282"/>
    <hyperlink r:id="rId1064" ref="J282"/>
    <hyperlink r:id="rId1065" ref="K282"/>
    <hyperlink r:id="rId1066" ref="AI282"/>
    <hyperlink r:id="rId1067" ref="E283"/>
    <hyperlink r:id="rId1068" ref="J283"/>
    <hyperlink r:id="rId1069" ref="K283"/>
    <hyperlink r:id="rId1070" ref="AH283"/>
    <hyperlink r:id="rId1071" ref="AI283"/>
    <hyperlink r:id="rId1072" ref="E284"/>
    <hyperlink r:id="rId1073" ref="J284"/>
    <hyperlink r:id="rId1074" ref="K284"/>
    <hyperlink r:id="rId1075" ref="AH284"/>
    <hyperlink r:id="rId1076" ref="E285"/>
    <hyperlink r:id="rId1077" ref="J285"/>
    <hyperlink r:id="rId1078" ref="K285"/>
    <hyperlink r:id="rId1079" ref="AA285"/>
    <hyperlink r:id="rId1080" ref="E286"/>
    <hyperlink r:id="rId1081" ref="J286"/>
    <hyperlink r:id="rId1082" ref="K286"/>
    <hyperlink r:id="rId1083" ref="E287"/>
    <hyperlink r:id="rId1084" ref="H287"/>
    <hyperlink r:id="rId1085" ref="J287"/>
    <hyperlink r:id="rId1086" ref="K287"/>
    <hyperlink r:id="rId1087" ref="AH287"/>
    <hyperlink r:id="rId1088" ref="AI287"/>
    <hyperlink r:id="rId1089" ref="E288"/>
    <hyperlink r:id="rId1090" ref="J288"/>
    <hyperlink r:id="rId1091" ref="AH288"/>
    <hyperlink r:id="rId1092" ref="E289"/>
    <hyperlink r:id="rId1093" ref="J289"/>
    <hyperlink r:id="rId1094" ref="K289"/>
    <hyperlink r:id="rId1095" ref="AH289"/>
    <hyperlink r:id="rId1096" ref="E290"/>
    <hyperlink r:id="rId1097" ref="J290"/>
    <hyperlink r:id="rId1098" ref="K290"/>
    <hyperlink r:id="rId1099" ref="AH290"/>
    <hyperlink r:id="rId1100" ref="E291"/>
    <hyperlink r:id="rId1101" ref="H291"/>
    <hyperlink r:id="rId1102" ref="J291"/>
    <hyperlink r:id="rId1103" ref="K291"/>
    <hyperlink r:id="rId1104" ref="AH291"/>
    <hyperlink r:id="rId1105" ref="AI291"/>
    <hyperlink r:id="rId1106" ref="E292"/>
    <hyperlink r:id="rId1107" ref="J292"/>
    <hyperlink r:id="rId1108" ref="K292"/>
    <hyperlink r:id="rId1109" ref="AH292"/>
    <hyperlink r:id="rId1110" ref="E293"/>
    <hyperlink r:id="rId1111" ref="F293"/>
    <hyperlink r:id="rId1112" ref="J293"/>
    <hyperlink r:id="rId1113" ref="K293"/>
    <hyperlink r:id="rId1114" ref="AH293"/>
    <hyperlink r:id="rId1115" ref="E294"/>
    <hyperlink r:id="rId1116" ref="J294"/>
    <hyperlink r:id="rId1117" ref="K294"/>
    <hyperlink r:id="rId1118" ref="AH294"/>
    <hyperlink r:id="rId1119" ref="E295"/>
    <hyperlink r:id="rId1120" ref="H295"/>
    <hyperlink r:id="rId1121" ref="J295"/>
    <hyperlink r:id="rId1122" ref="AH295"/>
    <hyperlink r:id="rId1123" ref="E296"/>
    <hyperlink r:id="rId1124" ref="J296"/>
    <hyperlink r:id="rId1125" ref="K296"/>
    <hyperlink r:id="rId1126" ref="E297"/>
    <hyperlink r:id="rId1127" ref="J297"/>
    <hyperlink r:id="rId1128" ref="K297"/>
    <hyperlink r:id="rId1129" ref="AH297"/>
    <hyperlink r:id="rId1130" ref="AI297"/>
    <hyperlink r:id="rId1131" ref="E298"/>
    <hyperlink r:id="rId1132" ref="J298"/>
    <hyperlink r:id="rId1133" ref="K298"/>
    <hyperlink r:id="rId1134" ref="E299"/>
    <hyperlink r:id="rId1135" ref="J299"/>
    <hyperlink r:id="rId1136" ref="K299"/>
    <hyperlink r:id="rId1137" ref="AH299"/>
    <hyperlink r:id="rId1138" ref="E300"/>
    <hyperlink r:id="rId1139" ref="H300"/>
    <hyperlink r:id="rId1140" ref="J300"/>
    <hyperlink r:id="rId1141" ref="K300"/>
    <hyperlink r:id="rId1142" ref="AH300"/>
    <hyperlink r:id="rId1143" ref="AI300"/>
    <hyperlink r:id="rId1144" ref="E301"/>
    <hyperlink r:id="rId1145" ref="J301"/>
    <hyperlink r:id="rId1146" ref="K301"/>
    <hyperlink r:id="rId1147" ref="AI301"/>
    <hyperlink r:id="rId1148" ref="E302"/>
    <hyperlink r:id="rId1149" ref="J302"/>
    <hyperlink r:id="rId1150" ref="K302"/>
    <hyperlink r:id="rId1151" ref="AH302"/>
    <hyperlink r:id="rId1152" ref="E303"/>
    <hyperlink r:id="rId1153" ref="J303"/>
    <hyperlink r:id="rId1154" ref="K303"/>
    <hyperlink r:id="rId1155" ref="AH303"/>
    <hyperlink r:id="rId1156" ref="AI303"/>
    <hyperlink r:id="rId1157" ref="E304"/>
    <hyperlink r:id="rId1158" ref="J304"/>
    <hyperlink r:id="rId1159" ref="K304"/>
    <hyperlink r:id="rId1160" ref="AI304"/>
    <hyperlink r:id="rId1161" ref="E305"/>
    <hyperlink r:id="rId1162" ref="J305"/>
    <hyperlink r:id="rId1163" ref="K305"/>
    <hyperlink r:id="rId1164" ref="AI305"/>
    <hyperlink r:id="rId1165" ref="E306"/>
    <hyperlink r:id="rId1166" ref="J306"/>
    <hyperlink r:id="rId1167" ref="AH306"/>
    <hyperlink r:id="rId1168" ref="E307"/>
    <hyperlink r:id="rId1169" ref="J307"/>
    <hyperlink r:id="rId1170" ref="K307"/>
    <hyperlink r:id="rId1171" ref="AI307"/>
    <hyperlink r:id="rId1172" ref="E308"/>
    <hyperlink r:id="rId1173" ref="J308"/>
    <hyperlink r:id="rId1174" ref="K308"/>
    <hyperlink r:id="rId1175" ref="AH308"/>
    <hyperlink r:id="rId1176" ref="E309"/>
    <hyperlink r:id="rId1177" ref="J309"/>
    <hyperlink r:id="rId1178" ref="K309"/>
    <hyperlink r:id="rId1179" ref="AH309"/>
    <hyperlink r:id="rId1180" ref="E310"/>
    <hyperlink r:id="rId1181" ref="J310"/>
    <hyperlink r:id="rId1182" ref="K310"/>
    <hyperlink r:id="rId1183" ref="AH310"/>
    <hyperlink r:id="rId1184" ref="E311"/>
    <hyperlink r:id="rId1185" ref="J311"/>
    <hyperlink r:id="rId1186" ref="AI311"/>
    <hyperlink r:id="rId1187" ref="E312"/>
    <hyperlink r:id="rId1188" ref="J312"/>
    <hyperlink r:id="rId1189" ref="AI312"/>
    <hyperlink r:id="rId1190" ref="E313"/>
    <hyperlink r:id="rId1191" ref="J313"/>
    <hyperlink r:id="rId1192" ref="K313"/>
    <hyperlink r:id="rId1193" ref="E314"/>
    <hyperlink r:id="rId1194" ref="J314"/>
    <hyperlink r:id="rId1195" ref="K314"/>
    <hyperlink r:id="rId1196" ref="E315"/>
    <hyperlink r:id="rId1197" ref="J315"/>
    <hyperlink r:id="rId1198" ref="K315"/>
    <hyperlink r:id="rId1199" ref="E316"/>
    <hyperlink r:id="rId1200" ref="J316"/>
    <hyperlink r:id="rId1201" ref="K316"/>
    <hyperlink r:id="rId1202" ref="E317"/>
    <hyperlink r:id="rId1203" ref="J317"/>
    <hyperlink r:id="rId1204" ref="K317"/>
    <hyperlink r:id="rId1205" ref="AH317"/>
    <hyperlink r:id="rId1206" ref="E318"/>
    <hyperlink r:id="rId1207" ref="J318"/>
    <hyperlink r:id="rId1208" ref="K318"/>
    <hyperlink r:id="rId1209" ref="AH318"/>
    <hyperlink r:id="rId1210" ref="E319"/>
    <hyperlink r:id="rId1211" ref="J319"/>
    <hyperlink r:id="rId1212" ref="K319"/>
    <hyperlink r:id="rId1213" ref="AH319"/>
    <hyperlink r:id="rId1214" ref="E320"/>
    <hyperlink r:id="rId1215" ref="J320"/>
    <hyperlink r:id="rId1216" ref="AH320"/>
    <hyperlink r:id="rId1217" ref="E321"/>
    <hyperlink r:id="rId1218" ref="J321"/>
    <hyperlink r:id="rId1219" ref="K321"/>
    <hyperlink r:id="rId1220" ref="AH321"/>
    <hyperlink r:id="rId1221" ref="E322"/>
    <hyperlink r:id="rId1222" ref="J322"/>
    <hyperlink r:id="rId1223" ref="K322"/>
    <hyperlink r:id="rId1224" ref="AH322"/>
  </hyperlinks>
  <drawing r:id="rId12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5" width="12.63"/>
    <col hidden="1" min="9" max="13" width="12.63"/>
    <col hidden="1" min="15" max="32" width="12.63"/>
  </cols>
  <sheetData>
    <row r="1">
      <c r="A1" s="3" t="str">
        <f>IFERROR(__xludf.DUMMYFUNCTION("FILTER(
  'dataset-1'!A:AG,
  (COUNTIF('dataset-2'!A:A, 'dataset-1'!A:A) &gt; 0)
)"),"id")</f>
        <v>id</v>
      </c>
      <c r="B1" s="3" t="str">
        <f>IFERROR(__xludf.DUMMYFUNCTION("""COMPUTED_VALUE"""),"thread_id")</f>
        <v>thread_id</v>
      </c>
      <c r="C1" s="3" t="str">
        <f>IFERROR(__xludf.DUMMYFUNCTION("""COMPUTED_VALUE"""),"timestamp")</f>
        <v>timestamp</v>
      </c>
      <c r="D1" s="3" t="str">
        <f>IFERROR(__xludf.DUMMYFUNCTION("""COMPUTED_VALUE"""),"unix_timestamp")</f>
        <v>unix_timestamp</v>
      </c>
      <c r="E1" s="3" t="str">
        <f>IFERROR(__xludf.DUMMYFUNCTION("""COMPUTED_VALUE"""),"link")</f>
        <v>link</v>
      </c>
      <c r="F1" s="3" t="str">
        <f>IFERROR(__xludf.DUMMYFUNCTION("""COMPUTED_VALUE"""),"body")</f>
        <v>body</v>
      </c>
      <c r="G1" s="3" t="str">
        <f>IFERROR(__xludf.DUMMYFUNCTION("""COMPUTED_VALUE"""),"author")</f>
        <v>author</v>
      </c>
      <c r="H1" s="3" t="str">
        <f>IFERROR(__xludf.DUMMYFUNCTION("""COMPUTED_VALUE"""),"author_fullname")</f>
        <v>author_fullname</v>
      </c>
      <c r="I1" s="3" t="str">
        <f>IFERROR(__xludf.DUMMYFUNCTION("""COMPUTED_VALUE"""),"author_id")</f>
        <v>author_id</v>
      </c>
      <c r="J1" s="3" t="str">
        <f>IFERROR(__xludf.DUMMYFUNCTION("""COMPUTED_VALUE"""),"author_avatar_url")</f>
        <v>author_avatar_url</v>
      </c>
      <c r="K1" s="3" t="str">
        <f>IFERROR(__xludf.DUMMYFUNCTION("""COMPUTED_VALUE"""),"author_banner_url")</f>
        <v>author_banner_url</v>
      </c>
      <c r="L1" s="3" t="str">
        <f>IFERROR(__xludf.DUMMYFUNCTION("""COMPUTED_VALUE"""),"verified")</f>
        <v>verified</v>
      </c>
      <c r="M1" s="3" t="str">
        <f>IFERROR(__xludf.DUMMYFUNCTION("""COMPUTED_VALUE"""),"source")</f>
        <v>source</v>
      </c>
      <c r="N1" s="3" t="str">
        <f>IFERROR(__xludf.DUMMYFUNCTION("""COMPUTED_VALUE"""),"language_guess")</f>
        <v>language_guess</v>
      </c>
      <c r="O1" s="3" t="str">
        <f>IFERROR(__xludf.DUMMYFUNCTION("""COMPUTED_VALUE"""),"possibly_sensitive")</f>
        <v>possibly_sensitive</v>
      </c>
      <c r="P1" s="3" t="str">
        <f>IFERROR(__xludf.DUMMYFUNCTION("""COMPUTED_VALUE"""),"retweet_count")</f>
        <v>retweet_count</v>
      </c>
      <c r="Q1" s="3" t="str">
        <f>IFERROR(__xludf.DUMMYFUNCTION("""COMPUTED_VALUE"""),"reply_count")</f>
        <v>reply_count</v>
      </c>
      <c r="R1" s="3" t="str">
        <f>IFERROR(__xludf.DUMMYFUNCTION("""COMPUTED_VALUE"""),"like_count")</f>
        <v>like_count</v>
      </c>
      <c r="S1" s="3" t="str">
        <f>IFERROR(__xludf.DUMMYFUNCTION("""COMPUTED_VALUE"""),"quote_count")</f>
        <v>quote_count</v>
      </c>
      <c r="T1" s="3" t="str">
        <f>IFERROR(__xludf.DUMMYFUNCTION("""COMPUTED_VALUE"""),"impression_count")</f>
        <v>impression_count</v>
      </c>
      <c r="U1" s="3" t="str">
        <f>IFERROR(__xludf.DUMMYFUNCTION("""COMPUTED_VALUE"""),"is_retweet")</f>
        <v>is_retweet</v>
      </c>
      <c r="V1" s="3" t="str">
        <f>IFERROR(__xludf.DUMMYFUNCTION("""COMPUTED_VALUE"""),"retweeted_user")</f>
        <v>retweeted_user</v>
      </c>
      <c r="W1" s="3" t="str">
        <f>IFERROR(__xludf.DUMMYFUNCTION("""COMPUTED_VALUE"""),"is_quote_tweet")</f>
        <v>is_quote_tweet</v>
      </c>
      <c r="X1" s="3" t="str">
        <f>IFERROR(__xludf.DUMMYFUNCTION("""COMPUTED_VALUE"""),"quote_tweet_id")</f>
        <v>quote_tweet_id</v>
      </c>
      <c r="Y1" s="3" t="str">
        <f>IFERROR(__xludf.DUMMYFUNCTION("""COMPUTED_VALUE"""),"quote_author")</f>
        <v>quote_author</v>
      </c>
      <c r="Z1" s="3" t="str">
        <f>IFERROR(__xludf.DUMMYFUNCTION("""COMPUTED_VALUE"""),"quote_body")</f>
        <v>quote_body</v>
      </c>
      <c r="AA1" s="3" t="str">
        <f>IFERROR(__xludf.DUMMYFUNCTION("""COMPUTED_VALUE"""),"quote_images")</f>
        <v>quote_images</v>
      </c>
      <c r="AB1" s="3" t="str">
        <f>IFERROR(__xludf.DUMMYFUNCTION("""COMPUTED_VALUE"""),"quote_videos")</f>
        <v>quote_videos</v>
      </c>
      <c r="AC1" s="3" t="str">
        <f>IFERROR(__xludf.DUMMYFUNCTION("""COMPUTED_VALUE"""),"is_quote_withheld")</f>
        <v>is_quote_withheld</v>
      </c>
      <c r="AD1" s="3" t="str">
        <f>IFERROR(__xludf.DUMMYFUNCTION("""COMPUTED_VALUE"""),"is_reply")</f>
        <v>is_reply</v>
      </c>
      <c r="AE1" s="3" t="str">
        <f>IFERROR(__xludf.DUMMYFUNCTION("""COMPUTED_VALUE"""),"replied_author")</f>
        <v>replied_author</v>
      </c>
      <c r="AF1" s="3" t="str">
        <f>IFERROR(__xludf.DUMMYFUNCTION("""COMPUTED_VALUE"""),"is_withheld")</f>
        <v>is_withheld</v>
      </c>
      <c r="AG1" s="3" t="str">
        <f>IFERROR(__xludf.DUMMYFUNCTION("""COMPUTED_VALUE"""),"hashtags")</f>
        <v>hashtags</v>
      </c>
    </row>
    <row r="2">
      <c r="A2" s="3" t="str">
        <f>IFERROR(__xludf.DUMMYFUNCTION("""COMPUTED_VALUE"""),"1980369299366899925")</f>
        <v>1980369299366899925</v>
      </c>
      <c r="B2" s="3" t="str">
        <f>IFERROR(__xludf.DUMMYFUNCTION("""COMPUTED_VALUE"""),"1980369299366899925")</f>
        <v>1980369299366899925</v>
      </c>
      <c r="C2" s="10">
        <f>IFERROR(__xludf.DUMMYFUNCTION("""COMPUTED_VALUE"""),45950.849641203706)</f>
        <v>45950.84964</v>
      </c>
      <c r="D2" s="3">
        <f>IFERROR(__xludf.DUMMYFUNCTION("""COMPUTED_VALUE"""),1.760991809E9)</f>
        <v>1760991809</v>
      </c>
      <c r="E2" s="11" t="str">
        <f>IFERROR(__xludf.DUMMYFUNCTION("""COMPUTED_VALUE"""),"https://x.com/offlutt/status/1980369299366899925")</f>
        <v>https://x.com/offlutt/status/1980369299366899925</v>
      </c>
      <c r="F2" s="3" t="str">
        <f>IFERROR(__xludf.DUMMYFUNCTION("""COMPUTED_VALUE"""),"odeio ser um adulto com tdah disfuncional quero me m https://t.co/6Uszm7iJmM")</f>
        <v>odeio ser um adulto com tdah disfuncional quero me m https://t.co/6Uszm7iJmM</v>
      </c>
      <c r="G2" s="3" t="str">
        <f>IFERROR(__xludf.DUMMYFUNCTION("""COMPUTED_VALUE"""),"offlutt")</f>
        <v>offlutt</v>
      </c>
      <c r="H2" s="3" t="str">
        <f>IFERROR(__xludf.DUMMYFUNCTION("""COMPUTED_VALUE"""),"Lutt")</f>
        <v>Lutt</v>
      </c>
      <c r="I2" s="3" t="str">
        <f>IFERROR(__xludf.DUMMYFUNCTION("""COMPUTED_VALUE"""),"1967630715526512640")</f>
        <v>1967630715526512640</v>
      </c>
      <c r="J2" s="11" t="str">
        <f>IFERROR(__xludf.DUMMYFUNCTION("""COMPUTED_VALUE"""),"https://pbs.twimg.com/profile_images/1967646759720460288/YdjMDEKZ_normal.jpg")</f>
        <v>https://pbs.twimg.com/profile_images/1967646759720460288/YdjMDEKZ_normal.jpg</v>
      </c>
      <c r="K2" s="11" t="str">
        <f>IFERROR(__xludf.DUMMYFUNCTION("""COMPUTED_VALUE"""),"https://pbs.twimg.com/profile_banners/1967630715526512640/1759271328")</f>
        <v>https://pbs.twimg.com/profile_banners/1967630715526512640/1759271328</v>
      </c>
      <c r="L2" s="3" t="b">
        <f>IFERROR(__xludf.DUMMYFUNCTION("""COMPUTED_VALUE"""),FALSE)</f>
        <v>0</v>
      </c>
      <c r="M2" s="3" t="str">
        <f>IFERROR(__xludf.DUMMYFUNCTION("""COMPUTED_VALUE"""),"Twitter for Android")</f>
        <v>Twitter for Android</v>
      </c>
      <c r="N2" s="3" t="str">
        <f>IFERROR(__xludf.DUMMYFUNCTION("""COMPUTED_VALUE"""),"pt")</f>
        <v>pt</v>
      </c>
      <c r="O2" s="3" t="str">
        <f>IFERROR(__xludf.DUMMYFUNCTION("""COMPUTED_VALUE"""),"no")</f>
        <v>no</v>
      </c>
      <c r="P2" s="3">
        <f>IFERROR(__xludf.DUMMYFUNCTION("""COMPUTED_VALUE"""),1.0)</f>
        <v>1</v>
      </c>
      <c r="Q2" s="3">
        <f>IFERROR(__xludf.DUMMYFUNCTION("""COMPUTED_VALUE"""),1.0)</f>
        <v>1</v>
      </c>
      <c r="R2" s="3">
        <f>IFERROR(__xludf.DUMMYFUNCTION("""COMPUTED_VALUE"""),16.0)</f>
        <v>16</v>
      </c>
      <c r="S2" s="3">
        <f>IFERROR(__xludf.DUMMYFUNCTION("""COMPUTED_VALUE"""),0.0)</f>
        <v>0</v>
      </c>
      <c r="T2" s="3">
        <f>IFERROR(__xludf.DUMMYFUNCTION("""COMPUTED_VALUE"""),822.0)</f>
        <v>822</v>
      </c>
      <c r="U2" s="3" t="str">
        <f>IFERROR(__xludf.DUMMYFUNCTION("""COMPUTED_VALUE"""),"no")</f>
        <v>no</v>
      </c>
      <c r="V2" s="3"/>
      <c r="W2" s="3" t="str">
        <f>IFERROR(__xludf.DUMMYFUNCTION("""COMPUTED_VALUE"""),"no")</f>
        <v>no</v>
      </c>
      <c r="X2" s="3"/>
      <c r="Y2" s="3"/>
      <c r="Z2" s="3"/>
      <c r="AA2" s="3"/>
      <c r="AB2" s="3"/>
      <c r="AC2" s="3" t="str">
        <f>IFERROR(__xludf.DUMMYFUNCTION("""COMPUTED_VALUE"""),"no")</f>
        <v>no</v>
      </c>
      <c r="AD2" s="3" t="str">
        <f>IFERROR(__xludf.DUMMYFUNCTION("""COMPUTED_VALUE"""),"no")</f>
        <v>no</v>
      </c>
      <c r="AE2" s="3"/>
      <c r="AF2" s="3" t="str">
        <f>IFERROR(__xludf.DUMMYFUNCTION("""COMPUTED_VALUE"""),"no")</f>
        <v>no</v>
      </c>
      <c r="AG2" s="3"/>
    </row>
    <row r="3" hidden="1">
      <c r="A3" s="3" t="str">
        <f>IFERROR(__xludf.DUMMYFUNCTION("""COMPUTED_VALUE"""),"1942730247528689706")</f>
        <v>1942730247528689706</v>
      </c>
      <c r="B3" s="3" t="str">
        <f>IFERROR(__xludf.DUMMYFUNCTION("""COMPUTED_VALUE"""),"1942730247528689706")</f>
        <v>1942730247528689706</v>
      </c>
      <c r="C3" s="10">
        <f>IFERROR(__xludf.DUMMYFUNCTION("""COMPUTED_VALUE"""),45846.98563657407)</f>
        <v>45846.98564</v>
      </c>
      <c r="D3" s="3">
        <f>IFERROR(__xludf.DUMMYFUNCTION("""COMPUTED_VALUE"""),1.752017959E9)</f>
        <v>1752017959</v>
      </c>
      <c r="E3" s="11" t="str">
        <f>IFERROR(__xludf.DUMMYFUNCTION("""COMPUTED_VALUE"""),"https://x.com/ElPaido/status/1942730247528689706")</f>
        <v>https://x.com/ElPaido/status/1942730247528689706</v>
      </c>
      <c r="F3" s="3" t="str">
        <f>IFERROR(__xludf.DUMMYFUNCTION("""COMPUTED_VALUE"""),"¿Cómo se diagnostica el TDAH en adultos en los ensayos clínicos aleatorizados (RCTs)?
Una revisión de 292 estudios muestra que la mitad ni siquiera evaluó psicopatología general.
Este hilo expone por qué esto compromete la validez de muchos estudios sobre"&amp;" TDAH adulto.
🧵 https://t.co/eR12Vr1fXJ")</f>
        <v>¿Cómo se diagnostica el TDAH en adultos en los ensayos clínicos aleatorizados (RCTs)?
Una revisión de 292 estudios muestra que la mitad ni siquiera evaluó psicopatología general.
Este hilo expone por qué esto compromete la validez de muchos estudios sobre TDAH adulto.
🧵 https://t.co/eR12Vr1fXJ</v>
      </c>
      <c r="G3" s="3" t="str">
        <f>IFERROR(__xludf.DUMMYFUNCTION("""COMPUTED_VALUE"""),"ElPaido")</f>
        <v>ElPaido</v>
      </c>
      <c r="H3" s="3" t="str">
        <f>IFERROR(__xludf.DUMMYFUNCTION("""COMPUTED_VALUE"""),"El Paido ®️")</f>
        <v>El Paido ®️</v>
      </c>
      <c r="I3" s="3">
        <f>IFERROR(__xludf.DUMMYFUNCTION("""COMPUTED_VALUE"""),2.36621586E8)</f>
        <v>236621586</v>
      </c>
      <c r="J3" s="11" t="str">
        <f>IFERROR(__xludf.DUMMYFUNCTION("""COMPUTED_VALUE"""),"https://pbs.twimg.com/profile_images/1540464860768731136/UM4JIXS3_normal.jpg")</f>
        <v>https://pbs.twimg.com/profile_images/1540464860768731136/UM4JIXS3_normal.jpg</v>
      </c>
      <c r="K3" s="11" t="str">
        <f>IFERROR(__xludf.DUMMYFUNCTION("""COMPUTED_VALUE"""),"https://pbs.twimg.com/profile_banners/236621586/1606877123")</f>
        <v>https://pbs.twimg.com/profile_banners/236621586/1606877123</v>
      </c>
      <c r="L3" s="3" t="b">
        <f>IFERROR(__xludf.DUMMYFUNCTION("""COMPUTED_VALUE"""),FALSE)</f>
        <v>0</v>
      </c>
      <c r="M3" s="3" t="str">
        <f>IFERROR(__xludf.DUMMYFUNCTION("""COMPUTED_VALUE"""),"Twitter for Android")</f>
        <v>Twitter for Android</v>
      </c>
      <c r="N3" s="3" t="str">
        <f>IFERROR(__xludf.DUMMYFUNCTION("""COMPUTED_VALUE"""),"es")</f>
        <v>es</v>
      </c>
      <c r="O3" s="3" t="str">
        <f>IFERROR(__xludf.DUMMYFUNCTION("""COMPUTED_VALUE"""),"no")</f>
        <v>no</v>
      </c>
      <c r="P3" s="3">
        <f>IFERROR(__xludf.DUMMYFUNCTION("""COMPUTED_VALUE"""),20.0)</f>
        <v>20</v>
      </c>
      <c r="Q3" s="3">
        <f>IFERROR(__xludf.DUMMYFUNCTION("""COMPUTED_VALUE"""),3.0)</f>
        <v>3</v>
      </c>
      <c r="R3" s="3">
        <f>IFERROR(__xludf.DUMMYFUNCTION("""COMPUTED_VALUE"""),74.0)</f>
        <v>74</v>
      </c>
      <c r="S3" s="3">
        <f>IFERROR(__xludf.DUMMYFUNCTION("""COMPUTED_VALUE"""),2.0)</f>
        <v>2</v>
      </c>
      <c r="T3" s="3">
        <f>IFERROR(__xludf.DUMMYFUNCTION("""COMPUTED_VALUE"""),7110.0)</f>
        <v>7110</v>
      </c>
      <c r="U3" s="3" t="str">
        <f>IFERROR(__xludf.DUMMYFUNCTION("""COMPUTED_VALUE"""),"no")</f>
        <v>no</v>
      </c>
      <c r="V3" s="3"/>
      <c r="W3" s="3" t="str">
        <f>IFERROR(__xludf.DUMMYFUNCTION("""COMPUTED_VALUE"""),"no")</f>
        <v>no</v>
      </c>
      <c r="X3" s="3"/>
      <c r="Y3" s="3"/>
      <c r="Z3" s="3"/>
      <c r="AA3" s="3"/>
      <c r="AB3" s="3"/>
      <c r="AC3" s="3" t="str">
        <f>IFERROR(__xludf.DUMMYFUNCTION("""COMPUTED_VALUE"""),"no")</f>
        <v>no</v>
      </c>
      <c r="AD3" s="3" t="str">
        <f>IFERROR(__xludf.DUMMYFUNCTION("""COMPUTED_VALUE"""),"no")</f>
        <v>no</v>
      </c>
      <c r="AE3" s="3"/>
      <c r="AF3" s="3" t="str">
        <f>IFERROR(__xludf.DUMMYFUNCTION("""COMPUTED_VALUE"""),"no")</f>
        <v>no</v>
      </c>
      <c r="AG3" s="3"/>
    </row>
    <row r="4" hidden="1">
      <c r="A4" s="3" t="str">
        <f>IFERROR(__xludf.DUMMYFUNCTION("""COMPUTED_VALUE"""),"1931402646964887556")</f>
        <v>1931402646964887556</v>
      </c>
      <c r="B4" s="3" t="str">
        <f>IFERROR(__xludf.DUMMYFUNCTION("""COMPUTED_VALUE"""),"1931402646964887556")</f>
        <v>1931402646964887556</v>
      </c>
      <c r="C4" s="10">
        <f>IFERROR(__xludf.DUMMYFUNCTION("""COMPUTED_VALUE"""),45815.72741898148)</f>
        <v>45815.72742</v>
      </c>
      <c r="D4" s="3">
        <f>IFERROR(__xludf.DUMMYFUNCTION("""COMPUTED_VALUE"""),1.749317249E9)</f>
        <v>1749317249</v>
      </c>
      <c r="E4" s="11" t="str">
        <f>IFERROR(__xludf.DUMMYFUNCTION("""COMPUTED_VALUE"""),"https://x.com/ElPaido/status/1931402646964887556")</f>
        <v>https://x.com/ElPaido/status/1931402646964887556</v>
      </c>
      <c r="F4" s="3" t="str">
        <f>IFERROR(__xludf.DUMMYFUNCTION("""COMPUTED_VALUE"""),"A veces, nuestro mejor aliado en el tratamiento del TDAH en niños y adolescentes no es un medicamento, sino un maestro:
🏀 de básquet
⚽ de fútbol
🥋 de taekwondo o karate
🏊 de natación
Un adulto que guía, estructura y cree en ellos.
—ElPaido https://t.co"&amp;"/YgKZP2mKRC")</f>
        <v>A veces, nuestro mejor aliado en el tratamiento del TDAH en niños y adolescentes no es un medicamento, sino un maestro:
🏀 de básquet
⚽ de fútbol
🥋 de taekwondo o karate
🏊 de natación
Un adulto que guía, estructura y cree en ellos.
—ElPaido https://t.co/YgKZP2mKRC</v>
      </c>
      <c r="G4" s="3" t="str">
        <f>IFERROR(__xludf.DUMMYFUNCTION("""COMPUTED_VALUE"""),"ElPaido")</f>
        <v>ElPaido</v>
      </c>
      <c r="H4" s="3" t="str">
        <f>IFERROR(__xludf.DUMMYFUNCTION("""COMPUTED_VALUE"""),"El Paido ®️")</f>
        <v>El Paido ®️</v>
      </c>
      <c r="I4" s="3">
        <f>IFERROR(__xludf.DUMMYFUNCTION("""COMPUTED_VALUE"""),2.36621586E8)</f>
        <v>236621586</v>
      </c>
      <c r="J4" s="11" t="str">
        <f>IFERROR(__xludf.DUMMYFUNCTION("""COMPUTED_VALUE"""),"https://pbs.twimg.com/profile_images/1540464860768731136/UM4JIXS3_normal.jpg")</f>
        <v>https://pbs.twimg.com/profile_images/1540464860768731136/UM4JIXS3_normal.jpg</v>
      </c>
      <c r="K4" s="11" t="str">
        <f>IFERROR(__xludf.DUMMYFUNCTION("""COMPUTED_VALUE"""),"https://pbs.twimg.com/profile_banners/236621586/1606877123")</f>
        <v>https://pbs.twimg.com/profile_banners/236621586/1606877123</v>
      </c>
      <c r="L4" s="3" t="b">
        <f>IFERROR(__xludf.DUMMYFUNCTION("""COMPUTED_VALUE"""),FALSE)</f>
        <v>0</v>
      </c>
      <c r="M4" s="3" t="str">
        <f>IFERROR(__xludf.DUMMYFUNCTION("""COMPUTED_VALUE"""),"Twitter Web App")</f>
        <v>Twitter Web App</v>
      </c>
      <c r="N4" s="3" t="str">
        <f>IFERROR(__xludf.DUMMYFUNCTION("""COMPUTED_VALUE"""),"es")</f>
        <v>es</v>
      </c>
      <c r="O4" s="3" t="str">
        <f>IFERROR(__xludf.DUMMYFUNCTION("""COMPUTED_VALUE"""),"no")</f>
        <v>no</v>
      </c>
      <c r="P4" s="3">
        <f>IFERROR(__xludf.DUMMYFUNCTION("""COMPUTED_VALUE"""),42.0)</f>
        <v>42</v>
      </c>
      <c r="Q4" s="3">
        <f>IFERROR(__xludf.DUMMYFUNCTION("""COMPUTED_VALUE"""),4.0)</f>
        <v>4</v>
      </c>
      <c r="R4" s="3">
        <f>IFERROR(__xludf.DUMMYFUNCTION("""COMPUTED_VALUE"""),185.0)</f>
        <v>185</v>
      </c>
      <c r="S4" s="3">
        <f>IFERROR(__xludf.DUMMYFUNCTION("""COMPUTED_VALUE"""),3.0)</f>
        <v>3</v>
      </c>
      <c r="T4" s="3">
        <f>IFERROR(__xludf.DUMMYFUNCTION("""COMPUTED_VALUE"""),5127.0)</f>
        <v>5127</v>
      </c>
      <c r="U4" s="3" t="str">
        <f>IFERROR(__xludf.DUMMYFUNCTION("""COMPUTED_VALUE"""),"no")</f>
        <v>no</v>
      </c>
      <c r="V4" s="3"/>
      <c r="W4" s="3" t="str">
        <f>IFERROR(__xludf.DUMMYFUNCTION("""COMPUTED_VALUE"""),"no")</f>
        <v>no</v>
      </c>
      <c r="X4" s="3"/>
      <c r="Y4" s="3"/>
      <c r="Z4" s="3"/>
      <c r="AA4" s="3"/>
      <c r="AB4" s="3"/>
      <c r="AC4" s="3" t="str">
        <f>IFERROR(__xludf.DUMMYFUNCTION("""COMPUTED_VALUE"""),"no")</f>
        <v>no</v>
      </c>
      <c r="AD4" s="3" t="str">
        <f>IFERROR(__xludf.DUMMYFUNCTION("""COMPUTED_VALUE"""),"no")</f>
        <v>no</v>
      </c>
      <c r="AE4" s="3"/>
      <c r="AF4" s="3" t="str">
        <f>IFERROR(__xludf.DUMMYFUNCTION("""COMPUTED_VALUE"""),"no")</f>
        <v>no</v>
      </c>
      <c r="AG4" s="3"/>
    </row>
    <row r="5" hidden="1">
      <c r="A5" s="3" t="str">
        <f>IFERROR(__xludf.DUMMYFUNCTION("""COMPUTED_VALUE"""),"1972711348950946024")</f>
        <v>1972711348950946024</v>
      </c>
      <c r="B5" s="3" t="str">
        <f>IFERROR(__xludf.DUMMYFUNCTION("""COMPUTED_VALUE"""),"1972711348950946024")</f>
        <v>1972711348950946024</v>
      </c>
      <c r="C5" s="10">
        <f>IFERROR(__xludf.DUMMYFUNCTION("""COMPUTED_VALUE"""),45929.71771990741)</f>
        <v>45929.71772</v>
      </c>
      <c r="D5" s="3">
        <f>IFERROR(__xludf.DUMMYFUNCTION("""COMPUTED_VALUE"""),1.759166011E9)</f>
        <v>1759166011</v>
      </c>
      <c r="E5" s="11" t="str">
        <f>IFERROR(__xludf.DUMMYFUNCTION("""COMPUTED_VALUE"""),"https://x.com/crepch/status/1972711348950946024")</f>
        <v>https://x.com/crepch/status/1972711348950946024</v>
      </c>
      <c r="F5" s="3" t="str">
        <f>IFERROR(__xludf.DUMMYFUNCTION("""COMPUTED_VALUE"""),"El niño ansioso requiere apoyo, no se la incrementes.
#terapiamultisensorialsimbólica #terapia #terapialenguaje
#ansiedades #tdah #conducta #adulto #adolescentes #problemasdelenguaje #psicologia #saludmental #terapiapsicologica #terapiaonline  #tdaa #cdm"&amp;"x #ansiedad #FelizLunes https://t.co/eHReywIqdX")</f>
        <v>El niño ansioso requiere apoyo, no se la incrementes.
#terapiamultisensorialsimbólica #terapia #terapialenguaje
#ansiedades #tdah #conducta #adulto #adolescentes #problemasdelenguaje #psicologia #saludmental #terapiapsicologica #terapiaonline  #tdaa #cdmx #ansiedad #FelizLunes https://t.co/eHReywIqdX</v>
      </c>
      <c r="G5" s="3" t="str">
        <f>IFERROR(__xludf.DUMMYFUNCTION("""COMPUTED_VALUE"""),"crepch")</f>
        <v>crepch</v>
      </c>
      <c r="H5" s="3" t="str">
        <f>IFERROR(__xludf.DUMMYFUNCTION("""COMPUTED_VALUE"""),"CREPCH")</f>
        <v>CREPCH</v>
      </c>
      <c r="I5" s="3" t="str">
        <f>IFERROR(__xludf.DUMMYFUNCTION("""COMPUTED_VALUE"""),"944734585614716928")</f>
        <v>944734585614716928</v>
      </c>
      <c r="J5" s="11" t="str">
        <f>IFERROR(__xludf.DUMMYFUNCTION("""COMPUTED_VALUE"""),"https://pbs.twimg.com/profile_images/1136061746895106049/G8TS_hD3_normal.jpg")</f>
        <v>https://pbs.twimg.com/profile_images/1136061746895106049/G8TS_hD3_normal.jpg</v>
      </c>
      <c r="K5" s="11" t="str">
        <f>IFERROR(__xludf.DUMMYFUNCTION("""COMPUTED_VALUE"""),"https://pbs.twimg.com/profile_banners/944734585614716928/1747074694")</f>
        <v>https://pbs.twimg.com/profile_banners/944734585614716928/1747074694</v>
      </c>
      <c r="L5" s="3" t="b">
        <f>IFERROR(__xludf.DUMMYFUNCTION("""COMPUTED_VALUE"""),FALSE)</f>
        <v>0</v>
      </c>
      <c r="M5" s="3" t="str">
        <f>IFERROR(__xludf.DUMMYFUNCTION("""COMPUTED_VALUE"""),"Twitter for Android")</f>
        <v>Twitter for Android</v>
      </c>
      <c r="N5" s="3" t="str">
        <f>IFERROR(__xludf.DUMMYFUNCTION("""COMPUTED_VALUE"""),"es")</f>
        <v>es</v>
      </c>
      <c r="O5" s="3" t="str">
        <f>IFERROR(__xludf.DUMMYFUNCTION("""COMPUTED_VALUE"""),"no")</f>
        <v>no</v>
      </c>
      <c r="P5" s="3">
        <f>IFERROR(__xludf.DUMMYFUNCTION("""COMPUTED_VALUE"""),1.0)</f>
        <v>1</v>
      </c>
      <c r="Q5" s="3">
        <f>IFERROR(__xludf.DUMMYFUNCTION("""COMPUTED_VALUE"""),0.0)</f>
        <v>0</v>
      </c>
      <c r="R5" s="3">
        <f>IFERROR(__xludf.DUMMYFUNCTION("""COMPUTED_VALUE"""),1.0)</f>
        <v>1</v>
      </c>
      <c r="S5" s="3">
        <f>IFERROR(__xludf.DUMMYFUNCTION("""COMPUTED_VALUE"""),0.0)</f>
        <v>0</v>
      </c>
      <c r="T5" s="3">
        <f>IFERROR(__xludf.DUMMYFUNCTION("""COMPUTED_VALUE"""),15.0)</f>
        <v>15</v>
      </c>
      <c r="U5" s="3" t="str">
        <f>IFERROR(__xludf.DUMMYFUNCTION("""COMPUTED_VALUE"""),"no")</f>
        <v>no</v>
      </c>
      <c r="V5" s="3"/>
      <c r="W5" s="3" t="str">
        <f>IFERROR(__xludf.DUMMYFUNCTION("""COMPUTED_VALUE"""),"no")</f>
        <v>no</v>
      </c>
      <c r="X5" s="3"/>
      <c r="Y5" s="3"/>
      <c r="Z5" s="3"/>
      <c r="AA5" s="3"/>
      <c r="AB5" s="3"/>
      <c r="AC5" s="3" t="str">
        <f>IFERROR(__xludf.DUMMYFUNCTION("""COMPUTED_VALUE"""),"no")</f>
        <v>no</v>
      </c>
      <c r="AD5" s="3" t="str">
        <f>IFERROR(__xludf.DUMMYFUNCTION("""COMPUTED_VALUE"""),"no")</f>
        <v>no</v>
      </c>
      <c r="AE5" s="3"/>
      <c r="AF5" s="3" t="str">
        <f>IFERROR(__xludf.DUMMYFUNCTION("""COMPUTED_VALUE"""),"no")</f>
        <v>no</v>
      </c>
      <c r="AG5" s="3" t="str">
        <f>IFERROR(__xludf.DUMMYFUNCTION("""COMPUTED_VALUE"""),"terapiamultisensorialsimbólica,terapia,terapialenguaje,ansiedades,tdah,conducta,adulto,adolescentes,problemasdelenguaje,psicologia,saludmental,terapiapsicologica,terapiaonline,tdaa,cdmx,ansiedad,FelizLunes")</f>
        <v>terapiamultisensorialsimbólica,terapia,terapialenguaje,ansiedades,tdah,conducta,adulto,adolescentes,problemasdelenguaje,psicologia,saludmental,terapiapsicologica,terapiaonline,tdaa,cdmx,ansiedad,FelizLunes</v>
      </c>
    </row>
    <row r="6" hidden="1">
      <c r="A6" s="3" t="str">
        <f>IFERROR(__xludf.DUMMYFUNCTION("""COMPUTED_VALUE"""),"1948890344613183581")</f>
        <v>1948890344613183581</v>
      </c>
      <c r="B6" s="3" t="str">
        <f>IFERROR(__xludf.DUMMYFUNCTION("""COMPUTED_VALUE"""),"1948890344613183581")</f>
        <v>1948890344613183581</v>
      </c>
      <c r="C6" s="10">
        <f>IFERROR(__xludf.DUMMYFUNCTION("""COMPUTED_VALUE"""),45863.98427083333)</f>
        <v>45863.98427</v>
      </c>
      <c r="D6" s="3">
        <f>IFERROR(__xludf.DUMMYFUNCTION("""COMPUTED_VALUE"""),1.753486641E9)</f>
        <v>1753486641</v>
      </c>
      <c r="E6" s="11" t="str">
        <f>IFERROR(__xludf.DUMMYFUNCTION("""COMPUTED_VALUE"""),"https://x.com/Contexto_Visual/status/1948890344613183581")</f>
        <v>https://x.com/Contexto_Visual/status/1948890344613183581</v>
      </c>
      <c r="F6" s="3" t="str">
        <f>IFERROR(__xludf.DUMMYFUNCTION("""COMPUTED_VALUE"""),"ESTA ES LA HISTORIA DE MICHAEL PHELPS
Fue un niño con TDAH.
Un adulto con depresión.
Pensó en quitarse la vida.
Pero aun así, logro lo imposible.
El atleta olímpico más condecorado de todos los tiempos.
23 OROS, 28 medallas Olímpicas en total
     "&amp;"🧵 https://t.co/WTRQ6OsvM3")</f>
        <v>ESTA ES LA HISTORIA DE MICHAEL PHELPS
Fue un niño con TDAH.
Un adulto con depresión.
Pensó en quitarse la vida.
Pero aun así, logro lo imposible.
El atleta olímpico más condecorado de todos los tiempos.
23 OROS, 28 medallas Olímpicas en total
     🧵 https://t.co/WTRQ6OsvM3</v>
      </c>
      <c r="G6" s="3" t="str">
        <f>IFERROR(__xludf.DUMMYFUNCTION("""COMPUTED_VALUE"""),"Contexto_Visual")</f>
        <v>Contexto_Visual</v>
      </c>
      <c r="H6" s="3" t="str">
        <f>IFERROR(__xludf.DUMMYFUNCTION("""COMPUTED_VALUE"""),"Contexto.Visual")</f>
        <v>Contexto.Visual</v>
      </c>
      <c r="I6" s="3" t="str">
        <f>IFERROR(__xludf.DUMMYFUNCTION("""COMPUTED_VALUE"""),"923007562873802752")</f>
        <v>923007562873802752</v>
      </c>
      <c r="J6" s="11" t="str">
        <f>IFERROR(__xludf.DUMMYFUNCTION("""COMPUTED_VALUE"""),"https://pbs.twimg.com/profile_images/1944824519954247680/jgQNGpNG_normal.png")</f>
        <v>https://pbs.twimg.com/profile_images/1944824519954247680/jgQNGpNG_normal.png</v>
      </c>
      <c r="K6" s="11" t="str">
        <f>IFERROR(__xludf.DUMMYFUNCTION("""COMPUTED_VALUE"""),"https://pbs.twimg.com/profile_banners/923007562873802752/1754445073")</f>
        <v>https://pbs.twimg.com/profile_banners/923007562873802752/1754445073</v>
      </c>
      <c r="L6" s="3" t="b">
        <f>IFERROR(__xludf.DUMMYFUNCTION("""COMPUTED_VALUE"""),TRUE)</f>
        <v>1</v>
      </c>
      <c r="M6" s="3" t="str">
        <f>IFERROR(__xludf.DUMMYFUNCTION("""COMPUTED_VALUE"""),"Twitter Web App")</f>
        <v>Twitter Web App</v>
      </c>
      <c r="N6" s="3" t="str">
        <f>IFERROR(__xludf.DUMMYFUNCTION("""COMPUTED_VALUE"""),"es")</f>
        <v>es</v>
      </c>
      <c r="O6" s="3" t="str">
        <f>IFERROR(__xludf.DUMMYFUNCTION("""COMPUTED_VALUE"""),"no")</f>
        <v>no</v>
      </c>
      <c r="P6" s="3">
        <f>IFERROR(__xludf.DUMMYFUNCTION("""COMPUTED_VALUE"""),187.0)</f>
        <v>187</v>
      </c>
      <c r="Q6" s="3">
        <f>IFERROR(__xludf.DUMMYFUNCTION("""COMPUTED_VALUE"""),16.0)</f>
        <v>16</v>
      </c>
      <c r="R6" s="3">
        <f>IFERROR(__xludf.DUMMYFUNCTION("""COMPUTED_VALUE"""),971.0)</f>
        <v>971</v>
      </c>
      <c r="S6" s="3">
        <f>IFERROR(__xludf.DUMMYFUNCTION("""COMPUTED_VALUE"""),3.0)</f>
        <v>3</v>
      </c>
      <c r="T6" s="3">
        <f>IFERROR(__xludf.DUMMYFUNCTION("""COMPUTED_VALUE"""),106688.0)</f>
        <v>106688</v>
      </c>
      <c r="U6" s="3" t="str">
        <f>IFERROR(__xludf.DUMMYFUNCTION("""COMPUTED_VALUE"""),"no")</f>
        <v>no</v>
      </c>
      <c r="V6" s="3"/>
      <c r="W6" s="3" t="str">
        <f>IFERROR(__xludf.DUMMYFUNCTION("""COMPUTED_VALUE"""),"no")</f>
        <v>no</v>
      </c>
      <c r="X6" s="3"/>
      <c r="Y6" s="3"/>
      <c r="Z6" s="3"/>
      <c r="AA6" s="3"/>
      <c r="AB6" s="3"/>
      <c r="AC6" s="3" t="str">
        <f>IFERROR(__xludf.DUMMYFUNCTION("""COMPUTED_VALUE"""),"no")</f>
        <v>no</v>
      </c>
      <c r="AD6" s="3" t="str">
        <f>IFERROR(__xludf.DUMMYFUNCTION("""COMPUTED_VALUE"""),"no")</f>
        <v>no</v>
      </c>
      <c r="AE6" s="3"/>
      <c r="AF6" s="3" t="str">
        <f>IFERROR(__xludf.DUMMYFUNCTION("""COMPUTED_VALUE"""),"no")</f>
        <v>no</v>
      </c>
      <c r="AG6" s="3"/>
    </row>
    <row r="7" hidden="1">
      <c r="A7" s="3" t="str">
        <f>IFERROR(__xludf.DUMMYFUNCTION("""COMPUTED_VALUE"""),"1918125220608516379")</f>
        <v>1918125220608516379</v>
      </c>
      <c r="B7" s="3" t="str">
        <f>IFERROR(__xludf.DUMMYFUNCTION("""COMPUTED_VALUE"""),"1918125220608516379")</f>
        <v>1918125220608516379</v>
      </c>
      <c r="C7" s="10">
        <f>IFERROR(__xludf.DUMMYFUNCTION("""COMPUTED_VALUE"""),45779.0887037037)</f>
        <v>45779.0887</v>
      </c>
      <c r="D7" s="3">
        <f>IFERROR(__xludf.DUMMYFUNCTION("""COMPUTED_VALUE"""),1.746151664E9)</f>
        <v>1746151664</v>
      </c>
      <c r="E7" s="11" t="str">
        <f>IFERROR(__xludf.DUMMYFUNCTION("""COMPUTED_VALUE"""),"https://x.com/DNATalentqro/status/1918125220608516379")</f>
        <v>https://x.com/DNATalentqro/status/1918125220608516379</v>
      </c>
      <c r="F7" s="3" t="str">
        <f>IFERROR(__xludf.DUMMYFUNCTION("""COMPUTED_VALUE"""),"Aquí el live con Maureen Terán
TDAH adulto, trauma, autismo, altas capacidades, autoconocimiento, niñasinvisibles, psicoeducación.
https://t.co/lHKfDafcsP https://t.co/YJPjizpS98")</f>
        <v>Aquí el live con Maureen Terán
TDAH adulto, trauma, autismo, altas capacidades, autoconocimiento, niñasinvisibles, psicoeducación.
https://t.co/lHKfDafcsP https://t.co/YJPjizpS98</v>
      </c>
      <c r="G7" s="3" t="str">
        <f>IFERROR(__xludf.DUMMYFUNCTION("""COMPUTED_VALUE"""),"DNATalentqro")</f>
        <v>DNATalentqro</v>
      </c>
      <c r="H7" s="3" t="str">
        <f>IFERROR(__xludf.DUMMYFUNCTION("""COMPUTED_VALUE"""),"DNA Talent / Consultoría En Desarrollo Humano")</f>
        <v>DNA Talent / Consultoría En Desarrollo Humano</v>
      </c>
      <c r="I7" s="3" t="str">
        <f>IFERROR(__xludf.DUMMYFUNCTION("""COMPUTED_VALUE"""),"1107081892522807297")</f>
        <v>1107081892522807297</v>
      </c>
      <c r="J7" s="11" t="str">
        <f>IFERROR(__xludf.DUMMYFUNCTION("""COMPUTED_VALUE"""),"https://pbs.twimg.com/profile_images/1955868134839136258/R9xQQFNI_normal.jpg")</f>
        <v>https://pbs.twimg.com/profile_images/1955868134839136258/R9xQQFNI_normal.jpg</v>
      </c>
      <c r="K7" s="11" t="str">
        <f>IFERROR(__xludf.DUMMYFUNCTION("""COMPUTED_VALUE"""),"https://pbs.twimg.com/profile_banners/1107081892522807297/1758760949")</f>
        <v>https://pbs.twimg.com/profile_banners/1107081892522807297/1758760949</v>
      </c>
      <c r="L7" s="3" t="b">
        <f>IFERROR(__xludf.DUMMYFUNCTION("""COMPUTED_VALUE"""),FALSE)</f>
        <v>0</v>
      </c>
      <c r="M7" s="3" t="str">
        <f>IFERROR(__xludf.DUMMYFUNCTION("""COMPUTED_VALUE"""),"Twitter for iPhone")</f>
        <v>Twitter for iPhone</v>
      </c>
      <c r="N7" s="3" t="str">
        <f>IFERROR(__xludf.DUMMYFUNCTION("""COMPUTED_VALUE"""),"es")</f>
        <v>es</v>
      </c>
      <c r="O7" s="3" t="str">
        <f>IFERROR(__xludf.DUMMYFUNCTION("""COMPUTED_VALUE"""),"no")</f>
        <v>no</v>
      </c>
      <c r="P7" s="3">
        <f>IFERROR(__xludf.DUMMYFUNCTION("""COMPUTED_VALUE"""),0.0)</f>
        <v>0</v>
      </c>
      <c r="Q7" s="3">
        <f>IFERROR(__xludf.DUMMYFUNCTION("""COMPUTED_VALUE"""),0.0)</f>
        <v>0</v>
      </c>
      <c r="R7" s="3">
        <f>IFERROR(__xludf.DUMMYFUNCTION("""COMPUTED_VALUE"""),0.0)</f>
        <v>0</v>
      </c>
      <c r="S7" s="3">
        <f>IFERROR(__xludf.DUMMYFUNCTION("""COMPUTED_VALUE"""),0.0)</f>
        <v>0</v>
      </c>
      <c r="T7" s="3">
        <f>IFERROR(__xludf.DUMMYFUNCTION("""COMPUTED_VALUE"""),86.0)</f>
        <v>86</v>
      </c>
      <c r="U7" s="3" t="str">
        <f>IFERROR(__xludf.DUMMYFUNCTION("""COMPUTED_VALUE"""),"no")</f>
        <v>no</v>
      </c>
      <c r="V7" s="3"/>
      <c r="W7" s="3" t="str">
        <f>IFERROR(__xludf.DUMMYFUNCTION("""COMPUTED_VALUE"""),"no")</f>
        <v>no</v>
      </c>
      <c r="X7" s="3"/>
      <c r="Y7" s="3"/>
      <c r="Z7" s="3"/>
      <c r="AA7" s="3"/>
      <c r="AB7" s="3"/>
      <c r="AC7" s="3" t="str">
        <f>IFERROR(__xludf.DUMMYFUNCTION("""COMPUTED_VALUE"""),"no")</f>
        <v>no</v>
      </c>
      <c r="AD7" s="3" t="str">
        <f>IFERROR(__xludf.DUMMYFUNCTION("""COMPUTED_VALUE"""),"no")</f>
        <v>no</v>
      </c>
      <c r="AE7" s="3"/>
      <c r="AF7" s="3" t="str">
        <f>IFERROR(__xludf.DUMMYFUNCTION("""COMPUTED_VALUE"""),"no")</f>
        <v>no</v>
      </c>
      <c r="AG7" s="3"/>
    </row>
    <row r="8">
      <c r="A8" s="3" t="str">
        <f>IFERROR(__xludf.DUMMYFUNCTION("""COMPUTED_VALUE"""),"1971185712612475219")</f>
        <v>1971185712612475219</v>
      </c>
      <c r="B8" s="3" t="str">
        <f>IFERROR(__xludf.DUMMYFUNCTION("""COMPUTED_VALUE"""),"1971185712612475219")</f>
        <v>1971185712612475219</v>
      </c>
      <c r="C8" s="10">
        <f>IFERROR(__xludf.DUMMYFUNCTION("""COMPUTED_VALUE"""),45925.5077662037)</f>
        <v>45925.50777</v>
      </c>
      <c r="D8" s="3">
        <f>IFERROR(__xludf.DUMMYFUNCTION("""COMPUTED_VALUE"""),1.758802271E9)</f>
        <v>1758802271</v>
      </c>
      <c r="E8" s="11" t="str">
        <f>IFERROR(__xludf.DUMMYFUNCTION("""COMPUTED_VALUE"""),"https://x.com/alexandre_amato/status/1971185712612475219")</f>
        <v>https://x.com/alexandre_amato/status/1971185712612475219</v>
      </c>
      <c r="F8" s="3" t="str">
        <f>IFERROR(__xludf.DUMMYFUNCTION("""COMPUTED_VALUE"""),"Descubra como a impulsividade afeta as decisões cirúrgicas no TDAH adulto e evite escolhas precipitadas. Entenda a importância do tratamento correto e saiba mais com o Dr. Alexandre Amato em nosso vídeo completo! #TDAH #Impulsividade #DecisõesCirúrgicas C"&amp;"ontinue assistindo em https://t.co/DX7DlQWrqJ")</f>
        <v>Descubra como a impulsividade afeta as decisões cirúrgicas no TDAH adulto e evite escolhas precipitadas. Entenda a importância do tratamento correto e saiba mais com o Dr. Alexandre Amato em nosso vídeo completo! #TDAH #Impulsividade #DecisõesCirúrgicas Continue assistindo em https://t.co/DX7DlQWrqJ</v>
      </c>
      <c r="G8" s="3" t="str">
        <f>IFERROR(__xludf.DUMMYFUNCTION("""COMPUTED_VALUE"""),"alexandre_amato")</f>
        <v>alexandre_amato</v>
      </c>
      <c r="H8" s="3" t="str">
        <f>IFERROR(__xludf.DUMMYFUNCTION("""COMPUTED_VALUE"""),"Alexandre Amato")</f>
        <v>Alexandre Amato</v>
      </c>
      <c r="I8" s="3">
        <f>IFERROR(__xludf.DUMMYFUNCTION("""COMPUTED_VALUE"""),2.8673574E7)</f>
        <v>28673574</v>
      </c>
      <c r="J8" s="11" t="str">
        <f>IFERROR(__xludf.DUMMYFUNCTION("""COMPUTED_VALUE"""),"https://pbs.twimg.com/profile_images/648275514420015104/YXnvi2pP_normal.jpg")</f>
        <v>https://pbs.twimg.com/profile_images/648275514420015104/YXnvi2pP_normal.jpg</v>
      </c>
      <c r="K8" s="11" t="str">
        <f>IFERROR(__xludf.DUMMYFUNCTION("""COMPUTED_VALUE"""),"https://pbs.twimg.com/profile_banners/28673574/1486247854")</f>
        <v>https://pbs.twimg.com/profile_banners/28673574/1486247854</v>
      </c>
      <c r="L8" s="3" t="b">
        <f>IFERROR(__xludf.DUMMYFUNCTION("""COMPUTED_VALUE"""),TRUE)</f>
        <v>1</v>
      </c>
      <c r="M8" s="3" t="str">
        <f>IFERROR(__xludf.DUMMYFUNCTION("""COMPUTED_VALUE"""),"Upload-post")</f>
        <v>Upload-post</v>
      </c>
      <c r="N8" s="3" t="str">
        <f>IFERROR(__xludf.DUMMYFUNCTION("""COMPUTED_VALUE"""),"pt")</f>
        <v>pt</v>
      </c>
      <c r="O8" s="3" t="str">
        <f>IFERROR(__xludf.DUMMYFUNCTION("""COMPUTED_VALUE"""),"no")</f>
        <v>no</v>
      </c>
      <c r="P8" s="3">
        <f>IFERROR(__xludf.DUMMYFUNCTION("""COMPUTED_VALUE"""),0.0)</f>
        <v>0</v>
      </c>
      <c r="Q8" s="3">
        <f>IFERROR(__xludf.DUMMYFUNCTION("""COMPUTED_VALUE"""),1.0)</f>
        <v>1</v>
      </c>
      <c r="R8" s="3">
        <f>IFERROR(__xludf.DUMMYFUNCTION("""COMPUTED_VALUE"""),0.0)</f>
        <v>0</v>
      </c>
      <c r="S8" s="3">
        <f>IFERROR(__xludf.DUMMYFUNCTION("""COMPUTED_VALUE"""),0.0)</f>
        <v>0</v>
      </c>
      <c r="T8" s="3">
        <f>IFERROR(__xludf.DUMMYFUNCTION("""COMPUTED_VALUE"""),16.0)</f>
        <v>16</v>
      </c>
      <c r="U8" s="3" t="str">
        <f>IFERROR(__xludf.DUMMYFUNCTION("""COMPUTED_VALUE"""),"no")</f>
        <v>no</v>
      </c>
      <c r="V8" s="3"/>
      <c r="W8" s="3" t="str">
        <f>IFERROR(__xludf.DUMMYFUNCTION("""COMPUTED_VALUE"""),"no")</f>
        <v>no</v>
      </c>
      <c r="X8" s="3"/>
      <c r="Y8" s="3"/>
      <c r="Z8" s="3"/>
      <c r="AA8" s="3"/>
      <c r="AB8" s="3"/>
      <c r="AC8" s="3" t="str">
        <f>IFERROR(__xludf.DUMMYFUNCTION("""COMPUTED_VALUE"""),"no")</f>
        <v>no</v>
      </c>
      <c r="AD8" s="3" t="str">
        <f>IFERROR(__xludf.DUMMYFUNCTION("""COMPUTED_VALUE"""),"no")</f>
        <v>no</v>
      </c>
      <c r="AE8" s="3"/>
      <c r="AF8" s="3" t="str">
        <f>IFERROR(__xludf.DUMMYFUNCTION("""COMPUTED_VALUE"""),"no")</f>
        <v>no</v>
      </c>
      <c r="AG8" s="3" t="str">
        <f>IFERROR(__xludf.DUMMYFUNCTION("""COMPUTED_VALUE"""),"TDAH,Impulsividade,DecisõesCirúrgicas")</f>
        <v>TDAH,Impulsividade,DecisõesCirúrgicas</v>
      </c>
    </row>
    <row r="9" hidden="1">
      <c r="A9" s="3" t="str">
        <f>IFERROR(__xludf.DUMMYFUNCTION("""COMPUTED_VALUE"""),"1986814860064379230")</f>
        <v>1986814860064379230</v>
      </c>
      <c r="B9" s="3" t="str">
        <f>IFERROR(__xludf.DUMMYFUNCTION("""COMPUTED_VALUE"""),"1986814860064379230")</f>
        <v>1986814860064379230</v>
      </c>
      <c r="C9" s="10">
        <f>IFERROR(__xludf.DUMMYFUNCTION("""COMPUTED_VALUE"""),45968.63599537037)</f>
        <v>45968.636</v>
      </c>
      <c r="D9" s="3">
        <f>IFERROR(__xludf.DUMMYFUNCTION("""COMPUTED_VALUE"""),1.76252855E9)</f>
        <v>1762528550</v>
      </c>
      <c r="E9" s="11" t="str">
        <f>IFERROR(__xludf.DUMMYFUNCTION("""COMPUTED_VALUE"""),"https://x.com/CEPSIONLINE/status/1986814860064379230")</f>
        <v>https://x.com/CEPSIONLINE/status/1986814860064379230</v>
      </c>
      <c r="F9" s="3" t="str">
        <f>IFERROR(__xludf.DUMMYFUNCTION("""COMPUTED_VALUE"""),"Hora para evaluación Neuropsicologica TDA – TDAH Adulto + Entrega de informe para Neurólog@ #EvaluacionNeuropsicologica, #CEPSI https://t.co/nSeM6i1WAM")</f>
        <v>Hora para evaluación Neuropsicologica TDA – TDAH Adulto + Entrega de informe para Neurólog@ #EvaluacionNeuropsicologica, #CEPSI https://t.co/nSeM6i1WAM</v>
      </c>
      <c r="G9" s="3" t="str">
        <f>IFERROR(__xludf.DUMMYFUNCTION("""COMPUTED_VALUE"""),"CEPSIONLINE")</f>
        <v>CEPSIONLINE</v>
      </c>
      <c r="H9" s="3" t="str">
        <f>IFERROR(__xludf.DUMMYFUNCTION("""COMPUTED_VALUE"""),"CEPSI")</f>
        <v>CEPSI</v>
      </c>
      <c r="I9" s="3">
        <f>IFERROR(__xludf.DUMMYFUNCTION("""COMPUTED_VALUE"""),1.063844564E9)</f>
        <v>1063844564</v>
      </c>
      <c r="J9" s="11" t="str">
        <f>IFERROR(__xludf.DUMMYFUNCTION("""COMPUTED_VALUE"""),"https://pbs.twimg.com/profile_images/1439950115528192001/kjsMeIlz_normal.jpg")</f>
        <v>https://pbs.twimg.com/profile_images/1439950115528192001/kjsMeIlz_normal.jpg</v>
      </c>
      <c r="K9" s="11" t="str">
        <f>IFERROR(__xludf.DUMMYFUNCTION("""COMPUTED_VALUE"""),"https://pbs.twimg.com/profile_banners/1063844564/1556543726")</f>
        <v>https://pbs.twimg.com/profile_banners/1063844564/1556543726</v>
      </c>
      <c r="L9" s="3" t="b">
        <f>IFERROR(__xludf.DUMMYFUNCTION("""COMPUTED_VALUE"""),FALSE)</f>
        <v>0</v>
      </c>
      <c r="M9" s="3" t="str">
        <f>IFERROR(__xludf.DUMMYFUNCTION("""COMPUTED_VALUE"""),"Twitter Web App")</f>
        <v>Twitter Web App</v>
      </c>
      <c r="N9" s="3" t="str">
        <f>IFERROR(__xludf.DUMMYFUNCTION("""COMPUTED_VALUE"""),"es")</f>
        <v>es</v>
      </c>
      <c r="O9" s="3" t="str">
        <f>IFERROR(__xludf.DUMMYFUNCTION("""COMPUTED_VALUE"""),"no")</f>
        <v>no</v>
      </c>
      <c r="P9" s="3">
        <f>IFERROR(__xludf.DUMMYFUNCTION("""COMPUTED_VALUE"""),0.0)</f>
        <v>0</v>
      </c>
      <c r="Q9" s="3">
        <f>IFERROR(__xludf.DUMMYFUNCTION("""COMPUTED_VALUE"""),0.0)</f>
        <v>0</v>
      </c>
      <c r="R9" s="3">
        <f>IFERROR(__xludf.DUMMYFUNCTION("""COMPUTED_VALUE"""),2.0)</f>
        <v>2</v>
      </c>
      <c r="S9" s="3">
        <f>IFERROR(__xludf.DUMMYFUNCTION("""COMPUTED_VALUE"""),0.0)</f>
        <v>0</v>
      </c>
      <c r="T9" s="3">
        <f>IFERROR(__xludf.DUMMYFUNCTION("""COMPUTED_VALUE"""),15.0)</f>
        <v>15</v>
      </c>
      <c r="U9" s="3" t="str">
        <f>IFERROR(__xludf.DUMMYFUNCTION("""COMPUTED_VALUE"""),"no")</f>
        <v>no</v>
      </c>
      <c r="V9" s="3"/>
      <c r="W9" s="3" t="str">
        <f>IFERROR(__xludf.DUMMYFUNCTION("""COMPUTED_VALUE"""),"no")</f>
        <v>no</v>
      </c>
      <c r="X9" s="3"/>
      <c r="Y9" s="3"/>
      <c r="Z9" s="3"/>
      <c r="AA9" s="3"/>
      <c r="AB9" s="3"/>
      <c r="AC9" s="3" t="str">
        <f>IFERROR(__xludf.DUMMYFUNCTION("""COMPUTED_VALUE"""),"no")</f>
        <v>no</v>
      </c>
      <c r="AD9" s="3" t="str">
        <f>IFERROR(__xludf.DUMMYFUNCTION("""COMPUTED_VALUE"""),"no")</f>
        <v>no</v>
      </c>
      <c r="AE9" s="3"/>
      <c r="AF9" s="3" t="str">
        <f>IFERROR(__xludf.DUMMYFUNCTION("""COMPUTED_VALUE"""),"no")</f>
        <v>no</v>
      </c>
      <c r="AG9" s="3" t="str">
        <f>IFERROR(__xludf.DUMMYFUNCTION("""COMPUTED_VALUE"""),"EvaluacionNeuropsicologica,CEPSI")</f>
        <v>EvaluacionNeuropsicologica,CEPSI</v>
      </c>
    </row>
    <row r="10">
      <c r="A10" s="3" t="str">
        <f>IFERROR(__xludf.DUMMYFUNCTION("""COMPUTED_VALUE"""),"1988701802787905806")</f>
        <v>1988701802787905806</v>
      </c>
      <c r="B10" s="3" t="str">
        <f>IFERROR(__xludf.DUMMYFUNCTION("""COMPUTED_VALUE"""),"1988701802787905806")</f>
        <v>1988701802787905806</v>
      </c>
      <c r="C10" s="10">
        <f>IFERROR(__xludf.DUMMYFUNCTION("""COMPUTED_VALUE"""),45973.84296296296)</f>
        <v>45973.84296</v>
      </c>
      <c r="D10" s="3">
        <f>IFERROR(__xludf.DUMMYFUNCTION("""COMPUTED_VALUE"""),1.762978432E9)</f>
        <v>1762978432</v>
      </c>
      <c r="E10" s="11" t="str">
        <f>IFERROR(__xludf.DUMMYFUNCTION("""COMPUTED_VALUE"""),"https://x.com/swiftbyheart/status/1988701802787905806")</f>
        <v>https://x.com/swiftbyheart/status/1988701802787905806</v>
      </c>
      <c r="F10" s="3" t="str">
        <f>IFERROR(__xludf.DUMMYFUNCTION("""COMPUTED_VALUE"""),"quando eu era criança todo mundo me dizia que o tdah adulto seria mais fácil de lidar mas agora eu sou adulta e é uma FODA de lidar")</f>
        <v>quando eu era criança todo mundo me dizia que o tdah adulto seria mais fácil de lidar mas agora eu sou adulta e é uma FODA de lidar</v>
      </c>
      <c r="G10" s="3" t="str">
        <f>IFERROR(__xludf.DUMMYFUNCTION("""COMPUTED_VALUE"""),"swiftbyheart")</f>
        <v>swiftbyheart</v>
      </c>
      <c r="H10" s="3" t="str">
        <f>IFERROR(__xludf.DUMMYFUNCTION("""COMPUTED_VALUE"""),"rachel maría")</f>
        <v>rachel maría</v>
      </c>
      <c r="I10" s="3" t="str">
        <f>IFERROR(__xludf.DUMMYFUNCTION("""COMPUTED_VALUE"""),"1071534338280435713")</f>
        <v>1071534338280435713</v>
      </c>
      <c r="J10" s="11" t="str">
        <f>IFERROR(__xludf.DUMMYFUNCTION("""COMPUTED_VALUE"""),"https://pbs.twimg.com/profile_images/1949534018938036224/xA87x9Xs_normal.jpg")</f>
        <v>https://pbs.twimg.com/profile_images/1949534018938036224/xA87x9Xs_normal.jpg</v>
      </c>
      <c r="K10" s="11" t="str">
        <f>IFERROR(__xludf.DUMMYFUNCTION("""COMPUTED_VALUE"""),"https://pbs.twimg.com/profile_banners/1071534338280435713/1753640116")</f>
        <v>https://pbs.twimg.com/profile_banners/1071534338280435713/1753640116</v>
      </c>
      <c r="L10" s="3" t="b">
        <f>IFERROR(__xludf.DUMMYFUNCTION("""COMPUTED_VALUE"""),FALSE)</f>
        <v>0</v>
      </c>
      <c r="M10" s="3" t="str">
        <f>IFERROR(__xludf.DUMMYFUNCTION("""COMPUTED_VALUE"""),"Twitter Web App")</f>
        <v>Twitter Web App</v>
      </c>
      <c r="N10" s="3" t="str">
        <f>IFERROR(__xludf.DUMMYFUNCTION("""COMPUTED_VALUE"""),"pt")</f>
        <v>pt</v>
      </c>
      <c r="O10" s="3" t="str">
        <f>IFERROR(__xludf.DUMMYFUNCTION("""COMPUTED_VALUE"""),"no")</f>
        <v>no</v>
      </c>
      <c r="P10" s="3">
        <f>IFERROR(__xludf.DUMMYFUNCTION("""COMPUTED_VALUE"""),0.0)</f>
        <v>0</v>
      </c>
      <c r="Q10" s="3">
        <f>IFERROR(__xludf.DUMMYFUNCTION("""COMPUTED_VALUE"""),1.0)</f>
        <v>1</v>
      </c>
      <c r="R10" s="3">
        <f>IFERROR(__xludf.DUMMYFUNCTION("""COMPUTED_VALUE"""),1.0)</f>
        <v>1</v>
      </c>
      <c r="S10" s="3">
        <f>IFERROR(__xludf.DUMMYFUNCTION("""COMPUTED_VALUE"""),0.0)</f>
        <v>0</v>
      </c>
      <c r="T10" s="3">
        <f>IFERROR(__xludf.DUMMYFUNCTION("""COMPUTED_VALUE"""),22.0)</f>
        <v>22</v>
      </c>
      <c r="U10" s="3" t="str">
        <f>IFERROR(__xludf.DUMMYFUNCTION("""COMPUTED_VALUE"""),"no")</f>
        <v>no</v>
      </c>
      <c r="V10" s="3"/>
      <c r="W10" s="3" t="str">
        <f>IFERROR(__xludf.DUMMYFUNCTION("""COMPUTED_VALUE"""),"no")</f>
        <v>no</v>
      </c>
      <c r="X10" s="3"/>
      <c r="Y10" s="3"/>
      <c r="Z10" s="3"/>
      <c r="AA10" s="3"/>
      <c r="AB10" s="3"/>
      <c r="AC10" s="3" t="str">
        <f>IFERROR(__xludf.DUMMYFUNCTION("""COMPUTED_VALUE"""),"no")</f>
        <v>no</v>
      </c>
      <c r="AD10" s="3" t="str">
        <f>IFERROR(__xludf.DUMMYFUNCTION("""COMPUTED_VALUE"""),"no")</f>
        <v>no</v>
      </c>
      <c r="AE10" s="3"/>
      <c r="AF10" s="3" t="str">
        <f>IFERROR(__xludf.DUMMYFUNCTION("""COMPUTED_VALUE"""),"no")</f>
        <v>no</v>
      </c>
      <c r="AG10" s="3"/>
    </row>
    <row r="11">
      <c r="A11" s="3" t="str">
        <f>IFERROR(__xludf.DUMMYFUNCTION("""COMPUTED_VALUE"""),"1961463503350272182")</f>
        <v>1961463503350272182</v>
      </c>
      <c r="B11" s="3" t="str">
        <f>IFERROR(__xludf.DUMMYFUNCTION("""COMPUTED_VALUE"""),"1961463503350272182")</f>
        <v>1961463503350272182</v>
      </c>
      <c r="C11" s="10">
        <f>IFERROR(__xludf.DUMMYFUNCTION("""COMPUTED_VALUE"""),45898.67958333333)</f>
        <v>45898.67958</v>
      </c>
      <c r="D11" s="3">
        <f>IFERROR(__xludf.DUMMYFUNCTION("""COMPUTED_VALUE"""),1.756484316E9)</f>
        <v>1756484316</v>
      </c>
      <c r="E11" s="11" t="str">
        <f>IFERROR(__xludf.DUMMYFUNCTION("""COMPUTED_VALUE"""),"https://x.com/thvselfs/status/1961463503350272182")</f>
        <v>https://x.com/thvselfs/status/1961463503350272182</v>
      </c>
      <c r="F11" s="3" t="str">
        <f>IFERROR(__xludf.DUMMYFUNCTION("""COMPUTED_VALUE"""),"👤 não se mova quando estiver sentado
🐰 eu continuo me movendo?
🐰 mas, não consigo evitar. eu meio que...
🐰 é como TDAH adulto
🐰 eu tenho. eu continuo me movendo assim.
agora parem de fazer comentários sem noção sobre ele
 https://t.co/ZwyOxONMyi")</f>
        <v>👤 não se mova quando estiver sentado
🐰 eu continuo me movendo?
🐰 mas, não consigo evitar. eu meio que...
🐰 é como TDAH adulto
🐰 eu tenho. eu continuo me movendo assim.
agora parem de fazer comentários sem noção sobre ele
 https://t.co/ZwyOxONMyi</v>
      </c>
      <c r="G11" s="3" t="str">
        <f>IFERROR(__xludf.DUMMYFUNCTION("""COMPUTED_VALUE"""),"thvselfs")</f>
        <v>thvselfs</v>
      </c>
      <c r="H11" s="3" t="str">
        <f>IFERROR(__xludf.DUMMYFUNCTION("""COMPUTED_VALUE"""),"anaju ⓥ")</f>
        <v>anaju ⓥ</v>
      </c>
      <c r="I11" s="3" t="str">
        <f>IFERROR(__xludf.DUMMYFUNCTION("""COMPUTED_VALUE"""),"1716547017978363905")</f>
        <v>1716547017978363905</v>
      </c>
      <c r="J11" s="11" t="str">
        <f>IFERROR(__xludf.DUMMYFUNCTION("""COMPUTED_VALUE"""),"https://pbs.twimg.com/profile_images/1988284143810052096/qmpBd5h4_normal.jpg")</f>
        <v>https://pbs.twimg.com/profile_images/1988284143810052096/qmpBd5h4_normal.jpg</v>
      </c>
      <c r="K11" s="11" t="str">
        <f>IFERROR(__xludf.DUMMYFUNCTION("""COMPUTED_VALUE"""),"https://pbs.twimg.com/profile_banners/1716547017978363905/1762878840")</f>
        <v>https://pbs.twimg.com/profile_banners/1716547017978363905/1762878840</v>
      </c>
      <c r="L11" s="3" t="b">
        <f>IFERROR(__xludf.DUMMYFUNCTION("""COMPUTED_VALUE"""),FALSE)</f>
        <v>0</v>
      </c>
      <c r="M11" s="3" t="str">
        <f>IFERROR(__xludf.DUMMYFUNCTION("""COMPUTED_VALUE"""),"Twitter for iPhone")</f>
        <v>Twitter for iPhone</v>
      </c>
      <c r="N11" s="3" t="str">
        <f>IFERROR(__xludf.DUMMYFUNCTION("""COMPUTED_VALUE"""),"pt")</f>
        <v>pt</v>
      </c>
      <c r="O11" s="3" t="str">
        <f>IFERROR(__xludf.DUMMYFUNCTION("""COMPUTED_VALUE"""),"no")</f>
        <v>no</v>
      </c>
      <c r="P11" s="3">
        <f>IFERROR(__xludf.DUMMYFUNCTION("""COMPUTED_VALUE"""),29.0)</f>
        <v>29</v>
      </c>
      <c r="Q11" s="3">
        <f>IFERROR(__xludf.DUMMYFUNCTION("""COMPUTED_VALUE"""),0.0)</f>
        <v>0</v>
      </c>
      <c r="R11" s="3">
        <f>IFERROR(__xludf.DUMMYFUNCTION("""COMPUTED_VALUE"""),172.0)</f>
        <v>172</v>
      </c>
      <c r="S11" s="3">
        <f>IFERROR(__xludf.DUMMYFUNCTION("""COMPUTED_VALUE"""),2.0)</f>
        <v>2</v>
      </c>
      <c r="T11" s="3">
        <f>IFERROR(__xludf.DUMMYFUNCTION("""COMPUTED_VALUE"""),3444.0)</f>
        <v>3444</v>
      </c>
      <c r="U11" s="3" t="str">
        <f>IFERROR(__xludf.DUMMYFUNCTION("""COMPUTED_VALUE"""),"no")</f>
        <v>no</v>
      </c>
      <c r="V11" s="3"/>
      <c r="W11" s="3" t="str">
        <f>IFERROR(__xludf.DUMMYFUNCTION("""COMPUTED_VALUE"""),"no")</f>
        <v>no</v>
      </c>
      <c r="X11" s="3"/>
      <c r="Y11" s="3"/>
      <c r="Z11" s="3"/>
      <c r="AA11" s="3"/>
      <c r="AB11" s="3"/>
      <c r="AC11" s="3" t="str">
        <f>IFERROR(__xludf.DUMMYFUNCTION("""COMPUTED_VALUE"""),"no")</f>
        <v>no</v>
      </c>
      <c r="AD11" s="3" t="str">
        <f>IFERROR(__xludf.DUMMYFUNCTION("""COMPUTED_VALUE"""),"no")</f>
        <v>no</v>
      </c>
      <c r="AE11" s="3"/>
      <c r="AF11" s="3" t="str">
        <f>IFERROR(__xludf.DUMMYFUNCTION("""COMPUTED_VALUE"""),"no")</f>
        <v>no</v>
      </c>
      <c r="AG11" s="3"/>
    </row>
    <row r="12" hidden="1">
      <c r="A12" s="3" t="str">
        <f>IFERROR(__xludf.DUMMYFUNCTION("""COMPUTED_VALUE"""),"1982711545936347332")</f>
        <v>1982711545936347332</v>
      </c>
      <c r="B12" s="3" t="str">
        <f>IFERROR(__xludf.DUMMYFUNCTION("""COMPUTED_VALUE"""),"1982711545936347332")</f>
        <v>1982711545936347332</v>
      </c>
      <c r="C12" s="10">
        <f>IFERROR(__xludf.DUMMYFUNCTION("""COMPUTED_VALUE"""),45957.31300925926)</f>
        <v>45957.31301</v>
      </c>
      <c r="D12" s="3">
        <f>IFERROR(__xludf.DUMMYFUNCTION("""COMPUTED_VALUE"""),1.761550244E9)</f>
        <v>1761550244</v>
      </c>
      <c r="E12" s="11" t="str">
        <f>IFERROR(__xludf.DUMMYFUNCTION("""COMPUTED_VALUE"""),"https://x.com/unmetilfenidato/status/1982711545936347332")</f>
        <v>https://x.com/unmetilfenidato/status/1982711545936347332</v>
      </c>
      <c r="F12" s="3" t="str">
        <f>IFERROR(__xludf.DUMMYFUNCTION("""COMPUTED_VALUE"""),"Nadie habla de lo difícil que es la vida académica de adulto cuando nunca te trataron el TDAH de niño. 😔")</f>
        <v>Nadie habla de lo difícil que es la vida académica de adulto cuando nunca te trataron el TDAH de niño. 😔</v>
      </c>
      <c r="G12" s="3" t="str">
        <f>IFERROR(__xludf.DUMMYFUNCTION("""COMPUTED_VALUE"""),"unmetilfenidato")</f>
        <v>unmetilfenidato</v>
      </c>
      <c r="H12" s="3" t="str">
        <f>IFERROR(__xludf.DUMMYFUNCTION("""COMPUTED_VALUE"""),"Ritalín")</f>
        <v>Ritalín</v>
      </c>
      <c r="I12" s="3">
        <f>IFERROR(__xludf.DUMMYFUNCTION("""COMPUTED_VALUE"""),6.4585862E7)</f>
        <v>64585862</v>
      </c>
      <c r="J12" s="11" t="str">
        <f>IFERROR(__xludf.DUMMYFUNCTION("""COMPUTED_VALUE"""),"https://pbs.twimg.com/profile_images/1926210065792438272/HVHvuUUW_normal.jpg")</f>
        <v>https://pbs.twimg.com/profile_images/1926210065792438272/HVHvuUUW_normal.jpg</v>
      </c>
      <c r="K12" s="11" t="str">
        <f>IFERROR(__xludf.DUMMYFUNCTION("""COMPUTED_VALUE"""),"https://pbs.twimg.com/profile_banners/64585862/1704847794")</f>
        <v>https://pbs.twimg.com/profile_banners/64585862/1704847794</v>
      </c>
      <c r="L12" s="3" t="b">
        <f>IFERROR(__xludf.DUMMYFUNCTION("""COMPUTED_VALUE"""),FALSE)</f>
        <v>0</v>
      </c>
      <c r="M12" s="3" t="str">
        <f>IFERROR(__xludf.DUMMYFUNCTION("""COMPUTED_VALUE"""),"Twitter for iPhone")</f>
        <v>Twitter for iPhone</v>
      </c>
      <c r="N12" s="3" t="str">
        <f>IFERROR(__xludf.DUMMYFUNCTION("""COMPUTED_VALUE"""),"es")</f>
        <v>es</v>
      </c>
      <c r="O12" s="3" t="str">
        <f>IFERROR(__xludf.DUMMYFUNCTION("""COMPUTED_VALUE"""),"no")</f>
        <v>no</v>
      </c>
      <c r="P12" s="3">
        <f>IFERROR(__xludf.DUMMYFUNCTION("""COMPUTED_VALUE"""),3.0)</f>
        <v>3</v>
      </c>
      <c r="Q12" s="3">
        <f>IFERROR(__xludf.DUMMYFUNCTION("""COMPUTED_VALUE"""),1.0)</f>
        <v>1</v>
      </c>
      <c r="R12" s="3">
        <f>IFERROR(__xludf.DUMMYFUNCTION("""COMPUTED_VALUE"""),15.0)</f>
        <v>15</v>
      </c>
      <c r="S12" s="3">
        <f>IFERROR(__xludf.DUMMYFUNCTION("""COMPUTED_VALUE"""),0.0)</f>
        <v>0</v>
      </c>
      <c r="T12" s="3">
        <f>IFERROR(__xludf.DUMMYFUNCTION("""COMPUTED_VALUE"""),1429.0)</f>
        <v>1429</v>
      </c>
      <c r="U12" s="3" t="str">
        <f>IFERROR(__xludf.DUMMYFUNCTION("""COMPUTED_VALUE"""),"no")</f>
        <v>no</v>
      </c>
      <c r="V12" s="3"/>
      <c r="W12" s="3" t="str">
        <f>IFERROR(__xludf.DUMMYFUNCTION("""COMPUTED_VALUE"""),"no")</f>
        <v>no</v>
      </c>
      <c r="X12" s="3"/>
      <c r="Y12" s="3"/>
      <c r="Z12" s="3"/>
      <c r="AA12" s="3"/>
      <c r="AB12" s="3"/>
      <c r="AC12" s="3" t="str">
        <f>IFERROR(__xludf.DUMMYFUNCTION("""COMPUTED_VALUE"""),"no")</f>
        <v>no</v>
      </c>
      <c r="AD12" s="3" t="str">
        <f>IFERROR(__xludf.DUMMYFUNCTION("""COMPUTED_VALUE"""),"no")</f>
        <v>no</v>
      </c>
      <c r="AE12" s="3"/>
      <c r="AF12" s="3" t="str">
        <f>IFERROR(__xludf.DUMMYFUNCTION("""COMPUTED_VALUE"""),"no")</f>
        <v>no</v>
      </c>
      <c r="AG12" s="3"/>
    </row>
    <row r="13">
      <c r="A13" s="3" t="str">
        <f>IFERROR(__xludf.DUMMYFUNCTION("""COMPUTED_VALUE"""),"1961471025662607728")</f>
        <v>1961471025662607728</v>
      </c>
      <c r="B13" s="3" t="str">
        <f>IFERROR(__xludf.DUMMYFUNCTION("""COMPUTED_VALUE"""),"1961471025662607728")</f>
        <v>1961471025662607728</v>
      </c>
      <c r="C13" s="10">
        <f>IFERROR(__xludf.DUMMYFUNCTION("""COMPUTED_VALUE"""),45898.70033564815)</f>
        <v>45898.70034</v>
      </c>
      <c r="D13" s="3">
        <f>IFERROR(__xludf.DUMMYFUNCTION("""COMPUTED_VALUE"""),1.756486109E9)</f>
        <v>1756486109</v>
      </c>
      <c r="E13" s="11" t="str">
        <f>IFERROR(__xludf.DUMMYFUNCTION("""COMPUTED_VALUE"""),"https://x.com/jjkclean/status/1961471025662607728")</f>
        <v>https://x.com/jjkclean/status/1961471025662607728</v>
      </c>
      <c r="F13" s="3" t="str">
        <f>IFERROR(__xludf.DUMMYFUNCTION("""COMPUTED_VALUE"""),"👎 “não se mova quando estiver sentado”
🐰 Eu continuo me movendo?
🐰 mas, não consigo evitar. Eu meio que...
🐰 é como TDAH adulto
🐰 Eu tenho. Eu continuo me movendo assim.
 https://t.co/fKiNmLGjuC")</f>
        <v>👎 “não se mova quando estiver sentado”
🐰 Eu continuo me movendo?
🐰 mas, não consigo evitar. Eu meio que...
🐰 é como TDAH adulto
🐰 Eu tenho. Eu continuo me movendo assim.
 https://t.co/fKiNmLGjuC</v>
      </c>
      <c r="G13" s="3" t="str">
        <f>IFERROR(__xludf.DUMMYFUNCTION("""COMPUTED_VALUE"""),"jjkclean")</f>
        <v>jjkclean</v>
      </c>
      <c r="H13" s="3" t="str">
        <f>IFERROR(__xludf.DUMMYFUNCTION("""COMPUTED_VALUE"""),"ℳ𝑖𝑛⁷")</f>
        <v>ℳ𝑖𝑛⁷</v>
      </c>
      <c r="I13" s="3" t="str">
        <f>IFERROR(__xludf.DUMMYFUNCTION("""COMPUTED_VALUE"""),"1232831855038214149")</f>
        <v>1232831855038214149</v>
      </c>
      <c r="J13" s="11" t="str">
        <f>IFERROR(__xludf.DUMMYFUNCTION("""COMPUTED_VALUE"""),"https://pbs.twimg.com/profile_images/1964141030556532736/rFL28oIz_normal.jpg")</f>
        <v>https://pbs.twimg.com/profile_images/1964141030556532736/rFL28oIz_normal.jpg</v>
      </c>
      <c r="K13" s="11" t="str">
        <f>IFERROR(__xludf.DUMMYFUNCTION("""COMPUTED_VALUE"""),"https://pbs.twimg.com/profile_banners/1232831855038214149/1757122807")</f>
        <v>https://pbs.twimg.com/profile_banners/1232831855038214149/1757122807</v>
      </c>
      <c r="L13" s="3" t="b">
        <f>IFERROR(__xludf.DUMMYFUNCTION("""COMPUTED_VALUE"""),TRUE)</f>
        <v>1</v>
      </c>
      <c r="M13" s="3" t="str">
        <f>IFERROR(__xludf.DUMMYFUNCTION("""COMPUTED_VALUE"""),"Twitter for iPhone")</f>
        <v>Twitter for iPhone</v>
      </c>
      <c r="N13" s="3" t="str">
        <f>IFERROR(__xludf.DUMMYFUNCTION("""COMPUTED_VALUE"""),"pt")</f>
        <v>pt</v>
      </c>
      <c r="O13" s="3" t="str">
        <f>IFERROR(__xludf.DUMMYFUNCTION("""COMPUTED_VALUE"""),"no")</f>
        <v>no</v>
      </c>
      <c r="P13" s="3">
        <f>IFERROR(__xludf.DUMMYFUNCTION("""COMPUTED_VALUE"""),215.0)</f>
        <v>215</v>
      </c>
      <c r="Q13" s="3">
        <f>IFERROR(__xludf.DUMMYFUNCTION("""COMPUTED_VALUE"""),29.0)</f>
        <v>29</v>
      </c>
      <c r="R13" s="3">
        <f>IFERROR(__xludf.DUMMYFUNCTION("""COMPUTED_VALUE"""),1958.0)</f>
        <v>1958</v>
      </c>
      <c r="S13" s="3">
        <f>IFERROR(__xludf.DUMMYFUNCTION("""COMPUTED_VALUE"""),116.0)</f>
        <v>116</v>
      </c>
      <c r="T13" s="3">
        <f>IFERROR(__xludf.DUMMYFUNCTION("""COMPUTED_VALUE"""),32176.0)</f>
        <v>32176</v>
      </c>
      <c r="U13" s="3" t="str">
        <f>IFERROR(__xludf.DUMMYFUNCTION("""COMPUTED_VALUE"""),"no")</f>
        <v>no</v>
      </c>
      <c r="V13" s="3"/>
      <c r="W13" s="3" t="str">
        <f>IFERROR(__xludf.DUMMYFUNCTION("""COMPUTED_VALUE"""),"no")</f>
        <v>no</v>
      </c>
      <c r="X13" s="3"/>
      <c r="Y13" s="3"/>
      <c r="Z13" s="3"/>
      <c r="AA13" s="3"/>
      <c r="AB13" s="3"/>
      <c r="AC13" s="3" t="str">
        <f>IFERROR(__xludf.DUMMYFUNCTION("""COMPUTED_VALUE"""),"no")</f>
        <v>no</v>
      </c>
      <c r="AD13" s="3" t="str">
        <f>IFERROR(__xludf.DUMMYFUNCTION("""COMPUTED_VALUE"""),"no")</f>
        <v>no</v>
      </c>
      <c r="AE13" s="3"/>
      <c r="AF13" s="3" t="str">
        <f>IFERROR(__xludf.DUMMYFUNCTION("""COMPUTED_VALUE"""),"no")</f>
        <v>no</v>
      </c>
      <c r="AG13" s="3"/>
    </row>
    <row r="14" hidden="1">
      <c r="A14" s="3" t="str">
        <f>IFERROR(__xludf.DUMMYFUNCTION("""COMPUTED_VALUE"""),"1943399156560609541")</f>
        <v>1943399156560609541</v>
      </c>
      <c r="B14" s="3" t="str">
        <f>IFERROR(__xludf.DUMMYFUNCTION("""COMPUTED_VALUE"""),"1943399156560609541")</f>
        <v>1943399156560609541</v>
      </c>
      <c r="C14" s="10">
        <f>IFERROR(__xludf.DUMMYFUNCTION("""COMPUTED_VALUE"""),45848.83148148148)</f>
        <v>45848.83148</v>
      </c>
      <c r="D14" s="3">
        <f>IFERROR(__xludf.DUMMYFUNCTION("""COMPUTED_VALUE"""),1.75217744E9)</f>
        <v>1752177440</v>
      </c>
      <c r="E14" s="11" t="str">
        <f>IFERROR(__xludf.DUMMYFUNCTION("""COMPUTED_VALUE"""),"https://x.com/MauricioLeija/status/1943399156560609541")</f>
        <v>https://x.com/MauricioLeija/status/1943399156560609541</v>
      </c>
      <c r="F14" s="3" t="str">
        <f>IFERROR(__xludf.DUMMYFUNCTION("""COMPUTED_VALUE"""),"¿Por qué tratar el TDAH del adulto? Entrevista al Dr. Mario González Zavala.
#TDAHdelAdulto #TDAH #HablemosDelTDAH #Neurodiversidad #Neurodivergencia #Neurodesarrollo #NeurodesarrolloyConducta #HablemosDeSaludMental https://t.co/6u0xRf1SZy")</f>
        <v>¿Por qué tratar el TDAH del adulto? Entrevista al Dr. Mario González Zavala.
#TDAHdelAdulto #TDAH #HablemosDelTDAH #Neurodiversidad #Neurodivergencia #Neurodesarrollo #NeurodesarrolloyConducta #HablemosDeSaludMental https://t.co/6u0xRf1SZy</v>
      </c>
      <c r="G14" s="3" t="str">
        <f>IFERROR(__xludf.DUMMYFUNCTION("""COMPUTED_VALUE"""),"MauricioLeija")</f>
        <v>MauricioLeija</v>
      </c>
      <c r="H14" s="3" t="str">
        <f>IFERROR(__xludf.DUMMYFUNCTION("""COMPUTED_VALUE"""),"Dr. Mauricio Leija")</f>
        <v>Dr. Mauricio Leija</v>
      </c>
      <c r="I14" s="3">
        <f>IFERROR(__xludf.DUMMYFUNCTION("""COMPUTED_VALUE"""),2.825615947E9)</f>
        <v>2825615947</v>
      </c>
      <c r="J14" s="11" t="str">
        <f>IFERROR(__xludf.DUMMYFUNCTION("""COMPUTED_VALUE"""),"https://pbs.twimg.com/profile_images/1988347861507952640/MmBWSSun_normal.jpg")</f>
        <v>https://pbs.twimg.com/profile_images/1988347861507952640/MmBWSSun_normal.jpg</v>
      </c>
      <c r="K14" s="11" t="str">
        <f>IFERROR(__xludf.DUMMYFUNCTION("""COMPUTED_VALUE"""),"https://pbs.twimg.com/profile_banners/2825615947/1674793295")</f>
        <v>https://pbs.twimg.com/profile_banners/2825615947/1674793295</v>
      </c>
      <c r="L14" s="3" t="b">
        <f>IFERROR(__xludf.DUMMYFUNCTION("""COMPUTED_VALUE"""),TRUE)</f>
        <v>1</v>
      </c>
      <c r="M14" s="3" t="str">
        <f>IFERROR(__xludf.DUMMYFUNCTION("""COMPUTED_VALUE"""),"Twitter Web App")</f>
        <v>Twitter Web App</v>
      </c>
      <c r="N14" s="3" t="str">
        <f>IFERROR(__xludf.DUMMYFUNCTION("""COMPUTED_VALUE"""),"es")</f>
        <v>es</v>
      </c>
      <c r="O14" s="3" t="str">
        <f>IFERROR(__xludf.DUMMYFUNCTION("""COMPUTED_VALUE"""),"no")</f>
        <v>no</v>
      </c>
      <c r="P14" s="3">
        <f>IFERROR(__xludf.DUMMYFUNCTION("""COMPUTED_VALUE"""),3.0)</f>
        <v>3</v>
      </c>
      <c r="Q14" s="3">
        <f>IFERROR(__xludf.DUMMYFUNCTION("""COMPUTED_VALUE"""),1.0)</f>
        <v>1</v>
      </c>
      <c r="R14" s="3">
        <f>IFERROR(__xludf.DUMMYFUNCTION("""COMPUTED_VALUE"""),13.0)</f>
        <v>13</v>
      </c>
      <c r="S14" s="3">
        <f>IFERROR(__xludf.DUMMYFUNCTION("""COMPUTED_VALUE"""),1.0)</f>
        <v>1</v>
      </c>
      <c r="T14" s="3">
        <f>IFERROR(__xludf.DUMMYFUNCTION("""COMPUTED_VALUE"""),450.0)</f>
        <v>450</v>
      </c>
      <c r="U14" s="3" t="str">
        <f>IFERROR(__xludf.DUMMYFUNCTION("""COMPUTED_VALUE"""),"no")</f>
        <v>no</v>
      </c>
      <c r="V14" s="3"/>
      <c r="W14" s="3" t="str">
        <f>IFERROR(__xludf.DUMMYFUNCTION("""COMPUTED_VALUE"""),"no")</f>
        <v>no</v>
      </c>
      <c r="X14" s="3"/>
      <c r="Y14" s="3"/>
      <c r="Z14" s="3"/>
      <c r="AA14" s="3"/>
      <c r="AB14" s="3"/>
      <c r="AC14" s="3" t="str">
        <f>IFERROR(__xludf.DUMMYFUNCTION("""COMPUTED_VALUE"""),"no")</f>
        <v>no</v>
      </c>
      <c r="AD14" s="3" t="str">
        <f>IFERROR(__xludf.DUMMYFUNCTION("""COMPUTED_VALUE"""),"no")</f>
        <v>no</v>
      </c>
      <c r="AE14" s="3"/>
      <c r="AF14" s="3" t="str">
        <f>IFERROR(__xludf.DUMMYFUNCTION("""COMPUTED_VALUE"""),"no")</f>
        <v>no</v>
      </c>
      <c r="AG14"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15">
      <c r="A15" s="3" t="str">
        <f>IFERROR(__xludf.DUMMYFUNCTION("""COMPUTED_VALUE"""),"1988671662636810656")</f>
        <v>1988671662636810656</v>
      </c>
      <c r="B15" s="3" t="str">
        <f>IFERROR(__xludf.DUMMYFUNCTION("""COMPUTED_VALUE"""),"1987666032291651737")</f>
        <v>1987666032291651737</v>
      </c>
      <c r="C15" s="10">
        <f>IFERROR(__xludf.DUMMYFUNCTION("""COMPUTED_VALUE"""),45973.759791666664)</f>
        <v>45973.75979</v>
      </c>
      <c r="D15" s="3">
        <f>IFERROR(__xludf.DUMMYFUNCTION("""COMPUTED_VALUE"""),1.762971246E9)</f>
        <v>1762971246</v>
      </c>
      <c r="E15" s="11" t="str">
        <f>IFERROR(__xludf.DUMMYFUNCTION("""COMPUTED_VALUE"""),"https://x.com/cesarfontanapsi/status/1988671662636810656")</f>
        <v>https://x.com/cesarfontanapsi/status/1988671662636810656</v>
      </c>
      <c r="F15" s="3" t="str">
        <f>IFERROR(__xludf.DUMMYFUNCTION("""COMPUTED_VALUE"""),"@amobucetagorda Se curtiram a explicação, segue ai, sou psicólogo (CRP: 06/135135), faço atendimentos psicoterapeuticos para o público adulto e atendo demandas como ansiedade, TDAH, autoconhecimento. Que falam sobre o ciclo do sono 😉 https://t.co/ufadxvM"&amp;"TRL")</f>
        <v>@amobucetagorda Se curtiram a explicação, segue ai, sou psicólogo (CRP: 06/135135), faço atendimentos psicoterapeuticos para o público adulto e atendo demandas como ansiedade, TDAH, autoconhecimento. Que falam sobre o ciclo do sono 😉 https://t.co/ufadxvMTRL</v>
      </c>
      <c r="G15" s="3" t="str">
        <f>IFERROR(__xludf.DUMMYFUNCTION("""COMPUTED_VALUE"""),"cesarfontanapsi")</f>
        <v>cesarfontanapsi</v>
      </c>
      <c r="H15" s="3" t="str">
        <f>IFERROR(__xludf.DUMMYFUNCTION("""COMPUTED_VALUE"""),"Psi Cesar Fontana")</f>
        <v>Psi Cesar Fontana</v>
      </c>
      <c r="I15" s="3" t="str">
        <f>IFERROR(__xludf.DUMMYFUNCTION("""COMPUTED_VALUE"""),"1325904158914908161")</f>
        <v>1325904158914908161</v>
      </c>
      <c r="J15" s="11" t="str">
        <f>IFERROR(__xludf.DUMMYFUNCTION("""COMPUTED_VALUE"""),"https://pbs.twimg.com/profile_images/1927719517142052864/4S26noEH_normal.jpg")</f>
        <v>https://pbs.twimg.com/profile_images/1927719517142052864/4S26noEH_normal.jpg</v>
      </c>
      <c r="K15" s="11" t="str">
        <f>IFERROR(__xludf.DUMMYFUNCTION("""COMPUTED_VALUE"""),"https://pbs.twimg.com/profile_banners/1325904158914908161/1748439374")</f>
        <v>https://pbs.twimg.com/profile_banners/1325904158914908161/1748439374</v>
      </c>
      <c r="L15" s="3" t="b">
        <f>IFERROR(__xludf.DUMMYFUNCTION("""COMPUTED_VALUE"""),FALSE)</f>
        <v>0</v>
      </c>
      <c r="M15" s="3" t="str">
        <f>IFERROR(__xludf.DUMMYFUNCTION("""COMPUTED_VALUE"""),"Twitter for Android")</f>
        <v>Twitter for Android</v>
      </c>
      <c r="N15" s="3" t="str">
        <f>IFERROR(__xludf.DUMMYFUNCTION("""COMPUTED_VALUE"""),"pt")</f>
        <v>pt</v>
      </c>
      <c r="O15" s="3" t="str">
        <f>IFERROR(__xludf.DUMMYFUNCTION("""COMPUTED_VALUE"""),"no")</f>
        <v>no</v>
      </c>
      <c r="P15" s="3">
        <f>IFERROR(__xludf.DUMMYFUNCTION("""COMPUTED_VALUE"""),0.0)</f>
        <v>0</v>
      </c>
      <c r="Q15" s="3">
        <f>IFERROR(__xludf.DUMMYFUNCTION("""COMPUTED_VALUE"""),0.0)</f>
        <v>0</v>
      </c>
      <c r="R15" s="3">
        <f>IFERROR(__xludf.DUMMYFUNCTION("""COMPUTED_VALUE"""),2.0)</f>
        <v>2</v>
      </c>
      <c r="S15" s="3">
        <f>IFERROR(__xludf.DUMMYFUNCTION("""COMPUTED_VALUE"""),0.0)</f>
        <v>0</v>
      </c>
      <c r="T15" s="3">
        <f>IFERROR(__xludf.DUMMYFUNCTION("""COMPUTED_VALUE"""),29.0)</f>
        <v>29</v>
      </c>
      <c r="U15" s="3" t="str">
        <f>IFERROR(__xludf.DUMMYFUNCTION("""COMPUTED_VALUE"""),"no")</f>
        <v>no</v>
      </c>
      <c r="V15" s="3"/>
      <c r="W15" s="3" t="str">
        <f>IFERROR(__xludf.DUMMYFUNCTION("""COMPUTED_VALUE"""),"no")</f>
        <v>no</v>
      </c>
      <c r="X15" s="3"/>
      <c r="Y15" s="3"/>
      <c r="Z15" s="3"/>
      <c r="AA15" s="3"/>
      <c r="AB15" s="3"/>
      <c r="AC15" s="3" t="str">
        <f>IFERROR(__xludf.DUMMYFUNCTION("""COMPUTED_VALUE"""),"no")</f>
        <v>no</v>
      </c>
      <c r="AD15" s="3" t="str">
        <f>IFERROR(__xludf.DUMMYFUNCTION("""COMPUTED_VALUE"""),"yes")</f>
        <v>yes</v>
      </c>
      <c r="AE15" s="3" t="str">
        <f>IFERROR(__xludf.DUMMYFUNCTION("""COMPUTED_VALUE"""),"cesarfontanapsi")</f>
        <v>cesarfontanapsi</v>
      </c>
      <c r="AF15" s="3" t="str">
        <f>IFERROR(__xludf.DUMMYFUNCTION("""COMPUTED_VALUE"""),"no")</f>
        <v>no</v>
      </c>
      <c r="AG15" s="3"/>
    </row>
    <row r="16" hidden="1">
      <c r="A16" s="3" t="str">
        <f>IFERROR(__xludf.DUMMYFUNCTION("""COMPUTED_VALUE"""),"1924178252349718999")</f>
        <v>1924178252349718999</v>
      </c>
      <c r="B16" s="3" t="str">
        <f>IFERROR(__xludf.DUMMYFUNCTION("""COMPUTED_VALUE"""),"1924178252349718999")</f>
        <v>1924178252349718999</v>
      </c>
      <c r="C16" s="10">
        <f>IFERROR(__xludf.DUMMYFUNCTION("""COMPUTED_VALUE"""),45795.79188657407)</f>
        <v>45795.79189</v>
      </c>
      <c r="D16" s="3">
        <f>IFERROR(__xludf.DUMMYFUNCTION("""COMPUTED_VALUE"""),1.747594819E9)</f>
        <v>1747594819</v>
      </c>
      <c r="E16" s="11" t="str">
        <f>IFERROR(__xludf.DUMMYFUNCTION("""COMPUTED_VALUE"""),"https://x.com/pau/status/1924178252349718999")</f>
        <v>https://x.com/pau/status/1924178252349718999</v>
      </c>
      <c r="F16" s="3" t="str">
        <f>IFERROR(__xludf.DUMMYFUNCTION("""COMPUTED_VALUE"""),"¿Cómo saber si tienes TDAH cuando ya eres adulto?
Spoiler: no es un test online ni un vídeo de TikTok.
Pero sí hay algo muy importante que sí puedes hacer.
Te lo cuento… en 1 minuto ⤵️ https://t.co/Dp1oS9jYkB")</f>
        <v>¿Cómo saber si tienes TDAH cuando ya eres adulto?
Spoiler: no es un test online ni un vídeo de TikTok.
Pero sí hay algo muy importante que sí puedes hacer.
Te lo cuento… en 1 minuto ⤵️ https://t.co/Dp1oS9jYkB</v>
      </c>
      <c r="G16" s="3" t="str">
        <f>IFERROR(__xludf.DUMMYFUNCTION("""COMPUTED_VALUE"""),"pau")</f>
        <v>pau</v>
      </c>
      <c r="H16" s="3" t="str">
        <f>IFERROR(__xludf.DUMMYFUNCTION("""COMPUTED_VALUE"""),"Pau Garcia-Milà")</f>
        <v>Pau Garcia-Milà</v>
      </c>
      <c r="I16" s="3">
        <f>IFERROR(__xludf.DUMMYFUNCTION("""COMPUTED_VALUE"""),6068.0)</f>
        <v>6068</v>
      </c>
      <c r="J16" s="11" t="str">
        <f>IFERROR(__xludf.DUMMYFUNCTION("""COMPUTED_VALUE"""),"https://pbs.twimg.com/profile_images/1141030698947686400/QOH39mM0_normal.jpg")</f>
        <v>https://pbs.twimg.com/profile_images/1141030698947686400/QOH39mM0_normal.jpg</v>
      </c>
      <c r="K16" s="11" t="str">
        <f>IFERROR(__xludf.DUMMYFUNCTION("""COMPUTED_VALUE"""),"https://pbs.twimg.com/profile_banners/6068/1665387027")</f>
        <v>https://pbs.twimg.com/profile_banners/6068/1665387027</v>
      </c>
      <c r="L16" s="3" t="b">
        <f>IFERROR(__xludf.DUMMYFUNCTION("""COMPUTED_VALUE"""),TRUE)</f>
        <v>1</v>
      </c>
      <c r="M16" s="3" t="str">
        <f>IFERROR(__xludf.DUMMYFUNCTION("""COMPUTED_VALUE"""),"Metricool")</f>
        <v>Metricool</v>
      </c>
      <c r="N16" s="3" t="str">
        <f>IFERROR(__xludf.DUMMYFUNCTION("""COMPUTED_VALUE"""),"es")</f>
        <v>es</v>
      </c>
      <c r="O16" s="3" t="str">
        <f>IFERROR(__xludf.DUMMYFUNCTION("""COMPUTED_VALUE"""),"no")</f>
        <v>no</v>
      </c>
      <c r="P16" s="3">
        <f>IFERROR(__xludf.DUMMYFUNCTION("""COMPUTED_VALUE"""),0.0)</f>
        <v>0</v>
      </c>
      <c r="Q16" s="3">
        <f>IFERROR(__xludf.DUMMYFUNCTION("""COMPUTED_VALUE"""),0.0)</f>
        <v>0</v>
      </c>
      <c r="R16" s="3">
        <f>IFERROR(__xludf.DUMMYFUNCTION("""COMPUTED_VALUE"""),13.0)</f>
        <v>13</v>
      </c>
      <c r="S16" s="3">
        <f>IFERROR(__xludf.DUMMYFUNCTION("""COMPUTED_VALUE"""),0.0)</f>
        <v>0</v>
      </c>
      <c r="T16" s="3">
        <f>IFERROR(__xludf.DUMMYFUNCTION("""COMPUTED_VALUE"""),2806.0)</f>
        <v>2806</v>
      </c>
      <c r="U16" s="3" t="str">
        <f>IFERROR(__xludf.DUMMYFUNCTION("""COMPUTED_VALUE"""),"no")</f>
        <v>no</v>
      </c>
      <c r="V16" s="3"/>
      <c r="W16" s="3" t="str">
        <f>IFERROR(__xludf.DUMMYFUNCTION("""COMPUTED_VALUE"""),"no")</f>
        <v>no</v>
      </c>
      <c r="X16" s="3"/>
      <c r="Y16" s="3"/>
      <c r="Z16" s="3"/>
      <c r="AA16" s="3"/>
      <c r="AB16" s="3"/>
      <c r="AC16" s="3" t="str">
        <f>IFERROR(__xludf.DUMMYFUNCTION("""COMPUTED_VALUE"""),"no")</f>
        <v>no</v>
      </c>
      <c r="AD16" s="3" t="str">
        <f>IFERROR(__xludf.DUMMYFUNCTION("""COMPUTED_VALUE"""),"no")</f>
        <v>no</v>
      </c>
      <c r="AE16" s="3"/>
      <c r="AF16" s="3" t="str">
        <f>IFERROR(__xludf.DUMMYFUNCTION("""COMPUTED_VALUE"""),"no")</f>
        <v>no</v>
      </c>
      <c r="AG16" s="3"/>
    </row>
    <row r="17" hidden="1">
      <c r="A17" s="3" t="str">
        <f>IFERROR(__xludf.DUMMYFUNCTION("""COMPUTED_VALUE"""),"1964352894464860513")</f>
        <v>1964352894464860513</v>
      </c>
      <c r="B17" s="3" t="str">
        <f>IFERROR(__xludf.DUMMYFUNCTION("""COMPUTED_VALUE"""),"1964352894464860513")</f>
        <v>1964352894464860513</v>
      </c>
      <c r="C17" s="10">
        <f>IFERROR(__xludf.DUMMYFUNCTION("""COMPUTED_VALUE"""),45906.65277777778)</f>
        <v>45906.65278</v>
      </c>
      <c r="D17" s="3">
        <f>IFERROR(__xludf.DUMMYFUNCTION("""COMPUTED_VALUE"""),1.7571732E9)</f>
        <v>1757173200</v>
      </c>
      <c r="E17" s="11" t="str">
        <f>IFERROR(__xludf.DUMMYFUNCTION("""COMPUTED_VALUE"""),"https://x.com/PsicologiaAlSur/status/1964352894464860513")</f>
        <v>https://x.com/PsicologiaAlSur/status/1964352894464860513</v>
      </c>
      <c r="F17" s="3" t="str">
        <f>IFERROR(__xludf.DUMMYFUNCTION("""COMPUTED_VALUE"""),"Mirta Romalde —médica psiquiatra y profesora en Universidad Favaloro— explorará el diagnóstico diferencial, los desafíos clínicos y las estrategias terapéuticas para abordar el TDAH adulto y sus frecuentes comorbilidades💡
🎟️Entradas en https://t.co/Vcn"&amp;"Umud3Tf https://t.co/qzZRTEe4aI")</f>
        <v>Mirta Romalde —médica psiquiatra y profesora en Universidad Favaloro— explorará el diagnóstico diferencial, los desafíos clínicos y las estrategias terapéuticas para abordar el TDAH adulto y sus frecuentes comorbilidades💡
🎟️Entradas en https://t.co/VcnUmud3Tf https://t.co/qzZRTEe4aI</v>
      </c>
      <c r="G17" s="3" t="str">
        <f>IFERROR(__xludf.DUMMYFUNCTION("""COMPUTED_VALUE"""),"PsicologiaAlSur")</f>
        <v>PsicologiaAlSur</v>
      </c>
      <c r="H17" s="3" t="str">
        <f>IFERROR(__xludf.DUMMYFUNCTION("""COMPUTED_VALUE"""),"Psicología al Sur")</f>
        <v>Psicología al Sur</v>
      </c>
      <c r="I17" s="3" t="str">
        <f>IFERROR(__xludf.DUMMYFUNCTION("""COMPUTED_VALUE"""),"1777389396838252544")</f>
        <v>1777389396838252544</v>
      </c>
      <c r="J17" s="11" t="str">
        <f>IFERROR(__xludf.DUMMYFUNCTION("""COMPUTED_VALUE"""),"https://pbs.twimg.com/profile_images/1777419380634025985/2Jsog_oX_normal.jpg")</f>
        <v>https://pbs.twimg.com/profile_images/1777419380634025985/2Jsog_oX_normal.jpg</v>
      </c>
      <c r="K17" s="11" t="str">
        <f>IFERROR(__xludf.DUMMYFUNCTION("""COMPUTED_VALUE"""),"https://pbs.twimg.com/profile_banners/1777389396838252544/1712604780")</f>
        <v>https://pbs.twimg.com/profile_banners/1777389396838252544/1712604780</v>
      </c>
      <c r="L17" s="3" t="b">
        <f>IFERROR(__xludf.DUMMYFUNCTION("""COMPUTED_VALUE"""),FALSE)</f>
        <v>0</v>
      </c>
      <c r="M17" s="3" t="str">
        <f>IFERROR(__xludf.DUMMYFUNCTION("""COMPUTED_VALUE"""),"Twitter Web App")</f>
        <v>Twitter Web App</v>
      </c>
      <c r="N17" s="3" t="str">
        <f>IFERROR(__xludf.DUMMYFUNCTION("""COMPUTED_VALUE"""),"es")</f>
        <v>es</v>
      </c>
      <c r="O17" s="3" t="str">
        <f>IFERROR(__xludf.DUMMYFUNCTION("""COMPUTED_VALUE"""),"no")</f>
        <v>no</v>
      </c>
      <c r="P17" s="3">
        <f>IFERROR(__xludf.DUMMYFUNCTION("""COMPUTED_VALUE"""),0.0)</f>
        <v>0</v>
      </c>
      <c r="Q17" s="3">
        <f>IFERROR(__xludf.DUMMYFUNCTION("""COMPUTED_VALUE"""),0.0)</f>
        <v>0</v>
      </c>
      <c r="R17" s="3">
        <f>IFERROR(__xludf.DUMMYFUNCTION("""COMPUTED_VALUE"""),0.0)</f>
        <v>0</v>
      </c>
      <c r="S17" s="3">
        <f>IFERROR(__xludf.DUMMYFUNCTION("""COMPUTED_VALUE"""),0.0)</f>
        <v>0</v>
      </c>
      <c r="T17" s="3">
        <f>IFERROR(__xludf.DUMMYFUNCTION("""COMPUTED_VALUE"""),70.0)</f>
        <v>70</v>
      </c>
      <c r="U17" s="3" t="str">
        <f>IFERROR(__xludf.DUMMYFUNCTION("""COMPUTED_VALUE"""),"no")</f>
        <v>no</v>
      </c>
      <c r="V17" s="3"/>
      <c r="W17" s="3" t="str">
        <f>IFERROR(__xludf.DUMMYFUNCTION("""COMPUTED_VALUE"""),"no")</f>
        <v>no</v>
      </c>
      <c r="X17" s="3"/>
      <c r="Y17" s="3"/>
      <c r="Z17" s="3"/>
      <c r="AA17" s="3"/>
      <c r="AB17" s="3"/>
      <c r="AC17" s="3" t="str">
        <f>IFERROR(__xludf.DUMMYFUNCTION("""COMPUTED_VALUE"""),"no")</f>
        <v>no</v>
      </c>
      <c r="AD17" s="3" t="str">
        <f>IFERROR(__xludf.DUMMYFUNCTION("""COMPUTED_VALUE"""),"no")</f>
        <v>no</v>
      </c>
      <c r="AE17" s="3"/>
      <c r="AF17" s="3" t="str">
        <f>IFERROR(__xludf.DUMMYFUNCTION("""COMPUTED_VALUE"""),"no")</f>
        <v>no</v>
      </c>
      <c r="AG17" s="3"/>
    </row>
    <row r="18" hidden="1">
      <c r="A18" s="3" t="str">
        <f>IFERROR(__xludf.DUMMYFUNCTION("""COMPUTED_VALUE"""),"1967271695292792985")</f>
        <v>1967271695292792985</v>
      </c>
      <c r="B18" s="3" t="str">
        <f>IFERROR(__xludf.DUMMYFUNCTION("""COMPUTED_VALUE"""),"1967271695292792985")</f>
        <v>1967271695292792985</v>
      </c>
      <c r="C18" s="10">
        <f>IFERROR(__xludf.DUMMYFUNCTION("""COMPUTED_VALUE"""),45914.70712962963)</f>
        <v>45914.70713</v>
      </c>
      <c r="D18" s="3">
        <f>IFERROR(__xludf.DUMMYFUNCTION("""COMPUTED_VALUE"""),1.757869096E9)</f>
        <v>1757869096</v>
      </c>
      <c r="E18" s="11" t="str">
        <f>IFERROR(__xludf.DUMMYFUNCTION("""COMPUTED_VALUE"""),"https://x.com/crepch/status/1967271695292792985")</f>
        <v>https://x.com/crepch/status/1967271695292792985</v>
      </c>
      <c r="F18" s="3" t="str">
        <f>IFERROR(__xludf.DUMMYFUNCTION("""COMPUTED_VALUE"""),"No repares tu vida en la de ellos.
📱Agenda cita 55 19 15 30 15
#terapiamultisensorialsimbólica #terapia #terapialenguaje
#autismo #depresión #ansiedades #tdah #conducta #adulto #adolescentes #problemasdelenguaje #psicologia #saludmental #terapiaenlínea #"&amp;"tdaa #FelizDomingo https://t.co/WDDwaIjlXt")</f>
        <v>No repares tu vida en la de ellos.
📱Agenda cita 55 19 15 30 15
#terapiamultisensorialsimbólica #terapia #terapialenguaje
#autismo #depresión #ansiedades #tdah #conducta #adulto #adolescentes #problemasdelenguaje #psicologia #saludmental #terapiaenlínea #tdaa #FelizDomingo https://t.co/WDDwaIjlXt</v>
      </c>
      <c r="G18" s="3" t="str">
        <f>IFERROR(__xludf.DUMMYFUNCTION("""COMPUTED_VALUE"""),"crepch")</f>
        <v>crepch</v>
      </c>
      <c r="H18" s="3" t="str">
        <f>IFERROR(__xludf.DUMMYFUNCTION("""COMPUTED_VALUE"""),"CREPCH")</f>
        <v>CREPCH</v>
      </c>
      <c r="I18" s="3" t="str">
        <f>IFERROR(__xludf.DUMMYFUNCTION("""COMPUTED_VALUE"""),"944734585614716928")</f>
        <v>944734585614716928</v>
      </c>
      <c r="J18" s="11" t="str">
        <f>IFERROR(__xludf.DUMMYFUNCTION("""COMPUTED_VALUE"""),"https://pbs.twimg.com/profile_images/1136061746895106049/G8TS_hD3_normal.jpg")</f>
        <v>https://pbs.twimg.com/profile_images/1136061746895106049/G8TS_hD3_normal.jpg</v>
      </c>
      <c r="K18" s="11" t="str">
        <f>IFERROR(__xludf.DUMMYFUNCTION("""COMPUTED_VALUE"""),"https://pbs.twimg.com/profile_banners/944734585614716928/1747074694")</f>
        <v>https://pbs.twimg.com/profile_banners/944734585614716928/1747074694</v>
      </c>
      <c r="L18" s="3" t="b">
        <f>IFERROR(__xludf.DUMMYFUNCTION("""COMPUTED_VALUE"""),FALSE)</f>
        <v>0</v>
      </c>
      <c r="M18" s="3" t="str">
        <f>IFERROR(__xludf.DUMMYFUNCTION("""COMPUTED_VALUE"""),"Twitter for Android")</f>
        <v>Twitter for Android</v>
      </c>
      <c r="N18" s="3" t="str">
        <f>IFERROR(__xludf.DUMMYFUNCTION("""COMPUTED_VALUE"""),"es")</f>
        <v>es</v>
      </c>
      <c r="O18" s="3" t="str">
        <f>IFERROR(__xludf.DUMMYFUNCTION("""COMPUTED_VALUE"""),"no")</f>
        <v>no</v>
      </c>
      <c r="P18" s="3">
        <f>IFERROR(__xludf.DUMMYFUNCTION("""COMPUTED_VALUE"""),1.0)</f>
        <v>1</v>
      </c>
      <c r="Q18" s="3">
        <f>IFERROR(__xludf.DUMMYFUNCTION("""COMPUTED_VALUE"""),0.0)</f>
        <v>0</v>
      </c>
      <c r="R18" s="3">
        <f>IFERROR(__xludf.DUMMYFUNCTION("""COMPUTED_VALUE"""),1.0)</f>
        <v>1</v>
      </c>
      <c r="S18" s="3">
        <f>IFERROR(__xludf.DUMMYFUNCTION("""COMPUTED_VALUE"""),0.0)</f>
        <v>0</v>
      </c>
      <c r="T18" s="3">
        <f>IFERROR(__xludf.DUMMYFUNCTION("""COMPUTED_VALUE"""),20.0)</f>
        <v>20</v>
      </c>
      <c r="U18" s="3" t="str">
        <f>IFERROR(__xludf.DUMMYFUNCTION("""COMPUTED_VALUE"""),"no")</f>
        <v>no</v>
      </c>
      <c r="V18" s="3"/>
      <c r="W18" s="3" t="str">
        <f>IFERROR(__xludf.DUMMYFUNCTION("""COMPUTED_VALUE"""),"no")</f>
        <v>no</v>
      </c>
      <c r="X18" s="3"/>
      <c r="Y18" s="3"/>
      <c r="Z18" s="3"/>
      <c r="AA18" s="3"/>
      <c r="AB18" s="3"/>
      <c r="AC18" s="3" t="str">
        <f>IFERROR(__xludf.DUMMYFUNCTION("""COMPUTED_VALUE"""),"no")</f>
        <v>no</v>
      </c>
      <c r="AD18" s="3" t="str">
        <f>IFERROR(__xludf.DUMMYFUNCTION("""COMPUTED_VALUE"""),"no")</f>
        <v>no</v>
      </c>
      <c r="AE18" s="3"/>
      <c r="AF18" s="3" t="str">
        <f>IFERROR(__xludf.DUMMYFUNCTION("""COMPUTED_VALUE"""),"no")</f>
        <v>no</v>
      </c>
      <c r="AG18" s="3" t="str">
        <f>IFERROR(__xludf.DUMMYFUNCTION("""COMPUTED_VALUE"""),"terapiamultisensorialsimbólica,terapia,terapialenguaje,autismo,depresión,ansiedades,tdah,conducta,adulto,adolescentes,problemasdelenguaje,psicologia,saludmental,terapiaenlínea,tdaa,FelizDomingo")</f>
        <v>terapiamultisensorialsimbólica,terapia,terapialenguaje,autismo,depresión,ansiedades,tdah,conducta,adulto,adolescentes,problemasdelenguaje,psicologia,saludmental,terapiaenlínea,tdaa,FelizDomingo</v>
      </c>
    </row>
    <row r="19" hidden="1">
      <c r="A19" s="3" t="str">
        <f>IFERROR(__xludf.DUMMYFUNCTION("""COMPUTED_VALUE"""),"1973451647121760351")</f>
        <v>1973451647121760351</v>
      </c>
      <c r="B19" s="3" t="str">
        <f>IFERROR(__xludf.DUMMYFUNCTION("""COMPUTED_VALUE"""),"1973451647121760351")</f>
        <v>1973451647121760351</v>
      </c>
      <c r="C19" s="10">
        <f>IFERROR(__xludf.DUMMYFUNCTION("""COMPUTED_VALUE"""),45931.76055555556)</f>
        <v>45931.76056</v>
      </c>
      <c r="D19" s="3">
        <f>IFERROR(__xludf.DUMMYFUNCTION("""COMPUTED_VALUE"""),1.759342512E9)</f>
        <v>1759342512</v>
      </c>
      <c r="E19" s="11" t="str">
        <f>IFERROR(__xludf.DUMMYFUNCTION("""COMPUTED_VALUE"""),"https://x.com/MauricioLeija/status/1973451647121760351")</f>
        <v>https://x.com/MauricioLeija/status/1973451647121760351</v>
      </c>
      <c r="F19" s="3" t="str">
        <f>IFERROR(__xludf.DUMMYFUNCTION("""COMPUTED_VALUE"""),"TDAH del adulto y síndrome de Don Juan. Conversación con Gina Fonseca para #MiDiarioDeTDAH
#TDAHdelAdulto #TDAH #HablemosDelTDAH #Neurodiversidad #Neurodivergencia #Neurodesarrollo #NeurodesarrolloyConducta #HablemosDeSaludMental https://t.co/6KhJQlZEke")</f>
        <v>TDAH del adulto y síndrome de Don Juan. Conversación con Gina Fonseca para #MiDiarioDeTDAH
#TDAHdelAdulto #TDAH #HablemosDelTDAH #Neurodiversidad #Neurodivergencia #Neurodesarrollo #NeurodesarrolloyConducta #HablemosDeSaludMental https://t.co/6KhJQlZEke</v>
      </c>
      <c r="G19" s="3" t="str">
        <f>IFERROR(__xludf.DUMMYFUNCTION("""COMPUTED_VALUE"""),"MauricioLeija")</f>
        <v>MauricioLeija</v>
      </c>
      <c r="H19" s="3" t="str">
        <f>IFERROR(__xludf.DUMMYFUNCTION("""COMPUTED_VALUE"""),"Dr. Mauricio Leija")</f>
        <v>Dr. Mauricio Leija</v>
      </c>
      <c r="I19" s="3">
        <f>IFERROR(__xludf.DUMMYFUNCTION("""COMPUTED_VALUE"""),2.825615947E9)</f>
        <v>2825615947</v>
      </c>
      <c r="J19" s="11" t="str">
        <f>IFERROR(__xludf.DUMMYFUNCTION("""COMPUTED_VALUE"""),"https://pbs.twimg.com/profile_images/1988347861507952640/MmBWSSun_normal.jpg")</f>
        <v>https://pbs.twimg.com/profile_images/1988347861507952640/MmBWSSun_normal.jpg</v>
      </c>
      <c r="K19" s="11" t="str">
        <f>IFERROR(__xludf.DUMMYFUNCTION("""COMPUTED_VALUE"""),"https://pbs.twimg.com/profile_banners/2825615947/1674793295")</f>
        <v>https://pbs.twimg.com/profile_banners/2825615947/1674793295</v>
      </c>
      <c r="L19" s="3" t="b">
        <f>IFERROR(__xludf.DUMMYFUNCTION("""COMPUTED_VALUE"""),TRUE)</f>
        <v>1</v>
      </c>
      <c r="M19" s="3" t="str">
        <f>IFERROR(__xludf.DUMMYFUNCTION("""COMPUTED_VALUE"""),"Twitter Web App")</f>
        <v>Twitter Web App</v>
      </c>
      <c r="N19" s="3" t="str">
        <f>IFERROR(__xludf.DUMMYFUNCTION("""COMPUTED_VALUE"""),"es")</f>
        <v>es</v>
      </c>
      <c r="O19" s="3" t="str">
        <f>IFERROR(__xludf.DUMMYFUNCTION("""COMPUTED_VALUE"""),"no")</f>
        <v>no</v>
      </c>
      <c r="P19" s="3">
        <f>IFERROR(__xludf.DUMMYFUNCTION("""COMPUTED_VALUE"""),1.0)</f>
        <v>1</v>
      </c>
      <c r="Q19" s="3">
        <f>IFERROR(__xludf.DUMMYFUNCTION("""COMPUTED_VALUE"""),0.0)</f>
        <v>0</v>
      </c>
      <c r="R19" s="3">
        <f>IFERROR(__xludf.DUMMYFUNCTION("""COMPUTED_VALUE"""),10.0)</f>
        <v>10</v>
      </c>
      <c r="S19" s="3">
        <f>IFERROR(__xludf.DUMMYFUNCTION("""COMPUTED_VALUE"""),0.0)</f>
        <v>0</v>
      </c>
      <c r="T19" s="3">
        <f>IFERROR(__xludf.DUMMYFUNCTION("""COMPUTED_VALUE"""),774.0)</f>
        <v>774</v>
      </c>
      <c r="U19" s="3" t="str">
        <f>IFERROR(__xludf.DUMMYFUNCTION("""COMPUTED_VALUE"""),"no")</f>
        <v>no</v>
      </c>
      <c r="V19" s="3"/>
      <c r="W19" s="3" t="str">
        <f>IFERROR(__xludf.DUMMYFUNCTION("""COMPUTED_VALUE"""),"no")</f>
        <v>no</v>
      </c>
      <c r="X19" s="3"/>
      <c r="Y19" s="3"/>
      <c r="Z19" s="3"/>
      <c r="AA19" s="3"/>
      <c r="AB19" s="3"/>
      <c r="AC19" s="3" t="str">
        <f>IFERROR(__xludf.DUMMYFUNCTION("""COMPUTED_VALUE"""),"no")</f>
        <v>no</v>
      </c>
      <c r="AD19" s="3" t="str">
        <f>IFERROR(__xludf.DUMMYFUNCTION("""COMPUTED_VALUE"""),"no")</f>
        <v>no</v>
      </c>
      <c r="AE19" s="3"/>
      <c r="AF19" s="3" t="str">
        <f>IFERROR(__xludf.DUMMYFUNCTION("""COMPUTED_VALUE"""),"no")</f>
        <v>no</v>
      </c>
      <c r="AG19" s="3" t="str">
        <f>IFERROR(__xludf.DUMMYFUNCTION("""COMPUTED_VALUE"""),"MiDiarioDeTDAH,TDAHdelAdulto,TDAH,HablemosDelTDAH,Neurodiversidad,Neurodivergencia,Neurodesarrollo,NeurodesarrolloyConducta,HablemosDeSaludMental")</f>
        <v>MiDiarioDeTDAH,TDAHdelAdulto,TDAH,HablemosDelTDAH,Neurodiversidad,Neurodivergencia,Neurodesarrollo,NeurodesarrolloyConducta,HablemosDeSaludMental</v>
      </c>
    </row>
    <row r="20" hidden="1">
      <c r="A20" s="3" t="str">
        <f>IFERROR(__xludf.DUMMYFUNCTION("""COMPUTED_VALUE"""),"1972470455379349666")</f>
        <v>1972470455379349666</v>
      </c>
      <c r="B20" s="3" t="str">
        <f>IFERROR(__xludf.DUMMYFUNCTION("""COMPUTED_VALUE"""),"1972470455379349666")</f>
        <v>1972470455379349666</v>
      </c>
      <c r="C20" s="10">
        <f>IFERROR(__xludf.DUMMYFUNCTION("""COMPUTED_VALUE"""),45929.05297453704)</f>
        <v>45929.05297</v>
      </c>
      <c r="D20" s="3">
        <f>IFERROR(__xludf.DUMMYFUNCTION("""COMPUTED_VALUE"""),1.759108577E9)</f>
        <v>1759108577</v>
      </c>
      <c r="E20" s="11" t="str">
        <f>IFERROR(__xludf.DUMMYFUNCTION("""COMPUTED_VALUE"""),"https://x.com/MauricioLeija/status/1972470455379349666")</f>
        <v>https://x.com/MauricioLeija/status/1972470455379349666</v>
      </c>
      <c r="F20" s="3" t="str">
        <f>IFERROR(__xludf.DUMMYFUNCTION("""COMPUTED_VALUE"""),"No es que no tengas la capacidad para encontrar el amor de tu vida, solamente es que eres despistado. Reflexiones sobre el TDAH del adulto. Conversación con Neuropsicóloga Gina Fonseca para #MiDiarioDeTDAH
#TDAHdelAdulto #TDAH #HablemosDelTDAH #Neurodive"&amp;"rsidad #Neurodivergencia https://t.co/quQpiUu2pA")</f>
        <v>No es que no tengas la capacidad para encontrar el amor de tu vida, solamente es que eres despistado. Reflexiones sobre el TDAH del adulto. Conversación con Neuropsicóloga Gina Fonseca para #MiDiarioDeTDAH
#TDAHdelAdulto #TDAH #HablemosDelTDAH #Neurodiversidad #Neurodivergencia https://t.co/quQpiUu2pA</v>
      </c>
      <c r="G20" s="3" t="str">
        <f>IFERROR(__xludf.DUMMYFUNCTION("""COMPUTED_VALUE"""),"MauricioLeija")</f>
        <v>MauricioLeija</v>
      </c>
      <c r="H20" s="3" t="str">
        <f>IFERROR(__xludf.DUMMYFUNCTION("""COMPUTED_VALUE"""),"Dr. Mauricio Leija")</f>
        <v>Dr. Mauricio Leija</v>
      </c>
      <c r="I20" s="3">
        <f>IFERROR(__xludf.DUMMYFUNCTION("""COMPUTED_VALUE"""),2.825615947E9)</f>
        <v>2825615947</v>
      </c>
      <c r="J20" s="11" t="str">
        <f>IFERROR(__xludf.DUMMYFUNCTION("""COMPUTED_VALUE"""),"https://pbs.twimg.com/profile_images/1988347861507952640/MmBWSSun_normal.jpg")</f>
        <v>https://pbs.twimg.com/profile_images/1988347861507952640/MmBWSSun_normal.jpg</v>
      </c>
      <c r="K20" s="11" t="str">
        <f>IFERROR(__xludf.DUMMYFUNCTION("""COMPUTED_VALUE"""),"https://pbs.twimg.com/profile_banners/2825615947/1674793295")</f>
        <v>https://pbs.twimg.com/profile_banners/2825615947/1674793295</v>
      </c>
      <c r="L20" s="3" t="b">
        <f>IFERROR(__xludf.DUMMYFUNCTION("""COMPUTED_VALUE"""),TRUE)</f>
        <v>1</v>
      </c>
      <c r="M20" s="3" t="str">
        <f>IFERROR(__xludf.DUMMYFUNCTION("""COMPUTED_VALUE"""),"Twitter Web App")</f>
        <v>Twitter Web App</v>
      </c>
      <c r="N20" s="3" t="str">
        <f>IFERROR(__xludf.DUMMYFUNCTION("""COMPUTED_VALUE"""),"es")</f>
        <v>es</v>
      </c>
      <c r="O20" s="3" t="str">
        <f>IFERROR(__xludf.DUMMYFUNCTION("""COMPUTED_VALUE"""),"no")</f>
        <v>no</v>
      </c>
      <c r="P20" s="3">
        <f>IFERROR(__xludf.DUMMYFUNCTION("""COMPUTED_VALUE"""),3.0)</f>
        <v>3</v>
      </c>
      <c r="Q20" s="3">
        <f>IFERROR(__xludf.DUMMYFUNCTION("""COMPUTED_VALUE"""),2.0)</f>
        <v>2</v>
      </c>
      <c r="R20" s="3">
        <f>IFERROR(__xludf.DUMMYFUNCTION("""COMPUTED_VALUE"""),19.0)</f>
        <v>19</v>
      </c>
      <c r="S20" s="3">
        <f>IFERROR(__xludf.DUMMYFUNCTION("""COMPUTED_VALUE"""),0.0)</f>
        <v>0</v>
      </c>
      <c r="T20" s="3">
        <f>IFERROR(__xludf.DUMMYFUNCTION("""COMPUTED_VALUE"""),608.0)</f>
        <v>608</v>
      </c>
      <c r="U20" s="3" t="str">
        <f>IFERROR(__xludf.DUMMYFUNCTION("""COMPUTED_VALUE"""),"no")</f>
        <v>no</v>
      </c>
      <c r="V20" s="3"/>
      <c r="W20" s="3" t="str">
        <f>IFERROR(__xludf.DUMMYFUNCTION("""COMPUTED_VALUE"""),"no")</f>
        <v>no</v>
      </c>
      <c r="X20" s="3"/>
      <c r="Y20" s="3"/>
      <c r="Z20" s="3"/>
      <c r="AA20" s="3"/>
      <c r="AB20" s="3"/>
      <c r="AC20" s="3" t="str">
        <f>IFERROR(__xludf.DUMMYFUNCTION("""COMPUTED_VALUE"""),"no")</f>
        <v>no</v>
      </c>
      <c r="AD20" s="3" t="str">
        <f>IFERROR(__xludf.DUMMYFUNCTION("""COMPUTED_VALUE"""),"no")</f>
        <v>no</v>
      </c>
      <c r="AE20" s="3"/>
      <c r="AF20" s="3" t="str">
        <f>IFERROR(__xludf.DUMMYFUNCTION("""COMPUTED_VALUE"""),"no")</f>
        <v>no</v>
      </c>
      <c r="AG20" s="3" t="str">
        <f>IFERROR(__xludf.DUMMYFUNCTION("""COMPUTED_VALUE"""),"MiDiarioDeTDAH,TDAHdelAdulto,TDAH,HablemosDelTDAH,Neurodiversidad,Neurodivergencia")</f>
        <v>MiDiarioDeTDAH,TDAHdelAdulto,TDAH,HablemosDelTDAH,Neurodiversidad,Neurodivergencia</v>
      </c>
    </row>
    <row r="21" hidden="1">
      <c r="A21" s="3" t="str">
        <f>IFERROR(__xludf.DUMMYFUNCTION("""COMPUTED_VALUE"""),"1971283366839513280")</f>
        <v>1971283366839513280</v>
      </c>
      <c r="B21" s="3" t="str">
        <f>IFERROR(__xludf.DUMMYFUNCTION("""COMPUTED_VALUE"""),"1971283366839513280")</f>
        <v>1971283366839513280</v>
      </c>
      <c r="C21" s="10">
        <f>IFERROR(__xludf.DUMMYFUNCTION("""COMPUTED_VALUE"""),45925.777233796296)</f>
        <v>45925.77723</v>
      </c>
      <c r="D21" s="3">
        <f>IFERROR(__xludf.DUMMYFUNCTION("""COMPUTED_VALUE"""),1.758825553E9)</f>
        <v>1758825553</v>
      </c>
      <c r="E21" s="11" t="str">
        <f>IFERROR(__xludf.DUMMYFUNCTION("""COMPUTED_VALUE"""),"https://x.com/QueerMarx_99/status/1971283366839513280")</f>
        <v>https://x.com/QueerMarx_99/status/1971283366839513280</v>
      </c>
      <c r="F21" s="3" t="str">
        <f>IFERROR(__xludf.DUMMYFUNCTION("""COMPUTED_VALUE"""),"Como puede un supuesto profesional de psicología escribir un artículo, decir ""no puedes ser diagnosticado de autismo o TDAH de adulto porque si lo tienes lo tienes desde niño entonces te tendrían que haber detectado los síntomas desde niño"" y quedarse t"&amp;"an ancho? Dios mío")</f>
        <v>Como puede un supuesto profesional de psicología escribir un artículo, decir "no puedes ser diagnosticado de autismo o TDAH de adulto porque si lo tienes lo tienes desde niño entonces te tendrían que haber detectado los síntomas desde niño" y quedarse tan ancho? Dios mío</v>
      </c>
      <c r="G21" s="3" t="str">
        <f>IFERROR(__xludf.DUMMYFUNCTION("""COMPUTED_VALUE"""),"QueerMarx_99")</f>
        <v>QueerMarx_99</v>
      </c>
      <c r="H21" s="3" t="str">
        <f>IFERROR(__xludf.DUMMYFUNCTION("""COMPUTED_VALUE"""),"亞礼句州 ☭ 🏳️‍🌈🚀")</f>
        <v>亞礼句州 ☭ 🏳️‍🌈🚀</v>
      </c>
      <c r="I21" s="3" t="str">
        <f>IFERROR(__xludf.DUMMYFUNCTION("""COMPUTED_VALUE"""),"1651620461296353280")</f>
        <v>1651620461296353280</v>
      </c>
      <c r="J21" s="11" t="str">
        <f>IFERROR(__xludf.DUMMYFUNCTION("""COMPUTED_VALUE"""),"https://pbs.twimg.com/profile_images/1941857553815584768/bG-scmHU_normal.jpg")</f>
        <v>https://pbs.twimg.com/profile_images/1941857553815584768/bG-scmHU_normal.jpg</v>
      </c>
      <c r="K21" s="11" t="str">
        <f>IFERROR(__xludf.DUMMYFUNCTION("""COMPUTED_VALUE"""),"https://pbs.twimg.com/profile_banners/1651620461296353280/1682615786")</f>
        <v>https://pbs.twimg.com/profile_banners/1651620461296353280/1682615786</v>
      </c>
      <c r="L21" s="3" t="b">
        <f>IFERROR(__xludf.DUMMYFUNCTION("""COMPUTED_VALUE"""),FALSE)</f>
        <v>0</v>
      </c>
      <c r="M21" s="3" t="str">
        <f>IFERROR(__xludf.DUMMYFUNCTION("""COMPUTED_VALUE"""),"Twitter Web App")</f>
        <v>Twitter Web App</v>
      </c>
      <c r="N21" s="3" t="str">
        <f>IFERROR(__xludf.DUMMYFUNCTION("""COMPUTED_VALUE"""),"es")</f>
        <v>es</v>
      </c>
      <c r="O21" s="3" t="str">
        <f>IFERROR(__xludf.DUMMYFUNCTION("""COMPUTED_VALUE"""),"no")</f>
        <v>no</v>
      </c>
      <c r="P21" s="3">
        <f>IFERROR(__xludf.DUMMYFUNCTION("""COMPUTED_VALUE"""),1.0)</f>
        <v>1</v>
      </c>
      <c r="Q21" s="3">
        <f>IFERROR(__xludf.DUMMYFUNCTION("""COMPUTED_VALUE"""),0.0)</f>
        <v>0</v>
      </c>
      <c r="R21" s="3">
        <f>IFERROR(__xludf.DUMMYFUNCTION("""COMPUTED_VALUE"""),30.0)</f>
        <v>30</v>
      </c>
      <c r="S21" s="3">
        <f>IFERROR(__xludf.DUMMYFUNCTION("""COMPUTED_VALUE"""),1.0)</f>
        <v>1</v>
      </c>
      <c r="T21" s="3">
        <f>IFERROR(__xludf.DUMMYFUNCTION("""COMPUTED_VALUE"""),1130.0)</f>
        <v>1130</v>
      </c>
      <c r="U21" s="3" t="str">
        <f>IFERROR(__xludf.DUMMYFUNCTION("""COMPUTED_VALUE"""),"no")</f>
        <v>no</v>
      </c>
      <c r="V21" s="3"/>
      <c r="W21" s="3" t="str">
        <f>IFERROR(__xludf.DUMMYFUNCTION("""COMPUTED_VALUE"""),"no")</f>
        <v>no</v>
      </c>
      <c r="X21" s="3"/>
      <c r="Y21" s="3"/>
      <c r="Z21" s="3"/>
      <c r="AA21" s="3"/>
      <c r="AB21" s="3"/>
      <c r="AC21" s="3" t="str">
        <f>IFERROR(__xludf.DUMMYFUNCTION("""COMPUTED_VALUE"""),"no")</f>
        <v>no</v>
      </c>
      <c r="AD21" s="3" t="str">
        <f>IFERROR(__xludf.DUMMYFUNCTION("""COMPUTED_VALUE"""),"no")</f>
        <v>no</v>
      </c>
      <c r="AE21" s="3"/>
      <c r="AF21" s="3" t="str">
        <f>IFERROR(__xludf.DUMMYFUNCTION("""COMPUTED_VALUE"""),"no")</f>
        <v>no</v>
      </c>
      <c r="AG21" s="3"/>
    </row>
    <row r="22" hidden="1">
      <c r="A22" s="3" t="str">
        <f>IFERROR(__xludf.DUMMYFUNCTION("""COMPUTED_VALUE"""),"1983221658258420052")</f>
        <v>1983221658258420052</v>
      </c>
      <c r="B22" s="3" t="str">
        <f>IFERROR(__xludf.DUMMYFUNCTION("""COMPUTED_VALUE"""),"1983221658258420052")</f>
        <v>1983221658258420052</v>
      </c>
      <c r="C22" s="10">
        <f>IFERROR(__xludf.DUMMYFUNCTION("""COMPUTED_VALUE"""),45958.72064814815)</f>
        <v>45958.72065</v>
      </c>
      <c r="D22" s="3">
        <f>IFERROR(__xludf.DUMMYFUNCTION("""COMPUTED_VALUE"""),1.761671864E9)</f>
        <v>1761671864</v>
      </c>
      <c r="E22" s="11" t="str">
        <f>IFERROR(__xludf.DUMMYFUNCTION("""COMPUTED_VALUE"""),"https://x.com/MauricioLeija/status/1983221658258420052")</f>
        <v>https://x.com/MauricioLeija/status/1983221658258420052</v>
      </c>
      <c r="F22" s="3" t="str">
        <f>IFERROR(__xludf.DUMMYFUNCTION("""COMPUTED_VALUE"""),"TDAH adulto en México: entre el diagnóstico y la realidad https://t.co/Tidxjbt0mO")</f>
        <v>TDAH adulto en México: entre el diagnóstico y la realidad https://t.co/Tidxjbt0mO</v>
      </c>
      <c r="G22" s="3" t="str">
        <f>IFERROR(__xludf.DUMMYFUNCTION("""COMPUTED_VALUE"""),"MauricioLeija")</f>
        <v>MauricioLeija</v>
      </c>
      <c r="H22" s="3" t="str">
        <f>IFERROR(__xludf.DUMMYFUNCTION("""COMPUTED_VALUE"""),"Dr. Mauricio Leija")</f>
        <v>Dr. Mauricio Leija</v>
      </c>
      <c r="I22" s="3">
        <f>IFERROR(__xludf.DUMMYFUNCTION("""COMPUTED_VALUE"""),2.825615947E9)</f>
        <v>2825615947</v>
      </c>
      <c r="J22" s="11" t="str">
        <f>IFERROR(__xludf.DUMMYFUNCTION("""COMPUTED_VALUE"""),"https://pbs.twimg.com/profile_images/1988347861507952640/MmBWSSun_normal.jpg")</f>
        <v>https://pbs.twimg.com/profile_images/1988347861507952640/MmBWSSun_normal.jpg</v>
      </c>
      <c r="K22" s="11" t="str">
        <f>IFERROR(__xludf.DUMMYFUNCTION("""COMPUTED_VALUE"""),"https://pbs.twimg.com/profile_banners/2825615947/1674793295")</f>
        <v>https://pbs.twimg.com/profile_banners/2825615947/1674793295</v>
      </c>
      <c r="L22" s="3" t="b">
        <f>IFERROR(__xludf.DUMMYFUNCTION("""COMPUTED_VALUE"""),TRUE)</f>
        <v>1</v>
      </c>
      <c r="M22" s="3" t="str">
        <f>IFERROR(__xludf.DUMMYFUNCTION("""COMPUTED_VALUE"""),"erased8036141_052BSwz4Zo")</f>
        <v>erased8036141_052BSwz4Zo</v>
      </c>
      <c r="N22" s="3" t="str">
        <f>IFERROR(__xludf.DUMMYFUNCTION("""COMPUTED_VALUE"""),"es")</f>
        <v>es</v>
      </c>
      <c r="O22" s="3" t="str">
        <f>IFERROR(__xludf.DUMMYFUNCTION("""COMPUTED_VALUE"""),"no")</f>
        <v>no</v>
      </c>
      <c r="P22" s="3">
        <f>IFERROR(__xludf.DUMMYFUNCTION("""COMPUTED_VALUE"""),2.0)</f>
        <v>2</v>
      </c>
      <c r="Q22" s="3">
        <f>IFERROR(__xludf.DUMMYFUNCTION("""COMPUTED_VALUE"""),0.0)</f>
        <v>0</v>
      </c>
      <c r="R22" s="3">
        <f>IFERROR(__xludf.DUMMYFUNCTION("""COMPUTED_VALUE"""),14.0)</f>
        <v>14</v>
      </c>
      <c r="S22" s="3">
        <f>IFERROR(__xludf.DUMMYFUNCTION("""COMPUTED_VALUE"""),1.0)</f>
        <v>1</v>
      </c>
      <c r="T22" s="3">
        <f>IFERROR(__xludf.DUMMYFUNCTION("""COMPUTED_VALUE"""),401.0)</f>
        <v>401</v>
      </c>
      <c r="U22" s="3" t="str">
        <f>IFERROR(__xludf.DUMMYFUNCTION("""COMPUTED_VALUE"""),"no")</f>
        <v>no</v>
      </c>
      <c r="V22" s="3"/>
      <c r="W22" s="3" t="str">
        <f>IFERROR(__xludf.DUMMYFUNCTION("""COMPUTED_VALUE"""),"no")</f>
        <v>no</v>
      </c>
      <c r="X22" s="3"/>
      <c r="Y22" s="3"/>
      <c r="Z22" s="3"/>
      <c r="AA22" s="3"/>
      <c r="AB22" s="3"/>
      <c r="AC22" s="3" t="str">
        <f>IFERROR(__xludf.DUMMYFUNCTION("""COMPUTED_VALUE"""),"no")</f>
        <v>no</v>
      </c>
      <c r="AD22" s="3" t="str">
        <f>IFERROR(__xludf.DUMMYFUNCTION("""COMPUTED_VALUE"""),"no")</f>
        <v>no</v>
      </c>
      <c r="AE22" s="3"/>
      <c r="AF22" s="3" t="str">
        <f>IFERROR(__xludf.DUMMYFUNCTION("""COMPUTED_VALUE"""),"no")</f>
        <v>no</v>
      </c>
      <c r="AG22" s="3"/>
    </row>
    <row r="23" hidden="1">
      <c r="A23" s="3" t="str">
        <f>IFERROR(__xludf.DUMMYFUNCTION("""COMPUTED_VALUE"""),"1961643249480683708")</f>
        <v>1961643249480683708</v>
      </c>
      <c r="B23" s="3" t="str">
        <f>IFERROR(__xludf.DUMMYFUNCTION("""COMPUTED_VALUE"""),"1961643249480683708")</f>
        <v>1961643249480683708</v>
      </c>
      <c r="C23" s="10">
        <f>IFERROR(__xludf.DUMMYFUNCTION("""COMPUTED_VALUE"""),45899.175578703704)</f>
        <v>45899.17558</v>
      </c>
      <c r="D23" s="3">
        <f>IFERROR(__xludf.DUMMYFUNCTION("""COMPUTED_VALUE"""),1.75652717E9)</f>
        <v>1756527170</v>
      </c>
      <c r="E23" s="11" t="str">
        <f>IFERROR(__xludf.DUMMYFUNCTION("""COMPUTED_VALUE"""),"https://x.com/landysJairPsic/status/1961643249480683708")</f>
        <v>https://x.com/landysJairPsic/status/1961643249480683708</v>
      </c>
      <c r="F23" s="3" t="str">
        <f>IFERROR(__xludf.DUMMYFUNCTION("""COMPUTED_VALUE"""),"En este clip, exploramos uno de los síntomas del TDAH en adultos: la dificultad para dejar atrás pensamientos negativos del pasado. ESTE CLIP ES PARTE DE LOS LIVES QUE HACEMOS TODOS LOS DIAS SOBRE TDAH ADULTO EN TIKTOK Y YOUTUBE #tdah #tdahadulto https://"&amp;"t.co/KRiuPE8aBU")</f>
        <v>En este clip, exploramos uno de los síntomas del TDAH en adultos: la dificultad para dejar atrás pensamientos negativos del pasado. ESTE CLIP ES PARTE DE LOS LIVES QUE HACEMOS TODOS LOS DIAS SOBRE TDAH ADULTO EN TIKTOK Y YOUTUBE #tdah #tdahadulto https://t.co/KRiuPE8aBU</v>
      </c>
      <c r="G23" s="3" t="str">
        <f>IFERROR(__xludf.DUMMYFUNCTION("""COMPUTED_VALUE"""),"landysJairPsic")</f>
        <v>landysJairPsic</v>
      </c>
      <c r="H23" s="3" t="str">
        <f>IFERROR(__xludf.DUMMYFUNCTION("""COMPUTED_VALUE"""),"Landys Jair - Psicólogo")</f>
        <v>Landys Jair - Psicólogo</v>
      </c>
      <c r="I23" s="3" t="str">
        <f>IFERROR(__xludf.DUMMYFUNCTION("""COMPUTED_VALUE"""),"1745094200318685184")</f>
        <v>1745094200318685184</v>
      </c>
      <c r="J23" s="11" t="str">
        <f>IFERROR(__xludf.DUMMYFUNCTION("""COMPUTED_VALUE"""),"https://pbs.twimg.com/profile_images/1745094281449103360/Len2zkMK_normal.jpg")</f>
        <v>https://pbs.twimg.com/profile_images/1745094281449103360/Len2zkMK_normal.jpg</v>
      </c>
      <c r="K23" s="3"/>
      <c r="L23" s="3" t="b">
        <f>IFERROR(__xludf.DUMMYFUNCTION("""COMPUTED_VALUE"""),FALSE)</f>
        <v>0</v>
      </c>
      <c r="M23" s="3" t="str">
        <f>IFERROR(__xludf.DUMMYFUNCTION("""COMPUTED_VALUE"""),"Repurpose io")</f>
        <v>Repurpose io</v>
      </c>
      <c r="N23" s="3" t="str">
        <f>IFERROR(__xludf.DUMMYFUNCTION("""COMPUTED_VALUE"""),"es")</f>
        <v>es</v>
      </c>
      <c r="O23" s="3" t="str">
        <f>IFERROR(__xludf.DUMMYFUNCTION("""COMPUTED_VALUE"""),"no")</f>
        <v>no</v>
      </c>
      <c r="P23" s="3">
        <f>IFERROR(__xludf.DUMMYFUNCTION("""COMPUTED_VALUE"""),0.0)</f>
        <v>0</v>
      </c>
      <c r="Q23" s="3">
        <f>IFERROR(__xludf.DUMMYFUNCTION("""COMPUTED_VALUE"""),0.0)</f>
        <v>0</v>
      </c>
      <c r="R23" s="3">
        <f>IFERROR(__xludf.DUMMYFUNCTION("""COMPUTED_VALUE"""),0.0)</f>
        <v>0</v>
      </c>
      <c r="S23" s="3">
        <f>IFERROR(__xludf.DUMMYFUNCTION("""COMPUTED_VALUE"""),0.0)</f>
        <v>0</v>
      </c>
      <c r="T23" s="3">
        <f>IFERROR(__xludf.DUMMYFUNCTION("""COMPUTED_VALUE"""),37.0)</f>
        <v>37</v>
      </c>
      <c r="U23" s="3" t="str">
        <f>IFERROR(__xludf.DUMMYFUNCTION("""COMPUTED_VALUE"""),"no")</f>
        <v>no</v>
      </c>
      <c r="V23" s="3"/>
      <c r="W23" s="3" t="str">
        <f>IFERROR(__xludf.DUMMYFUNCTION("""COMPUTED_VALUE"""),"no")</f>
        <v>no</v>
      </c>
      <c r="X23" s="3"/>
      <c r="Y23" s="3"/>
      <c r="Z23" s="3"/>
      <c r="AA23" s="3"/>
      <c r="AB23" s="3"/>
      <c r="AC23" s="3" t="str">
        <f>IFERROR(__xludf.DUMMYFUNCTION("""COMPUTED_VALUE"""),"no")</f>
        <v>no</v>
      </c>
      <c r="AD23" s="3" t="str">
        <f>IFERROR(__xludf.DUMMYFUNCTION("""COMPUTED_VALUE"""),"no")</f>
        <v>no</v>
      </c>
      <c r="AE23" s="3"/>
      <c r="AF23" s="3" t="str">
        <f>IFERROR(__xludf.DUMMYFUNCTION("""COMPUTED_VALUE"""),"no")</f>
        <v>no</v>
      </c>
      <c r="AG23" s="3" t="str">
        <f>IFERROR(__xludf.DUMMYFUNCTION("""COMPUTED_VALUE"""),"tdah,tdahadulto")</f>
        <v>tdah,tdahadulto</v>
      </c>
    </row>
    <row r="24" hidden="1">
      <c r="A24" s="3" t="str">
        <f>IFERROR(__xludf.DUMMYFUNCTION("""COMPUTED_VALUE"""),"1943351954383524254")</f>
        <v>1943351954383524254</v>
      </c>
      <c r="B24" s="3" t="str">
        <f>IFERROR(__xludf.DUMMYFUNCTION("""COMPUTED_VALUE"""),"1943351954383524254")</f>
        <v>1943351954383524254</v>
      </c>
      <c r="C24" s="10">
        <f>IFERROR(__xludf.DUMMYFUNCTION("""COMPUTED_VALUE"""),45848.70122685185)</f>
        <v>45848.70123</v>
      </c>
      <c r="D24" s="3">
        <f>IFERROR(__xludf.DUMMYFUNCTION("""COMPUTED_VALUE"""),1.752166186E9)</f>
        <v>1752166186</v>
      </c>
      <c r="E24" s="11" t="str">
        <f>IFERROR(__xludf.DUMMYFUNCTION("""COMPUTED_VALUE"""),"https://x.com/MauricioLeija/status/1943351954383524254")</f>
        <v>https://x.com/MauricioLeija/status/1943351954383524254</v>
      </c>
      <c r="F24" s="3" t="str">
        <f>IFERROR(__xludf.DUMMYFUNCTION("""COMPUTED_VALUE"""),"TDAH del adulto y tabaquismo. Entrevista al Dr. Mario González.
#TDAHdelAdulto #TDAH #HablemosDelTDAH #Neurodiversidad #Neurodivergencia #Neurodesarrollo #NeurodesarrolloyConducta #HablemosDeSaludMental https://t.co/7cza19lPUa")</f>
        <v>TDAH del adulto y tabaquismo. Entrevista al Dr. Mario González.
#TDAHdelAdulto #TDAH #HablemosDelTDAH #Neurodiversidad #Neurodivergencia #Neurodesarrollo #NeurodesarrolloyConducta #HablemosDeSaludMental https://t.co/7cza19lPUa</v>
      </c>
      <c r="G24" s="3" t="str">
        <f>IFERROR(__xludf.DUMMYFUNCTION("""COMPUTED_VALUE"""),"MauricioLeija")</f>
        <v>MauricioLeija</v>
      </c>
      <c r="H24" s="3" t="str">
        <f>IFERROR(__xludf.DUMMYFUNCTION("""COMPUTED_VALUE"""),"Dr. Mauricio Leija")</f>
        <v>Dr. Mauricio Leija</v>
      </c>
      <c r="I24" s="3">
        <f>IFERROR(__xludf.DUMMYFUNCTION("""COMPUTED_VALUE"""),2.825615947E9)</f>
        <v>2825615947</v>
      </c>
      <c r="J24" s="11" t="str">
        <f>IFERROR(__xludf.DUMMYFUNCTION("""COMPUTED_VALUE"""),"https://pbs.twimg.com/profile_images/1988347861507952640/MmBWSSun_normal.jpg")</f>
        <v>https://pbs.twimg.com/profile_images/1988347861507952640/MmBWSSun_normal.jpg</v>
      </c>
      <c r="K24" s="11" t="str">
        <f>IFERROR(__xludf.DUMMYFUNCTION("""COMPUTED_VALUE"""),"https://pbs.twimg.com/profile_banners/2825615947/1674793295")</f>
        <v>https://pbs.twimg.com/profile_banners/2825615947/1674793295</v>
      </c>
      <c r="L24" s="3" t="b">
        <f>IFERROR(__xludf.DUMMYFUNCTION("""COMPUTED_VALUE"""),TRUE)</f>
        <v>1</v>
      </c>
      <c r="M24" s="3" t="str">
        <f>IFERROR(__xludf.DUMMYFUNCTION("""COMPUTED_VALUE"""),"Twitter Web App")</f>
        <v>Twitter Web App</v>
      </c>
      <c r="N24" s="3" t="str">
        <f>IFERROR(__xludf.DUMMYFUNCTION("""COMPUTED_VALUE"""),"es")</f>
        <v>es</v>
      </c>
      <c r="O24" s="3" t="str">
        <f>IFERROR(__xludf.DUMMYFUNCTION("""COMPUTED_VALUE"""),"no")</f>
        <v>no</v>
      </c>
      <c r="P24" s="3">
        <f>IFERROR(__xludf.DUMMYFUNCTION("""COMPUTED_VALUE"""),0.0)</f>
        <v>0</v>
      </c>
      <c r="Q24" s="3">
        <f>IFERROR(__xludf.DUMMYFUNCTION("""COMPUTED_VALUE"""),1.0)</f>
        <v>1</v>
      </c>
      <c r="R24" s="3">
        <f>IFERROR(__xludf.DUMMYFUNCTION("""COMPUTED_VALUE"""),3.0)</f>
        <v>3</v>
      </c>
      <c r="S24" s="3">
        <f>IFERROR(__xludf.DUMMYFUNCTION("""COMPUTED_VALUE"""),0.0)</f>
        <v>0</v>
      </c>
      <c r="T24" s="3">
        <f>IFERROR(__xludf.DUMMYFUNCTION("""COMPUTED_VALUE"""),153.0)</f>
        <v>153</v>
      </c>
      <c r="U24" s="3" t="str">
        <f>IFERROR(__xludf.DUMMYFUNCTION("""COMPUTED_VALUE"""),"no")</f>
        <v>no</v>
      </c>
      <c r="V24" s="3"/>
      <c r="W24" s="3" t="str">
        <f>IFERROR(__xludf.DUMMYFUNCTION("""COMPUTED_VALUE"""),"no")</f>
        <v>no</v>
      </c>
      <c r="X24" s="3"/>
      <c r="Y24" s="3"/>
      <c r="Z24" s="3"/>
      <c r="AA24" s="3"/>
      <c r="AB24" s="3"/>
      <c r="AC24" s="3" t="str">
        <f>IFERROR(__xludf.DUMMYFUNCTION("""COMPUTED_VALUE"""),"no")</f>
        <v>no</v>
      </c>
      <c r="AD24" s="3" t="str">
        <f>IFERROR(__xludf.DUMMYFUNCTION("""COMPUTED_VALUE"""),"no")</f>
        <v>no</v>
      </c>
      <c r="AE24" s="3"/>
      <c r="AF24" s="3" t="str">
        <f>IFERROR(__xludf.DUMMYFUNCTION("""COMPUTED_VALUE"""),"no")</f>
        <v>no</v>
      </c>
      <c r="AG24"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25">
      <c r="A25" s="3" t="str">
        <f>IFERROR(__xludf.DUMMYFUNCTION("""COMPUTED_VALUE"""),"1961474686472143219")</f>
        <v>1961474686472143219</v>
      </c>
      <c r="B25" s="3" t="str">
        <f>IFERROR(__xludf.DUMMYFUNCTION("""COMPUTED_VALUE"""),"1961474686472143219")</f>
        <v>1961474686472143219</v>
      </c>
      <c r="C25" s="10">
        <f>IFERROR(__xludf.DUMMYFUNCTION("""COMPUTED_VALUE"""),45898.710439814815)</f>
        <v>45898.71044</v>
      </c>
      <c r="D25" s="3">
        <f>IFERROR(__xludf.DUMMYFUNCTION("""COMPUTED_VALUE"""),1.756486982E9)</f>
        <v>1756486982</v>
      </c>
      <c r="E25" s="11" t="str">
        <f>IFERROR(__xludf.DUMMYFUNCTION("""COMPUTED_VALUE"""),"https://x.com/updatebangtan_/status/1961474686472143219")</f>
        <v>https://x.com/updatebangtan_/status/1961474686472143219</v>
      </c>
      <c r="F25" s="3" t="str">
        <f>IFERROR(__xludf.DUMMYFUNCTION("""COMPUTED_VALUE"""),"👤: “não se mova quando estiver sentado”
JK: Eu continuo me movendo?
JK: mas, não consigo evitar. Eu meio que...
JK: é como TDAH adulto
JK: Eu tenho, eu continuo me movendo assim.
🐯 @BTS_twt
https://t.co/Ioaq9YfyNB")</f>
        <v>👤: “não se mova quando estiver sentado”
JK: Eu continuo me movendo?
JK: mas, não consigo evitar. Eu meio que...
JK: é como TDAH adulto
JK: Eu tenho, eu continuo me movendo assim.
🐯 @BTS_twt
https://t.co/Ioaq9YfyNB</v>
      </c>
      <c r="G25" s="3" t="str">
        <f>IFERROR(__xludf.DUMMYFUNCTION("""COMPUTED_VALUE"""),"updatebangtan_")</f>
        <v>updatebangtan_</v>
      </c>
      <c r="H25" s="3" t="str">
        <f>IFERROR(__xludf.DUMMYFUNCTION("""COMPUTED_VALUE"""),"Update Bangtan⁷ (HIATUS)")</f>
        <v>Update Bangtan⁷ (HIATUS)</v>
      </c>
      <c r="I25" s="3" t="str">
        <f>IFERROR(__xludf.DUMMYFUNCTION("""COMPUTED_VALUE"""),"1251399343778811904")</f>
        <v>1251399343778811904</v>
      </c>
      <c r="J25" s="11" t="str">
        <f>IFERROR(__xludf.DUMMYFUNCTION("""COMPUTED_VALUE"""),"https://pbs.twimg.com/profile_images/1935226338291367936/1hO8E1MZ_normal.jpg")</f>
        <v>https://pbs.twimg.com/profile_images/1935226338291367936/1hO8E1MZ_normal.jpg</v>
      </c>
      <c r="K25" s="11" t="str">
        <f>IFERROR(__xludf.DUMMYFUNCTION("""COMPUTED_VALUE"""),"https://pbs.twimg.com/profile_banners/1251399343778811904/1750228887")</f>
        <v>https://pbs.twimg.com/profile_banners/1251399343778811904/1750228887</v>
      </c>
      <c r="L25" s="3" t="b">
        <f>IFERROR(__xludf.DUMMYFUNCTION("""COMPUTED_VALUE"""),FALSE)</f>
        <v>0</v>
      </c>
      <c r="M25" s="3" t="str">
        <f>IFERROR(__xludf.DUMMYFUNCTION("""COMPUTED_VALUE"""),"Twitter for Android")</f>
        <v>Twitter for Android</v>
      </c>
      <c r="N25" s="3" t="str">
        <f>IFERROR(__xludf.DUMMYFUNCTION("""COMPUTED_VALUE"""),"pt")</f>
        <v>pt</v>
      </c>
      <c r="O25" s="3" t="str">
        <f>IFERROR(__xludf.DUMMYFUNCTION("""COMPUTED_VALUE"""),"no")</f>
        <v>no</v>
      </c>
      <c r="P25" s="3">
        <f>IFERROR(__xludf.DUMMYFUNCTION("""COMPUTED_VALUE"""),12.0)</f>
        <v>12</v>
      </c>
      <c r="Q25" s="3">
        <f>IFERROR(__xludf.DUMMYFUNCTION("""COMPUTED_VALUE"""),0.0)</f>
        <v>0</v>
      </c>
      <c r="R25" s="3">
        <f>IFERROR(__xludf.DUMMYFUNCTION("""COMPUTED_VALUE"""),24.0)</f>
        <v>24</v>
      </c>
      <c r="S25" s="3">
        <f>IFERROR(__xludf.DUMMYFUNCTION("""COMPUTED_VALUE"""),0.0)</f>
        <v>0</v>
      </c>
      <c r="T25" s="3">
        <f>IFERROR(__xludf.DUMMYFUNCTION("""COMPUTED_VALUE"""),465.0)</f>
        <v>465</v>
      </c>
      <c r="U25" s="3" t="str">
        <f>IFERROR(__xludf.DUMMYFUNCTION("""COMPUTED_VALUE"""),"no")</f>
        <v>no</v>
      </c>
      <c r="V25" s="3"/>
      <c r="W25" s="3" t="str">
        <f>IFERROR(__xludf.DUMMYFUNCTION("""COMPUTED_VALUE"""),"no")</f>
        <v>no</v>
      </c>
      <c r="X25" s="3"/>
      <c r="Y25" s="3"/>
      <c r="Z25" s="3"/>
      <c r="AA25" s="3"/>
      <c r="AB25" s="3"/>
      <c r="AC25" s="3" t="str">
        <f>IFERROR(__xludf.DUMMYFUNCTION("""COMPUTED_VALUE"""),"no")</f>
        <v>no</v>
      </c>
      <c r="AD25" s="3" t="str">
        <f>IFERROR(__xludf.DUMMYFUNCTION("""COMPUTED_VALUE"""),"no")</f>
        <v>no</v>
      </c>
      <c r="AE25" s="3"/>
      <c r="AF25" s="3" t="str">
        <f>IFERROR(__xludf.DUMMYFUNCTION("""COMPUTED_VALUE"""),"no")</f>
        <v>no</v>
      </c>
      <c r="AG25" s="3"/>
    </row>
    <row r="26" hidden="1">
      <c r="A26" s="3" t="str">
        <f>IFERROR(__xludf.DUMMYFUNCTION("""COMPUTED_VALUE"""),"1982000175573770397")</f>
        <v>1982000175573770397</v>
      </c>
      <c r="B26" s="3" t="str">
        <f>IFERROR(__xludf.DUMMYFUNCTION("""COMPUTED_VALUE"""),"1982000175573770397")</f>
        <v>1982000175573770397</v>
      </c>
      <c r="C26" s="10">
        <f>IFERROR(__xludf.DUMMYFUNCTION("""COMPUTED_VALUE"""),45955.35)</f>
        <v>45955.35</v>
      </c>
      <c r="D26" s="3">
        <f>IFERROR(__xludf.DUMMYFUNCTION("""COMPUTED_VALUE"""),1.76138064E9)</f>
        <v>1761380640</v>
      </c>
      <c r="E26" s="11" t="str">
        <f>IFERROR(__xludf.DUMMYFUNCTION("""COMPUTED_VALUE"""),"https://x.com/nuevatribuna/status/1982000175573770397")</f>
        <v>https://x.com/nuevatribuna/status/1982000175573770397</v>
      </c>
      <c r="F26" s="3" t="str">
        <f>IFERROR(__xludf.DUMMYFUNCTION("""COMPUTED_VALUE"""),"📚 TDAH en el adulto
Mónica Grau Setó | @monmislilith 🖊️
https://t.co/OsGUhb5oCf a través de @nuevatribuna https://t.co/7bfctqvqy6")</f>
        <v>📚 TDAH en el adulto
Mónica Grau Setó | @monmislilith 🖊️
https://t.co/OsGUhb5oCf a través de @nuevatribuna https://t.co/7bfctqvqy6</v>
      </c>
      <c r="G26" s="3" t="str">
        <f>IFERROR(__xludf.DUMMYFUNCTION("""COMPUTED_VALUE"""),"nuevatribuna")</f>
        <v>nuevatribuna</v>
      </c>
      <c r="H26" s="3" t="str">
        <f>IFERROR(__xludf.DUMMYFUNCTION("""COMPUTED_VALUE"""),"nuevatribuna.es #Igualdad")</f>
        <v>nuevatribuna.es #Igualdad</v>
      </c>
      <c r="I26" s="3">
        <f>IFERROR(__xludf.DUMMYFUNCTION("""COMPUTED_VALUE"""),1.8556155E7)</f>
        <v>18556155</v>
      </c>
      <c r="J26" s="11" t="str">
        <f>IFERROR(__xludf.DUMMYFUNCTION("""COMPUTED_VALUE"""),"https://pbs.twimg.com/profile_images/1573013094892175360/wfMGmG5B_normal.jpg")</f>
        <v>https://pbs.twimg.com/profile_images/1573013094892175360/wfMGmG5B_normal.jpg</v>
      </c>
      <c r="K26" s="11" t="str">
        <f>IFERROR(__xludf.DUMMYFUNCTION("""COMPUTED_VALUE"""),"https://pbs.twimg.com/profile_banners/18556155/1663870522")</f>
        <v>https://pbs.twimg.com/profile_banners/18556155/1663870522</v>
      </c>
      <c r="L26" s="3" t="b">
        <f>IFERROR(__xludf.DUMMYFUNCTION("""COMPUTED_VALUE"""),FALSE)</f>
        <v>0</v>
      </c>
      <c r="M26" s="3" t="str">
        <f>IFERROR(__xludf.DUMMYFUNCTION("""COMPUTED_VALUE"""),"Twitter Ads")</f>
        <v>Twitter Ads</v>
      </c>
      <c r="N26" s="3" t="str">
        <f>IFERROR(__xludf.DUMMYFUNCTION("""COMPUTED_VALUE"""),"ca")</f>
        <v>ca</v>
      </c>
      <c r="O26" s="3" t="str">
        <f>IFERROR(__xludf.DUMMYFUNCTION("""COMPUTED_VALUE"""),"no")</f>
        <v>no</v>
      </c>
      <c r="P26" s="3">
        <f>IFERROR(__xludf.DUMMYFUNCTION("""COMPUTED_VALUE"""),0.0)</f>
        <v>0</v>
      </c>
      <c r="Q26" s="3">
        <f>IFERROR(__xludf.DUMMYFUNCTION("""COMPUTED_VALUE"""),0.0)</f>
        <v>0</v>
      </c>
      <c r="R26" s="3">
        <f>IFERROR(__xludf.DUMMYFUNCTION("""COMPUTED_VALUE"""),1.0)</f>
        <v>1</v>
      </c>
      <c r="S26" s="3">
        <f>IFERROR(__xludf.DUMMYFUNCTION("""COMPUTED_VALUE"""),0.0)</f>
        <v>0</v>
      </c>
      <c r="T26" s="3">
        <f>IFERROR(__xludf.DUMMYFUNCTION("""COMPUTED_VALUE"""),117.0)</f>
        <v>117</v>
      </c>
      <c r="U26" s="3" t="str">
        <f>IFERROR(__xludf.DUMMYFUNCTION("""COMPUTED_VALUE"""),"no")</f>
        <v>no</v>
      </c>
      <c r="V26" s="3"/>
      <c r="W26" s="3" t="str">
        <f>IFERROR(__xludf.DUMMYFUNCTION("""COMPUTED_VALUE"""),"no")</f>
        <v>no</v>
      </c>
      <c r="X26" s="3"/>
      <c r="Y26" s="3"/>
      <c r="Z26" s="3"/>
      <c r="AA26" s="3"/>
      <c r="AB26" s="3"/>
      <c r="AC26" s="3" t="str">
        <f>IFERROR(__xludf.DUMMYFUNCTION("""COMPUTED_VALUE"""),"no")</f>
        <v>no</v>
      </c>
      <c r="AD26" s="3" t="str">
        <f>IFERROR(__xludf.DUMMYFUNCTION("""COMPUTED_VALUE"""),"no")</f>
        <v>no</v>
      </c>
      <c r="AE26" s="3"/>
      <c r="AF26" s="3" t="str">
        <f>IFERROR(__xludf.DUMMYFUNCTION("""COMPUTED_VALUE"""),"no")</f>
        <v>no</v>
      </c>
      <c r="AG26" s="3"/>
    </row>
    <row r="27" hidden="1">
      <c r="A27" s="3" t="str">
        <f>IFERROR(__xludf.DUMMYFUNCTION("""COMPUTED_VALUE"""),"1933605162108825963")</f>
        <v>1933605162108825963</v>
      </c>
      <c r="B27" s="3" t="str">
        <f>IFERROR(__xludf.DUMMYFUNCTION("""COMPUTED_VALUE"""),"1933605162108825963")</f>
        <v>1933605162108825963</v>
      </c>
      <c r="C27" s="10">
        <f>IFERROR(__xludf.DUMMYFUNCTION("""COMPUTED_VALUE"""),45821.80519675926)</f>
        <v>45821.8052</v>
      </c>
      <c r="D27" s="3">
        <f>IFERROR(__xludf.DUMMYFUNCTION("""COMPUTED_VALUE"""),1.749842369E9)</f>
        <v>1749842369</v>
      </c>
      <c r="E27" s="11" t="str">
        <f>IFERROR(__xludf.DUMMYFUNCTION("""COMPUTED_VALUE"""),"https://x.com/MauricioLeija/status/1933605162108825963")</f>
        <v>https://x.com/MauricioLeija/status/1933605162108825963</v>
      </c>
      <c r="F27" s="3" t="str">
        <f>IFERROR(__xludf.DUMMYFUNCTION("""COMPUTED_VALUE"""),"TDAH del adulto: ¿por qué cada caso es único? https://t.co/PRaRtL0j6p")</f>
        <v>TDAH del adulto: ¿por qué cada caso es único? https://t.co/PRaRtL0j6p</v>
      </c>
      <c r="G27" s="3" t="str">
        <f>IFERROR(__xludf.DUMMYFUNCTION("""COMPUTED_VALUE"""),"MauricioLeija")</f>
        <v>MauricioLeija</v>
      </c>
      <c r="H27" s="3" t="str">
        <f>IFERROR(__xludf.DUMMYFUNCTION("""COMPUTED_VALUE"""),"Dr. Mauricio Leija")</f>
        <v>Dr. Mauricio Leija</v>
      </c>
      <c r="I27" s="3">
        <f>IFERROR(__xludf.DUMMYFUNCTION("""COMPUTED_VALUE"""),2.825615947E9)</f>
        <v>2825615947</v>
      </c>
      <c r="J27" s="11" t="str">
        <f>IFERROR(__xludf.DUMMYFUNCTION("""COMPUTED_VALUE"""),"https://pbs.twimg.com/profile_images/1988347861507952640/MmBWSSun_normal.jpg")</f>
        <v>https://pbs.twimg.com/profile_images/1988347861507952640/MmBWSSun_normal.jpg</v>
      </c>
      <c r="K27" s="11" t="str">
        <f>IFERROR(__xludf.DUMMYFUNCTION("""COMPUTED_VALUE"""),"https://pbs.twimg.com/profile_banners/2825615947/1674793295")</f>
        <v>https://pbs.twimg.com/profile_banners/2825615947/1674793295</v>
      </c>
      <c r="L27" s="3" t="b">
        <f>IFERROR(__xludf.DUMMYFUNCTION("""COMPUTED_VALUE"""),TRUE)</f>
        <v>1</v>
      </c>
      <c r="M27" s="3" t="str">
        <f>IFERROR(__xludf.DUMMYFUNCTION("""COMPUTED_VALUE"""),"erased8036141_052BSwz4Zo")</f>
        <v>erased8036141_052BSwz4Zo</v>
      </c>
      <c r="N27" s="3" t="str">
        <f>IFERROR(__xludf.DUMMYFUNCTION("""COMPUTED_VALUE"""),"es")</f>
        <v>es</v>
      </c>
      <c r="O27" s="3" t="str">
        <f>IFERROR(__xludf.DUMMYFUNCTION("""COMPUTED_VALUE"""),"no")</f>
        <v>no</v>
      </c>
      <c r="P27" s="3">
        <f>IFERROR(__xludf.DUMMYFUNCTION("""COMPUTED_VALUE"""),0.0)</f>
        <v>0</v>
      </c>
      <c r="Q27" s="3">
        <f>IFERROR(__xludf.DUMMYFUNCTION("""COMPUTED_VALUE"""),0.0)</f>
        <v>0</v>
      </c>
      <c r="R27" s="3">
        <f>IFERROR(__xludf.DUMMYFUNCTION("""COMPUTED_VALUE"""),1.0)</f>
        <v>1</v>
      </c>
      <c r="S27" s="3">
        <f>IFERROR(__xludf.DUMMYFUNCTION("""COMPUTED_VALUE"""),0.0)</f>
        <v>0</v>
      </c>
      <c r="T27" s="3">
        <f>IFERROR(__xludf.DUMMYFUNCTION("""COMPUTED_VALUE"""),122.0)</f>
        <v>122</v>
      </c>
      <c r="U27" s="3" t="str">
        <f>IFERROR(__xludf.DUMMYFUNCTION("""COMPUTED_VALUE"""),"no")</f>
        <v>no</v>
      </c>
      <c r="V27" s="3"/>
      <c r="W27" s="3" t="str">
        <f>IFERROR(__xludf.DUMMYFUNCTION("""COMPUTED_VALUE"""),"no")</f>
        <v>no</v>
      </c>
      <c r="X27" s="3"/>
      <c r="Y27" s="3"/>
      <c r="Z27" s="3"/>
      <c r="AA27" s="3"/>
      <c r="AB27" s="3"/>
      <c r="AC27" s="3" t="str">
        <f>IFERROR(__xludf.DUMMYFUNCTION("""COMPUTED_VALUE"""),"no")</f>
        <v>no</v>
      </c>
      <c r="AD27" s="3" t="str">
        <f>IFERROR(__xludf.DUMMYFUNCTION("""COMPUTED_VALUE"""),"no")</f>
        <v>no</v>
      </c>
      <c r="AE27" s="3"/>
      <c r="AF27" s="3" t="str">
        <f>IFERROR(__xludf.DUMMYFUNCTION("""COMPUTED_VALUE"""),"no")</f>
        <v>no</v>
      </c>
      <c r="AG27" s="3"/>
    </row>
    <row r="28" hidden="1">
      <c r="A28" s="3" t="str">
        <f>IFERROR(__xludf.DUMMYFUNCTION("""COMPUTED_VALUE"""),"1917374321967694093")</f>
        <v>1917374321967694093</v>
      </c>
      <c r="B28" s="3" t="str">
        <f>IFERROR(__xludf.DUMMYFUNCTION("""COMPUTED_VALUE"""),"1917374321967694093")</f>
        <v>1917374321967694093</v>
      </c>
      <c r="C28" s="10">
        <f>IFERROR(__xludf.DUMMYFUNCTION("""COMPUTED_VALUE"""),45777.01662037037)</f>
        <v>45777.01662</v>
      </c>
      <c r="D28" s="3">
        <f>IFERROR(__xludf.DUMMYFUNCTION("""COMPUTED_VALUE"""),1.745972636E9)</f>
        <v>1745972636</v>
      </c>
      <c r="E28" s="11" t="str">
        <f>IFERROR(__xludf.DUMMYFUNCTION("""COMPUTED_VALUE"""),"https://x.com/akillj0y/status/1917374321967694093")</f>
        <v>https://x.com/akillj0y/status/1917374321967694093</v>
      </c>
      <c r="F28" s="3" t="str">
        <f>IFERROR(__xludf.DUMMYFUNCTION("""COMPUTED_VALUE"""),"Deberían dejar de justificar todo exceso con el TDAH. Cuando eres adulto, por tu salud mental y por quienes te rodean, con TDAH o sin el, debes aprender a gestionar tus emociones. Punto.
Puedes prestar un libro en la biblioteca, puedes pagar terapia o si"&amp;"mplemente cerrar la boca. https://t.co/Oydr2l835Q")</f>
        <v>Deberían dejar de justificar todo exceso con el TDAH. Cuando eres adulto, por tu salud mental y por quienes te rodean, con TDAH o sin el, debes aprender a gestionar tus emociones. Punto.
Puedes prestar un libro en la biblioteca, puedes pagar terapia o simplemente cerrar la boca. https://t.co/Oydr2l835Q</v>
      </c>
      <c r="G28" s="3" t="str">
        <f>IFERROR(__xludf.DUMMYFUNCTION("""COMPUTED_VALUE"""),"akillj0y")</f>
        <v>akillj0y</v>
      </c>
      <c r="H28" s="3" t="str">
        <f>IFERROR(__xludf.DUMMYFUNCTION("""COMPUTED_VALUE"""),"𝒶 killjoy ྀི 🇳🇴🇦🇽🇸🇪")</f>
        <v>𝒶 killjoy ྀི 🇳🇴🇦🇽🇸🇪</v>
      </c>
      <c r="I28" s="3" t="str">
        <f>IFERROR(__xludf.DUMMYFUNCTION("""COMPUTED_VALUE"""),"1589704718820990976")</f>
        <v>1589704718820990976</v>
      </c>
      <c r="J28" s="11" t="str">
        <f>IFERROR(__xludf.DUMMYFUNCTION("""COMPUTED_VALUE"""),"https://pbs.twimg.com/profile_images/1830855310384287750/HyVGfXiG_normal.jpg")</f>
        <v>https://pbs.twimg.com/profile_images/1830855310384287750/HyVGfXiG_normal.jpg</v>
      </c>
      <c r="K28" s="11" t="str">
        <f>IFERROR(__xludf.DUMMYFUNCTION("""COMPUTED_VALUE"""),"https://pbs.twimg.com/profile_banners/1589704718820990976/1724499995")</f>
        <v>https://pbs.twimg.com/profile_banners/1589704718820990976/1724499995</v>
      </c>
      <c r="L28" s="3" t="b">
        <f>IFERROR(__xludf.DUMMYFUNCTION("""COMPUTED_VALUE"""),FALSE)</f>
        <v>0</v>
      </c>
      <c r="M28" s="3" t="str">
        <f>IFERROR(__xludf.DUMMYFUNCTION("""COMPUTED_VALUE"""),"Twitter for iPhone")</f>
        <v>Twitter for iPhone</v>
      </c>
      <c r="N28" s="3" t="str">
        <f>IFERROR(__xludf.DUMMYFUNCTION("""COMPUTED_VALUE"""),"es")</f>
        <v>es</v>
      </c>
      <c r="O28" s="3" t="str">
        <f>IFERROR(__xludf.DUMMYFUNCTION("""COMPUTED_VALUE"""),"no")</f>
        <v>no</v>
      </c>
      <c r="P28" s="3">
        <f>IFERROR(__xludf.DUMMYFUNCTION("""COMPUTED_VALUE"""),0.0)</f>
        <v>0</v>
      </c>
      <c r="Q28" s="3">
        <f>IFERROR(__xludf.DUMMYFUNCTION("""COMPUTED_VALUE"""),0.0)</f>
        <v>0</v>
      </c>
      <c r="R28" s="3">
        <f>IFERROR(__xludf.DUMMYFUNCTION("""COMPUTED_VALUE"""),1.0)</f>
        <v>1</v>
      </c>
      <c r="S28" s="3">
        <f>IFERROR(__xludf.DUMMYFUNCTION("""COMPUTED_VALUE"""),0.0)</f>
        <v>0</v>
      </c>
      <c r="T28" s="3">
        <f>IFERROR(__xludf.DUMMYFUNCTION("""COMPUTED_VALUE"""),194.0)</f>
        <v>194</v>
      </c>
      <c r="U28" s="3" t="str">
        <f>IFERROR(__xludf.DUMMYFUNCTION("""COMPUTED_VALUE"""),"no")</f>
        <v>no</v>
      </c>
      <c r="V28" s="3"/>
      <c r="W28" s="3" t="str">
        <f>IFERROR(__xludf.DUMMYFUNCTION("""COMPUTED_VALUE"""),"no")</f>
        <v>no</v>
      </c>
      <c r="X28" s="3"/>
      <c r="Y28" s="3"/>
      <c r="Z28" s="3"/>
      <c r="AA28" s="3"/>
      <c r="AB28" s="3"/>
      <c r="AC28" s="3" t="str">
        <f>IFERROR(__xludf.DUMMYFUNCTION("""COMPUTED_VALUE"""),"no")</f>
        <v>no</v>
      </c>
      <c r="AD28" s="3" t="str">
        <f>IFERROR(__xludf.DUMMYFUNCTION("""COMPUTED_VALUE"""),"no")</f>
        <v>no</v>
      </c>
      <c r="AE28" s="3"/>
      <c r="AF28" s="3" t="str">
        <f>IFERROR(__xludf.DUMMYFUNCTION("""COMPUTED_VALUE"""),"no")</f>
        <v>no</v>
      </c>
      <c r="AG28" s="3"/>
    </row>
    <row r="29" hidden="1">
      <c r="A29" s="3" t="str">
        <f>IFERROR(__xludf.DUMMYFUNCTION("""COMPUTED_VALUE"""),"1974170843828924589")</f>
        <v>1974170843828924589</v>
      </c>
      <c r="B29" s="3" t="str">
        <f>IFERROR(__xludf.DUMMYFUNCTION("""COMPUTED_VALUE"""),"1974170843828924589")</f>
        <v>1974170843828924589</v>
      </c>
      <c r="C29" s="10">
        <f>IFERROR(__xludf.DUMMYFUNCTION("""COMPUTED_VALUE"""),45933.745162037034)</f>
        <v>45933.74516</v>
      </c>
      <c r="D29" s="3">
        <f>IFERROR(__xludf.DUMMYFUNCTION("""COMPUTED_VALUE"""),1.759513982E9)</f>
        <v>1759513982</v>
      </c>
      <c r="E29" s="11" t="str">
        <f>IFERROR(__xludf.DUMMYFUNCTION("""COMPUTED_VALUE"""),"https://x.com/nabi_onandia/status/1974170843828924589")</f>
        <v>https://x.com/nabi_onandia/status/1974170843828924589</v>
      </c>
      <c r="F29" s="3" t="str">
        <f>IFERROR(__xludf.DUMMYFUNCTION("""COMPUTED_VALUE"""),"Ya en Cádiz para asistir al congreso anual de la Sociedad Andaluza de #neuropsicologia, donde abordaré brevemente las diferencias de género y los perfiles atípicos en #TDAH adulto
#Psicologia #Neurodivergencias #SaludMental https://t.co/hsj3dw9wan")</f>
        <v>Ya en Cádiz para asistir al congreso anual de la Sociedad Andaluza de #neuropsicologia, donde abordaré brevemente las diferencias de género y los perfiles atípicos en #TDAH adulto
#Psicologia #Neurodivergencias #SaludMental https://t.co/hsj3dw9wan</v>
      </c>
      <c r="G29" s="3" t="str">
        <f>IFERROR(__xludf.DUMMYFUNCTION("""COMPUTED_VALUE"""),"nabi_onandia")</f>
        <v>nabi_onandia</v>
      </c>
      <c r="H29" s="3" t="str">
        <f>IFERROR(__xludf.DUMMYFUNCTION("""COMPUTED_VALUE"""),"Iban Onandia H. PhD. 🧠")</f>
        <v>Iban Onandia H. PhD. 🧠</v>
      </c>
      <c r="I29" s="3">
        <f>IFERROR(__xludf.DUMMYFUNCTION("""COMPUTED_VALUE"""),3.01473763E8)</f>
        <v>301473763</v>
      </c>
      <c r="J29" s="11" t="str">
        <f>IFERROR(__xludf.DUMMYFUNCTION("""COMPUTED_VALUE"""),"https://pbs.twimg.com/profile_images/1938687777400389632/lwvajkvb_normal.jpg")</f>
        <v>https://pbs.twimg.com/profile_images/1938687777400389632/lwvajkvb_normal.jpg</v>
      </c>
      <c r="K29" s="11" t="str">
        <f>IFERROR(__xludf.DUMMYFUNCTION("""COMPUTED_VALUE"""),"https://pbs.twimg.com/profile_banners/301473763/1741343123")</f>
        <v>https://pbs.twimg.com/profile_banners/301473763/1741343123</v>
      </c>
      <c r="L29" s="3" t="b">
        <f>IFERROR(__xludf.DUMMYFUNCTION("""COMPUTED_VALUE"""),FALSE)</f>
        <v>0</v>
      </c>
      <c r="M29" s="3" t="str">
        <f>IFERROR(__xludf.DUMMYFUNCTION("""COMPUTED_VALUE"""),"Twitter Web App")</f>
        <v>Twitter Web App</v>
      </c>
      <c r="N29" s="3" t="str">
        <f>IFERROR(__xludf.DUMMYFUNCTION("""COMPUTED_VALUE"""),"es")</f>
        <v>es</v>
      </c>
      <c r="O29" s="3" t="str">
        <f>IFERROR(__xludf.DUMMYFUNCTION("""COMPUTED_VALUE"""),"no")</f>
        <v>no</v>
      </c>
      <c r="P29" s="3">
        <f>IFERROR(__xludf.DUMMYFUNCTION("""COMPUTED_VALUE"""),1.0)</f>
        <v>1</v>
      </c>
      <c r="Q29" s="3">
        <f>IFERROR(__xludf.DUMMYFUNCTION("""COMPUTED_VALUE"""),2.0)</f>
        <v>2</v>
      </c>
      <c r="R29" s="3">
        <f>IFERROR(__xludf.DUMMYFUNCTION("""COMPUTED_VALUE"""),14.0)</f>
        <v>14</v>
      </c>
      <c r="S29" s="3">
        <f>IFERROR(__xludf.DUMMYFUNCTION("""COMPUTED_VALUE"""),0.0)</f>
        <v>0</v>
      </c>
      <c r="T29" s="3">
        <f>IFERROR(__xludf.DUMMYFUNCTION("""COMPUTED_VALUE"""),641.0)</f>
        <v>641</v>
      </c>
      <c r="U29" s="3" t="str">
        <f>IFERROR(__xludf.DUMMYFUNCTION("""COMPUTED_VALUE"""),"no")</f>
        <v>no</v>
      </c>
      <c r="V29" s="3"/>
      <c r="W29" s="3" t="str">
        <f>IFERROR(__xludf.DUMMYFUNCTION("""COMPUTED_VALUE"""),"no")</f>
        <v>no</v>
      </c>
      <c r="X29" s="3"/>
      <c r="Y29" s="3"/>
      <c r="Z29" s="3"/>
      <c r="AA29" s="3"/>
      <c r="AB29" s="3"/>
      <c r="AC29" s="3" t="str">
        <f>IFERROR(__xludf.DUMMYFUNCTION("""COMPUTED_VALUE"""),"no")</f>
        <v>no</v>
      </c>
      <c r="AD29" s="3" t="str">
        <f>IFERROR(__xludf.DUMMYFUNCTION("""COMPUTED_VALUE"""),"no")</f>
        <v>no</v>
      </c>
      <c r="AE29" s="3"/>
      <c r="AF29" s="3" t="str">
        <f>IFERROR(__xludf.DUMMYFUNCTION("""COMPUTED_VALUE"""),"no")</f>
        <v>no</v>
      </c>
      <c r="AG29" s="3" t="str">
        <f>IFERROR(__xludf.DUMMYFUNCTION("""COMPUTED_VALUE"""),"neuropsicologia,TDAH,Psicologia,Neurodivergencias,SaludMental")</f>
        <v>neuropsicologia,TDAH,Psicologia,Neurodivergencias,SaludMental</v>
      </c>
    </row>
    <row r="30">
      <c r="A30" s="3" t="str">
        <f>IFERROR(__xludf.DUMMYFUNCTION("""COMPUTED_VALUE"""),"1986522768242811124")</f>
        <v>1986522768242811124</v>
      </c>
      <c r="B30" s="3" t="str">
        <f>IFERROR(__xludf.DUMMYFUNCTION("""COMPUTED_VALUE"""),"1986431549827617144")</f>
        <v>1986431549827617144</v>
      </c>
      <c r="C30" s="10">
        <f>IFERROR(__xludf.DUMMYFUNCTION("""COMPUTED_VALUE"""),45967.829976851855)</f>
        <v>45967.82998</v>
      </c>
      <c r="D30" s="3">
        <f>IFERROR(__xludf.DUMMYFUNCTION("""COMPUTED_VALUE"""),1.76245891E9)</f>
        <v>1762458910</v>
      </c>
      <c r="E30" s="11" t="str">
        <f>IFERROR(__xludf.DUMMYFUNCTION("""COMPUTED_VALUE"""),"https://x.com/dellullq/status/1986522768242811124")</f>
        <v>https://x.com/dellullq/status/1986522768242811124</v>
      </c>
      <c r="F30" s="3" t="str">
        <f>IFERROR(__xludf.DUMMYFUNCTION("""COMPUTED_VALUE"""),"@senshi_real @shitpostverdade Meu irmão tem uma mutação genética q causa autismo, tdah e atraso cognitivo. Se não for por mim, não tem garantia q ele vá ser um adulto funcional, e eu super entendo o medo desses casos, mas meu irmão é um caso isolado, e pr"&amp;"ecisam entender q nem todo autista é disfuncional https://t.co/BxGSJ4K3fx")</f>
        <v>@senshi_real @shitpostverdade Meu irmão tem uma mutação genética q causa autismo, tdah e atraso cognitivo. Se não for por mim, não tem garantia q ele vá ser um adulto funcional, e eu super entendo o medo desses casos, mas meu irmão é um caso isolado, e precisam entender q nem todo autista é disfuncional https://t.co/BxGSJ4K3fx</v>
      </c>
      <c r="G30" s="3" t="str">
        <f>IFERROR(__xludf.DUMMYFUNCTION("""COMPUTED_VALUE"""),"dellullq")</f>
        <v>dellullq</v>
      </c>
      <c r="H30" s="3" t="str">
        <f>IFERROR(__xludf.DUMMYFUNCTION("""COMPUTED_VALUE"""),"Lau")</f>
        <v>Lau</v>
      </c>
      <c r="I30" s="3" t="str">
        <f>IFERROR(__xludf.DUMMYFUNCTION("""COMPUTED_VALUE"""),"1910827190410743808")</f>
        <v>1910827190410743808</v>
      </c>
      <c r="J30" s="11" t="str">
        <f>IFERROR(__xludf.DUMMYFUNCTION("""COMPUTED_VALUE"""),"https://pbs.twimg.com/profile_images/1935039325269315584/0U6o_8Zd_normal.jpg")</f>
        <v>https://pbs.twimg.com/profile_images/1935039325269315584/0U6o_8Zd_normal.jpg</v>
      </c>
      <c r="K30" s="11" t="str">
        <f>IFERROR(__xludf.DUMMYFUNCTION("""COMPUTED_VALUE"""),"https://pbs.twimg.com/profile_banners/1910827190410743808/1744412067")</f>
        <v>https://pbs.twimg.com/profile_banners/1910827190410743808/1744412067</v>
      </c>
      <c r="L30" s="3" t="b">
        <f>IFERROR(__xludf.DUMMYFUNCTION("""COMPUTED_VALUE"""),FALSE)</f>
        <v>0</v>
      </c>
      <c r="M30" s="3" t="str">
        <f>IFERROR(__xludf.DUMMYFUNCTION("""COMPUTED_VALUE"""),"Twitter for Android")</f>
        <v>Twitter for Android</v>
      </c>
      <c r="N30" s="3" t="str">
        <f>IFERROR(__xludf.DUMMYFUNCTION("""COMPUTED_VALUE"""),"pt")</f>
        <v>pt</v>
      </c>
      <c r="O30" s="3" t="str">
        <f>IFERROR(__xludf.DUMMYFUNCTION("""COMPUTED_VALUE"""),"no")</f>
        <v>no</v>
      </c>
      <c r="P30" s="3">
        <f>IFERROR(__xludf.DUMMYFUNCTION("""COMPUTED_VALUE"""),0.0)</f>
        <v>0</v>
      </c>
      <c r="Q30" s="3">
        <f>IFERROR(__xludf.DUMMYFUNCTION("""COMPUTED_VALUE"""),2.0)</f>
        <v>2</v>
      </c>
      <c r="R30" s="3">
        <f>IFERROR(__xludf.DUMMYFUNCTION("""COMPUTED_VALUE"""),5.0)</f>
        <v>5</v>
      </c>
      <c r="S30" s="3">
        <f>IFERROR(__xludf.DUMMYFUNCTION("""COMPUTED_VALUE"""),0.0)</f>
        <v>0</v>
      </c>
      <c r="T30" s="3">
        <f>IFERROR(__xludf.DUMMYFUNCTION("""COMPUTED_VALUE"""),381.0)</f>
        <v>381</v>
      </c>
      <c r="U30" s="3" t="str">
        <f>IFERROR(__xludf.DUMMYFUNCTION("""COMPUTED_VALUE"""),"no")</f>
        <v>no</v>
      </c>
      <c r="V30" s="3"/>
      <c r="W30" s="3" t="str">
        <f>IFERROR(__xludf.DUMMYFUNCTION("""COMPUTED_VALUE"""),"no")</f>
        <v>no</v>
      </c>
      <c r="X30" s="3"/>
      <c r="Y30" s="3"/>
      <c r="Z30" s="3"/>
      <c r="AA30" s="3"/>
      <c r="AB30" s="3"/>
      <c r="AC30" s="3" t="str">
        <f>IFERROR(__xludf.DUMMYFUNCTION("""COMPUTED_VALUE"""),"no")</f>
        <v>no</v>
      </c>
      <c r="AD30" s="3" t="str">
        <f>IFERROR(__xludf.DUMMYFUNCTION("""COMPUTED_VALUE"""),"yes")</f>
        <v>yes</v>
      </c>
      <c r="AE30" s="3" t="str">
        <f>IFERROR(__xludf.DUMMYFUNCTION("""COMPUTED_VALUE"""),"senshi_real")</f>
        <v>senshi_real</v>
      </c>
      <c r="AF30" s="3" t="str">
        <f>IFERROR(__xludf.DUMMYFUNCTION("""COMPUTED_VALUE"""),"no")</f>
        <v>no</v>
      </c>
      <c r="AG30" s="3"/>
    </row>
    <row r="31">
      <c r="A31" s="3" t="str">
        <f>IFERROR(__xludf.DUMMYFUNCTION("""COMPUTED_VALUE"""),"1917088187597390065")</f>
        <v>1917088187597390065</v>
      </c>
      <c r="B31" s="3" t="str">
        <f>IFERROR(__xludf.DUMMYFUNCTION("""COMPUTED_VALUE"""),"1917088187597390065")</f>
        <v>1917088187597390065</v>
      </c>
      <c r="C31" s="10">
        <f>IFERROR(__xludf.DUMMYFUNCTION("""COMPUTED_VALUE"""),45776.22703703704)</f>
        <v>45776.22704</v>
      </c>
      <c r="D31" s="3">
        <f>IFERROR(__xludf.DUMMYFUNCTION("""COMPUTED_VALUE"""),1.745904416E9)</f>
        <v>1745904416</v>
      </c>
      <c r="E31" s="11" t="str">
        <f>IFERROR(__xludf.DUMMYFUNCTION("""COMPUTED_VALUE"""),"https://x.com/daesungssexual/status/1917088187597390065")</f>
        <v>https://x.com/daesungssexual/status/1917088187597390065</v>
      </c>
      <c r="F31" s="3" t="str">
        <f>IFERROR(__xludf.DUMMYFUNCTION("""COMPUTED_VALUE"""),"Detergentes, principalmente os TDAH's: Vocês também tem ÓDIO disso?! Tipo... COMO??? Poha, deve ser bom pra krl gostar de ler e ser neurotípico. Isso é muito frustrante, ainda mais pra um adulto.")</f>
        <v>Detergentes, principalmente os TDAH's: Vocês também tem ÓDIO disso?! Tipo... COMO??? Poha, deve ser bom pra krl gostar de ler e ser neurotípico. Isso é muito frustrante, ainda mais pra um adulto.</v>
      </c>
      <c r="G31" s="3" t="str">
        <f>IFERROR(__xludf.DUMMYFUNCTION("""COMPUTED_VALUE"""),"daesungssexual")</f>
        <v>daesungssexual</v>
      </c>
      <c r="H31" s="3" t="str">
        <f>IFERROR(__xludf.DUMMYFUNCTION("""COMPUTED_VALUE"""),"Ăkemi⁴ 土🐺🌐 hexatombe🩸")</f>
        <v>Ăkemi⁴ 土🐺🌐 hexatombe🩸</v>
      </c>
      <c r="I31" s="3" t="str">
        <f>IFERROR(__xludf.DUMMYFUNCTION("""COMPUTED_VALUE"""),"1176258873575038976")</f>
        <v>1176258873575038976</v>
      </c>
      <c r="J31" s="11" t="str">
        <f>IFERROR(__xludf.DUMMYFUNCTION("""COMPUTED_VALUE"""),"https://pbs.twimg.com/profile_images/1987670593966112768/WLsf6i0I_normal.jpg")</f>
        <v>https://pbs.twimg.com/profile_images/1987670593966112768/WLsf6i0I_normal.jpg</v>
      </c>
      <c r="K31" s="11" t="str">
        <f>IFERROR(__xludf.DUMMYFUNCTION("""COMPUTED_VALUE"""),"https://pbs.twimg.com/profile_banners/1176258873575038976/1761074601")</f>
        <v>https://pbs.twimg.com/profile_banners/1176258873575038976/1761074601</v>
      </c>
      <c r="L31" s="3" t="b">
        <f>IFERROR(__xludf.DUMMYFUNCTION("""COMPUTED_VALUE"""),FALSE)</f>
        <v>0</v>
      </c>
      <c r="M31" s="3" t="str">
        <f>IFERROR(__xludf.DUMMYFUNCTION("""COMPUTED_VALUE"""),"Twitter Web App")</f>
        <v>Twitter Web App</v>
      </c>
      <c r="N31" s="3" t="str">
        <f>IFERROR(__xludf.DUMMYFUNCTION("""COMPUTED_VALUE"""),"pt")</f>
        <v>pt</v>
      </c>
      <c r="O31" s="3" t="str">
        <f>IFERROR(__xludf.DUMMYFUNCTION("""COMPUTED_VALUE"""),"no")</f>
        <v>no</v>
      </c>
      <c r="P31" s="3">
        <f>IFERROR(__xludf.DUMMYFUNCTION("""COMPUTED_VALUE"""),29.0)</f>
        <v>29</v>
      </c>
      <c r="Q31" s="3">
        <f>IFERROR(__xludf.DUMMYFUNCTION("""COMPUTED_VALUE"""),118.0)</f>
        <v>118</v>
      </c>
      <c r="R31" s="3">
        <f>IFERROR(__xludf.DUMMYFUNCTION("""COMPUTED_VALUE"""),383.0)</f>
        <v>383</v>
      </c>
      <c r="S31" s="3">
        <f>IFERROR(__xludf.DUMMYFUNCTION("""COMPUTED_VALUE"""),41.0)</f>
        <v>41</v>
      </c>
      <c r="T31" s="3">
        <f>IFERROR(__xludf.DUMMYFUNCTION("""COMPUTED_VALUE"""),23539.0)</f>
        <v>23539</v>
      </c>
      <c r="U31" s="3" t="str">
        <f>IFERROR(__xludf.DUMMYFUNCTION("""COMPUTED_VALUE"""),"no")</f>
        <v>no</v>
      </c>
      <c r="V31" s="3"/>
      <c r="W31" s="3" t="str">
        <f>IFERROR(__xludf.DUMMYFUNCTION("""COMPUTED_VALUE"""),"yes")</f>
        <v>yes</v>
      </c>
      <c r="X31" s="3" t="str">
        <f>IFERROR(__xludf.DUMMYFUNCTION("""COMPUTED_VALUE"""),"1916907098882888175")</f>
        <v>1916907098882888175</v>
      </c>
      <c r="Y31" s="3" t="str">
        <f>IFERROR(__xludf.DUMMYFUNCTION("""COMPUTED_VALUE"""),"yourdearlacy")</f>
        <v>yourdearlacy</v>
      </c>
      <c r="Z31" s="3" t="str">
        <f>IFERROR(__xludf.DUMMYFUNCTION("""COMPUTED_VALUE"""),"vi uma menina no tiktok dizendo que leu um livro de MIL E TREZENTAS PÁGINAS EM 1 DIA https://t.co/StyiJa4RLd")</f>
        <v>vi uma menina no tiktok dizendo que leu um livro de MIL E TREZENTAS PÁGINAS EM 1 DIA https://t.co/StyiJa4RLd</v>
      </c>
      <c r="AA31" s="11" t="str">
        <f>IFERROR(__xludf.DUMMYFUNCTION("""COMPUTED_VALUE"""),"https://pbs.twimg.com/media/Gpo42RwW4AAIVXa.jpg")</f>
        <v>https://pbs.twimg.com/media/Gpo42RwW4AAIVXa.jpg</v>
      </c>
      <c r="AB31" s="3"/>
      <c r="AC31" s="3" t="str">
        <f>IFERROR(__xludf.DUMMYFUNCTION("""COMPUTED_VALUE"""),"no")</f>
        <v>no</v>
      </c>
      <c r="AD31" s="3" t="str">
        <f>IFERROR(__xludf.DUMMYFUNCTION("""COMPUTED_VALUE"""),"no")</f>
        <v>no</v>
      </c>
      <c r="AE31" s="3"/>
      <c r="AF31" s="3" t="str">
        <f>IFERROR(__xludf.DUMMYFUNCTION("""COMPUTED_VALUE"""),"no")</f>
        <v>no</v>
      </c>
      <c r="AG31" s="3"/>
    </row>
    <row r="32" hidden="1">
      <c r="A32" s="3" t="str">
        <f>IFERROR(__xludf.DUMMYFUNCTION("""COMPUTED_VALUE"""),"1930135274798919870")</f>
        <v>1930135274798919870</v>
      </c>
      <c r="B32" s="3" t="str">
        <f>IFERROR(__xludf.DUMMYFUNCTION("""COMPUTED_VALUE"""),"1930135274798919870")</f>
        <v>1930135274798919870</v>
      </c>
      <c r="C32" s="10">
        <f>IFERROR(__xludf.DUMMYFUNCTION("""COMPUTED_VALUE"""),45812.23013888889)</f>
        <v>45812.23014</v>
      </c>
      <c r="D32" s="3">
        <f>IFERROR(__xludf.DUMMYFUNCTION("""COMPUTED_VALUE"""),1.749015084E9)</f>
        <v>1749015084</v>
      </c>
      <c r="E32" s="11" t="str">
        <f>IFERROR(__xludf.DUMMYFUNCTION("""COMPUTED_VALUE"""),"https://x.com/MauricioLeija/status/1930135274798919870")</f>
        <v>https://x.com/MauricioLeija/status/1930135274798919870</v>
      </c>
      <c r="F32" s="3" t="str">
        <f>IFERROR(__xludf.DUMMYFUNCTION("""COMPUTED_VALUE"""),"Congresos de psiquiatría y TDAH del adulto.
#TDAHdelAdulto #TDAH #HablemosDelTDAH #Neurodiversidad #Neurodivergencia #Neurodesarrollo #NeurodesarrolloyConducta #HablemosDeSaludMental https://t.co/pINABlp4n7")</f>
        <v>Congresos de psiquiatría y TDAH del adulto.
#TDAHdelAdulto #TDAH #HablemosDelTDAH #Neurodiversidad #Neurodivergencia #Neurodesarrollo #NeurodesarrolloyConducta #HablemosDeSaludMental https://t.co/pINABlp4n7</v>
      </c>
      <c r="G32" s="3" t="str">
        <f>IFERROR(__xludf.DUMMYFUNCTION("""COMPUTED_VALUE"""),"MauricioLeija")</f>
        <v>MauricioLeija</v>
      </c>
      <c r="H32" s="3" t="str">
        <f>IFERROR(__xludf.DUMMYFUNCTION("""COMPUTED_VALUE"""),"Dr. Mauricio Leija")</f>
        <v>Dr. Mauricio Leija</v>
      </c>
      <c r="I32" s="3">
        <f>IFERROR(__xludf.DUMMYFUNCTION("""COMPUTED_VALUE"""),2.825615947E9)</f>
        <v>2825615947</v>
      </c>
      <c r="J32" s="11" t="str">
        <f>IFERROR(__xludf.DUMMYFUNCTION("""COMPUTED_VALUE"""),"https://pbs.twimg.com/profile_images/1988347861507952640/MmBWSSun_normal.jpg")</f>
        <v>https://pbs.twimg.com/profile_images/1988347861507952640/MmBWSSun_normal.jpg</v>
      </c>
      <c r="K32" s="11" t="str">
        <f>IFERROR(__xludf.DUMMYFUNCTION("""COMPUTED_VALUE"""),"https://pbs.twimg.com/profile_banners/2825615947/1674793295")</f>
        <v>https://pbs.twimg.com/profile_banners/2825615947/1674793295</v>
      </c>
      <c r="L32" s="3" t="b">
        <f>IFERROR(__xludf.DUMMYFUNCTION("""COMPUTED_VALUE"""),TRUE)</f>
        <v>1</v>
      </c>
      <c r="M32" s="3" t="str">
        <f>IFERROR(__xludf.DUMMYFUNCTION("""COMPUTED_VALUE"""),"Twitter Web App")</f>
        <v>Twitter Web App</v>
      </c>
      <c r="N32" s="3" t="str">
        <f>IFERROR(__xludf.DUMMYFUNCTION("""COMPUTED_VALUE"""),"es")</f>
        <v>es</v>
      </c>
      <c r="O32" s="3" t="str">
        <f>IFERROR(__xludf.DUMMYFUNCTION("""COMPUTED_VALUE"""),"no")</f>
        <v>no</v>
      </c>
      <c r="P32" s="3">
        <f>IFERROR(__xludf.DUMMYFUNCTION("""COMPUTED_VALUE"""),2.0)</f>
        <v>2</v>
      </c>
      <c r="Q32" s="3">
        <f>IFERROR(__xludf.DUMMYFUNCTION("""COMPUTED_VALUE"""),0.0)</f>
        <v>0</v>
      </c>
      <c r="R32" s="3">
        <f>IFERROR(__xludf.DUMMYFUNCTION("""COMPUTED_VALUE"""),5.0)</f>
        <v>5</v>
      </c>
      <c r="S32" s="3">
        <f>IFERROR(__xludf.DUMMYFUNCTION("""COMPUTED_VALUE"""),0.0)</f>
        <v>0</v>
      </c>
      <c r="T32" s="3">
        <f>IFERROR(__xludf.DUMMYFUNCTION("""COMPUTED_VALUE"""),225.0)</f>
        <v>225</v>
      </c>
      <c r="U32" s="3" t="str">
        <f>IFERROR(__xludf.DUMMYFUNCTION("""COMPUTED_VALUE"""),"no")</f>
        <v>no</v>
      </c>
      <c r="V32" s="3"/>
      <c r="W32" s="3" t="str">
        <f>IFERROR(__xludf.DUMMYFUNCTION("""COMPUTED_VALUE"""),"no")</f>
        <v>no</v>
      </c>
      <c r="X32" s="3"/>
      <c r="Y32" s="3"/>
      <c r="Z32" s="3"/>
      <c r="AA32" s="3"/>
      <c r="AB32" s="3"/>
      <c r="AC32" s="3" t="str">
        <f>IFERROR(__xludf.DUMMYFUNCTION("""COMPUTED_VALUE"""),"no")</f>
        <v>no</v>
      </c>
      <c r="AD32" s="3" t="str">
        <f>IFERROR(__xludf.DUMMYFUNCTION("""COMPUTED_VALUE"""),"no")</f>
        <v>no</v>
      </c>
      <c r="AE32" s="3"/>
      <c r="AF32" s="3" t="str">
        <f>IFERROR(__xludf.DUMMYFUNCTION("""COMPUTED_VALUE"""),"no")</f>
        <v>no</v>
      </c>
      <c r="AG32"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33" hidden="1">
      <c r="A33" s="3" t="str">
        <f>IFERROR(__xludf.DUMMYFUNCTION("""COMPUTED_VALUE"""),"1931786348727284052")</f>
        <v>1931786348727284052</v>
      </c>
      <c r="B33" s="3" t="str">
        <f>IFERROR(__xludf.DUMMYFUNCTION("""COMPUTED_VALUE"""),"1931786348727284052")</f>
        <v>1931786348727284052</v>
      </c>
      <c r="C33" s="10">
        <f>IFERROR(__xludf.DUMMYFUNCTION("""COMPUTED_VALUE"""),45816.78623842593)</f>
        <v>45816.78624</v>
      </c>
      <c r="D33" s="3">
        <f>IFERROR(__xludf.DUMMYFUNCTION("""COMPUTED_VALUE"""),1.749408731E9)</f>
        <v>1749408731</v>
      </c>
      <c r="E33" s="11" t="str">
        <f>IFERROR(__xludf.DUMMYFUNCTION("""COMPUTED_VALUE"""),"https://x.com/MauricioLeija/status/1931786348727284052")</f>
        <v>https://x.com/MauricioLeija/status/1931786348727284052</v>
      </c>
      <c r="F33" s="3" t="str">
        <f>IFERROR(__xludf.DUMMYFUNCTION("""COMPUTED_VALUE"""),"TDAH del ADULTO: ASÍ lo DIAGNOSTICARON, mis SÍNTOMAS y cómo me CURÉ | Mr... https://t.co/SlV3uicIb6 a través de @YouTube")</f>
        <v>TDAH del ADULTO: ASÍ lo DIAGNOSTICARON, mis SÍNTOMAS y cómo me CURÉ | Mr... https://t.co/SlV3uicIb6 a través de @YouTube</v>
      </c>
      <c r="G33" s="3" t="str">
        <f>IFERROR(__xludf.DUMMYFUNCTION("""COMPUTED_VALUE"""),"MauricioLeija")</f>
        <v>MauricioLeija</v>
      </c>
      <c r="H33" s="3" t="str">
        <f>IFERROR(__xludf.DUMMYFUNCTION("""COMPUTED_VALUE"""),"Dr. Mauricio Leija")</f>
        <v>Dr. Mauricio Leija</v>
      </c>
      <c r="I33" s="3">
        <f>IFERROR(__xludf.DUMMYFUNCTION("""COMPUTED_VALUE"""),2.825615947E9)</f>
        <v>2825615947</v>
      </c>
      <c r="J33" s="11" t="str">
        <f>IFERROR(__xludf.DUMMYFUNCTION("""COMPUTED_VALUE"""),"https://pbs.twimg.com/profile_images/1988347861507952640/MmBWSSun_normal.jpg")</f>
        <v>https://pbs.twimg.com/profile_images/1988347861507952640/MmBWSSun_normal.jpg</v>
      </c>
      <c r="K33" s="11" t="str">
        <f>IFERROR(__xludf.DUMMYFUNCTION("""COMPUTED_VALUE"""),"https://pbs.twimg.com/profile_banners/2825615947/1674793295")</f>
        <v>https://pbs.twimg.com/profile_banners/2825615947/1674793295</v>
      </c>
      <c r="L33" s="3" t="b">
        <f>IFERROR(__xludf.DUMMYFUNCTION("""COMPUTED_VALUE"""),TRUE)</f>
        <v>1</v>
      </c>
      <c r="M33" s="3" t="str">
        <f>IFERROR(__xludf.DUMMYFUNCTION("""COMPUTED_VALUE"""),"Twitter Web App")</f>
        <v>Twitter Web App</v>
      </c>
      <c r="N33" s="3" t="str">
        <f>IFERROR(__xludf.DUMMYFUNCTION("""COMPUTED_VALUE"""),"es")</f>
        <v>es</v>
      </c>
      <c r="O33" s="3" t="str">
        <f>IFERROR(__xludf.DUMMYFUNCTION("""COMPUTED_VALUE"""),"no")</f>
        <v>no</v>
      </c>
      <c r="P33" s="3">
        <f>IFERROR(__xludf.DUMMYFUNCTION("""COMPUTED_VALUE"""),1.0)</f>
        <v>1</v>
      </c>
      <c r="Q33" s="3">
        <f>IFERROR(__xludf.DUMMYFUNCTION("""COMPUTED_VALUE"""),0.0)</f>
        <v>0</v>
      </c>
      <c r="R33" s="3">
        <f>IFERROR(__xludf.DUMMYFUNCTION("""COMPUTED_VALUE"""),7.0)</f>
        <v>7</v>
      </c>
      <c r="S33" s="3">
        <f>IFERROR(__xludf.DUMMYFUNCTION("""COMPUTED_VALUE"""),0.0)</f>
        <v>0</v>
      </c>
      <c r="T33" s="3">
        <f>IFERROR(__xludf.DUMMYFUNCTION("""COMPUTED_VALUE"""),378.0)</f>
        <v>378</v>
      </c>
      <c r="U33" s="3" t="str">
        <f>IFERROR(__xludf.DUMMYFUNCTION("""COMPUTED_VALUE"""),"no")</f>
        <v>no</v>
      </c>
      <c r="V33" s="3"/>
      <c r="W33" s="3" t="str">
        <f>IFERROR(__xludf.DUMMYFUNCTION("""COMPUTED_VALUE"""),"no")</f>
        <v>no</v>
      </c>
      <c r="X33" s="3"/>
      <c r="Y33" s="3"/>
      <c r="Z33" s="3"/>
      <c r="AA33" s="3"/>
      <c r="AB33" s="3"/>
      <c r="AC33" s="3" t="str">
        <f>IFERROR(__xludf.DUMMYFUNCTION("""COMPUTED_VALUE"""),"no")</f>
        <v>no</v>
      </c>
      <c r="AD33" s="3" t="str">
        <f>IFERROR(__xludf.DUMMYFUNCTION("""COMPUTED_VALUE"""),"no")</f>
        <v>no</v>
      </c>
      <c r="AE33" s="3"/>
      <c r="AF33" s="3" t="str">
        <f>IFERROR(__xludf.DUMMYFUNCTION("""COMPUTED_VALUE"""),"no")</f>
        <v>no</v>
      </c>
      <c r="AG33" s="3"/>
    </row>
    <row r="34" hidden="1">
      <c r="A34" s="3" t="str">
        <f>IFERROR(__xludf.DUMMYFUNCTION("""COMPUTED_VALUE"""),"1930122161517121711")</f>
        <v>1930122161517121711</v>
      </c>
      <c r="B34" s="3" t="str">
        <f>IFERROR(__xludf.DUMMYFUNCTION("""COMPUTED_VALUE"""),"1930122161517121711")</f>
        <v>1930122161517121711</v>
      </c>
      <c r="C34" s="10">
        <f>IFERROR(__xludf.DUMMYFUNCTION("""COMPUTED_VALUE"""),45812.19394675926)</f>
        <v>45812.19395</v>
      </c>
      <c r="D34" s="3">
        <f>IFERROR(__xludf.DUMMYFUNCTION("""COMPUTED_VALUE"""),1.749011957E9)</f>
        <v>1749011957</v>
      </c>
      <c r="E34" s="11" t="str">
        <f>IFERROR(__xludf.DUMMYFUNCTION("""COMPUTED_VALUE"""),"https://x.com/MauricioLeija/status/1930122161517121711")</f>
        <v>https://x.com/MauricioLeija/status/1930122161517121711</v>
      </c>
      <c r="F34" s="3" t="str">
        <f>IFERROR(__xludf.DUMMYFUNCTION("""COMPUTED_VALUE"""),"La falta de información sobre TDAH del adulto en congresos de psiquiatría.
#TDAHdelAdulto #TDAH #HablemosDelTDAH #Neurodiversidad #Neurodivergencia #Neurodesarrollo #NeurodesarrolloyConducta #HablemosDeSaludMental https://t.co/OBcedSXL5H")</f>
        <v>La falta de información sobre TDAH del adulto en congresos de psiquiatría.
#TDAHdelAdulto #TDAH #HablemosDelTDAH #Neurodiversidad #Neurodivergencia #Neurodesarrollo #NeurodesarrolloyConducta #HablemosDeSaludMental https://t.co/OBcedSXL5H</v>
      </c>
      <c r="G34" s="3" t="str">
        <f>IFERROR(__xludf.DUMMYFUNCTION("""COMPUTED_VALUE"""),"MauricioLeija")</f>
        <v>MauricioLeija</v>
      </c>
      <c r="H34" s="3" t="str">
        <f>IFERROR(__xludf.DUMMYFUNCTION("""COMPUTED_VALUE"""),"Dr. Mauricio Leija")</f>
        <v>Dr. Mauricio Leija</v>
      </c>
      <c r="I34" s="3">
        <f>IFERROR(__xludf.DUMMYFUNCTION("""COMPUTED_VALUE"""),2.825615947E9)</f>
        <v>2825615947</v>
      </c>
      <c r="J34" s="11" t="str">
        <f>IFERROR(__xludf.DUMMYFUNCTION("""COMPUTED_VALUE"""),"https://pbs.twimg.com/profile_images/1988347861507952640/MmBWSSun_normal.jpg")</f>
        <v>https://pbs.twimg.com/profile_images/1988347861507952640/MmBWSSun_normal.jpg</v>
      </c>
      <c r="K34" s="11" t="str">
        <f>IFERROR(__xludf.DUMMYFUNCTION("""COMPUTED_VALUE"""),"https://pbs.twimg.com/profile_banners/2825615947/1674793295")</f>
        <v>https://pbs.twimg.com/profile_banners/2825615947/1674793295</v>
      </c>
      <c r="L34" s="3" t="b">
        <f>IFERROR(__xludf.DUMMYFUNCTION("""COMPUTED_VALUE"""),TRUE)</f>
        <v>1</v>
      </c>
      <c r="M34" s="3" t="str">
        <f>IFERROR(__xludf.DUMMYFUNCTION("""COMPUTED_VALUE"""),"Twitter Web App")</f>
        <v>Twitter Web App</v>
      </c>
      <c r="N34" s="3" t="str">
        <f>IFERROR(__xludf.DUMMYFUNCTION("""COMPUTED_VALUE"""),"es")</f>
        <v>es</v>
      </c>
      <c r="O34" s="3" t="str">
        <f>IFERROR(__xludf.DUMMYFUNCTION("""COMPUTED_VALUE"""),"no")</f>
        <v>no</v>
      </c>
      <c r="P34" s="3">
        <f>IFERROR(__xludf.DUMMYFUNCTION("""COMPUTED_VALUE"""),0.0)</f>
        <v>0</v>
      </c>
      <c r="Q34" s="3">
        <f>IFERROR(__xludf.DUMMYFUNCTION("""COMPUTED_VALUE"""),0.0)</f>
        <v>0</v>
      </c>
      <c r="R34" s="3">
        <f>IFERROR(__xludf.DUMMYFUNCTION("""COMPUTED_VALUE"""),3.0)</f>
        <v>3</v>
      </c>
      <c r="S34" s="3">
        <f>IFERROR(__xludf.DUMMYFUNCTION("""COMPUTED_VALUE"""),0.0)</f>
        <v>0</v>
      </c>
      <c r="T34" s="3">
        <f>IFERROR(__xludf.DUMMYFUNCTION("""COMPUTED_VALUE"""),358.0)</f>
        <v>358</v>
      </c>
      <c r="U34" s="3" t="str">
        <f>IFERROR(__xludf.DUMMYFUNCTION("""COMPUTED_VALUE"""),"no")</f>
        <v>no</v>
      </c>
      <c r="V34" s="3"/>
      <c r="W34" s="3" t="str">
        <f>IFERROR(__xludf.DUMMYFUNCTION("""COMPUTED_VALUE"""),"no")</f>
        <v>no</v>
      </c>
      <c r="X34" s="3"/>
      <c r="Y34" s="3"/>
      <c r="Z34" s="3"/>
      <c r="AA34" s="3"/>
      <c r="AB34" s="3"/>
      <c r="AC34" s="3" t="str">
        <f>IFERROR(__xludf.DUMMYFUNCTION("""COMPUTED_VALUE"""),"no")</f>
        <v>no</v>
      </c>
      <c r="AD34" s="3" t="str">
        <f>IFERROR(__xludf.DUMMYFUNCTION("""COMPUTED_VALUE"""),"no")</f>
        <v>no</v>
      </c>
      <c r="AE34" s="3"/>
      <c r="AF34" s="3" t="str">
        <f>IFERROR(__xludf.DUMMYFUNCTION("""COMPUTED_VALUE"""),"no")</f>
        <v>no</v>
      </c>
      <c r="AG34"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35" hidden="1">
      <c r="A35" s="3" t="str">
        <f>IFERROR(__xludf.DUMMYFUNCTION("""COMPUTED_VALUE"""),"1954517963807060217")</f>
        <v>1954517963807060217</v>
      </c>
      <c r="B35" s="3" t="str">
        <f>IFERROR(__xludf.DUMMYFUNCTION("""COMPUTED_VALUE"""),"1954517963807060217")</f>
        <v>1954517963807060217</v>
      </c>
      <c r="C35" s="10">
        <f>IFERROR(__xludf.DUMMYFUNCTION("""COMPUTED_VALUE"""),45879.51354166667)</f>
        <v>45879.51354</v>
      </c>
      <c r="D35" s="3">
        <f>IFERROR(__xludf.DUMMYFUNCTION("""COMPUTED_VALUE"""),1.75482837E9)</f>
        <v>1754828370</v>
      </c>
      <c r="E35" s="11" t="str">
        <f>IFERROR(__xludf.DUMMYFUNCTION("""COMPUTED_VALUE"""),"https://x.com/MauricioLeija/status/1954517963807060217")</f>
        <v>https://x.com/MauricioLeija/status/1954517963807060217</v>
      </c>
      <c r="F35" s="3" t="str">
        <f>IFERROR(__xludf.DUMMYFUNCTION("""COMPUTED_VALUE"""),"¿Debe ser la primera línea de tratamiento para el TDAH del adulto los medicamentos estimulantes como metilfenidato? 
#TDAHdelAdulto #TDAH #HablemosDelTDAH #Neurodiversidad #Neurodivergencia #Neurodesarrollo #NeurodesarrolloyConducta #HablemosDeSaludMenta"&amp;"l https://t.co/YIDhzbTKdr")</f>
        <v>¿Debe ser la primera línea de tratamiento para el TDAH del adulto los medicamentos estimulantes como metilfenidato? 
#TDAHdelAdulto #TDAH #HablemosDelTDAH #Neurodiversidad #Neurodivergencia #Neurodesarrollo #NeurodesarrolloyConducta #HablemosDeSaludMental https://t.co/YIDhzbTKdr</v>
      </c>
      <c r="G35" s="3" t="str">
        <f>IFERROR(__xludf.DUMMYFUNCTION("""COMPUTED_VALUE"""),"MauricioLeija")</f>
        <v>MauricioLeija</v>
      </c>
      <c r="H35" s="3" t="str">
        <f>IFERROR(__xludf.DUMMYFUNCTION("""COMPUTED_VALUE"""),"Dr. Mauricio Leija")</f>
        <v>Dr. Mauricio Leija</v>
      </c>
      <c r="I35" s="3">
        <f>IFERROR(__xludf.DUMMYFUNCTION("""COMPUTED_VALUE"""),2.825615947E9)</f>
        <v>2825615947</v>
      </c>
      <c r="J35" s="11" t="str">
        <f>IFERROR(__xludf.DUMMYFUNCTION("""COMPUTED_VALUE"""),"https://pbs.twimg.com/profile_images/1988347861507952640/MmBWSSun_normal.jpg")</f>
        <v>https://pbs.twimg.com/profile_images/1988347861507952640/MmBWSSun_normal.jpg</v>
      </c>
      <c r="K35" s="11" t="str">
        <f>IFERROR(__xludf.DUMMYFUNCTION("""COMPUTED_VALUE"""),"https://pbs.twimg.com/profile_banners/2825615947/1674793295")</f>
        <v>https://pbs.twimg.com/profile_banners/2825615947/1674793295</v>
      </c>
      <c r="L35" s="3" t="b">
        <f>IFERROR(__xludf.DUMMYFUNCTION("""COMPUTED_VALUE"""),TRUE)</f>
        <v>1</v>
      </c>
      <c r="M35" s="3" t="str">
        <f>IFERROR(__xludf.DUMMYFUNCTION("""COMPUTED_VALUE"""),"Twitter Web App")</f>
        <v>Twitter Web App</v>
      </c>
      <c r="N35" s="3" t="str">
        <f>IFERROR(__xludf.DUMMYFUNCTION("""COMPUTED_VALUE"""),"es")</f>
        <v>es</v>
      </c>
      <c r="O35" s="3" t="str">
        <f>IFERROR(__xludf.DUMMYFUNCTION("""COMPUTED_VALUE"""),"no")</f>
        <v>no</v>
      </c>
      <c r="P35" s="3">
        <f>IFERROR(__xludf.DUMMYFUNCTION("""COMPUTED_VALUE"""),1.0)</f>
        <v>1</v>
      </c>
      <c r="Q35" s="3">
        <f>IFERROR(__xludf.DUMMYFUNCTION("""COMPUTED_VALUE"""),1.0)</f>
        <v>1</v>
      </c>
      <c r="R35" s="3">
        <f>IFERROR(__xludf.DUMMYFUNCTION("""COMPUTED_VALUE"""),9.0)</f>
        <v>9</v>
      </c>
      <c r="S35" s="3">
        <f>IFERROR(__xludf.DUMMYFUNCTION("""COMPUTED_VALUE"""),0.0)</f>
        <v>0</v>
      </c>
      <c r="T35" s="3">
        <f>IFERROR(__xludf.DUMMYFUNCTION("""COMPUTED_VALUE"""),481.0)</f>
        <v>481</v>
      </c>
      <c r="U35" s="3" t="str">
        <f>IFERROR(__xludf.DUMMYFUNCTION("""COMPUTED_VALUE"""),"no")</f>
        <v>no</v>
      </c>
      <c r="V35" s="3"/>
      <c r="W35" s="3" t="str">
        <f>IFERROR(__xludf.DUMMYFUNCTION("""COMPUTED_VALUE"""),"no")</f>
        <v>no</v>
      </c>
      <c r="X35" s="3"/>
      <c r="Y35" s="3"/>
      <c r="Z35" s="3"/>
      <c r="AA35" s="3"/>
      <c r="AB35" s="3"/>
      <c r="AC35" s="3" t="str">
        <f>IFERROR(__xludf.DUMMYFUNCTION("""COMPUTED_VALUE"""),"no")</f>
        <v>no</v>
      </c>
      <c r="AD35" s="3" t="str">
        <f>IFERROR(__xludf.DUMMYFUNCTION("""COMPUTED_VALUE"""),"no")</f>
        <v>no</v>
      </c>
      <c r="AE35" s="3"/>
      <c r="AF35" s="3" t="str">
        <f>IFERROR(__xludf.DUMMYFUNCTION("""COMPUTED_VALUE"""),"no")</f>
        <v>no</v>
      </c>
      <c r="AG35"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36">
      <c r="A36" s="3" t="str">
        <f>IFERROR(__xludf.DUMMYFUNCTION("""COMPUTED_VALUE"""),"1924232790213538006")</f>
        <v>1924232790213538006</v>
      </c>
      <c r="B36" s="3" t="str">
        <f>IFERROR(__xludf.DUMMYFUNCTION("""COMPUTED_VALUE"""),"1924232790213538006")</f>
        <v>1924232790213538006</v>
      </c>
      <c r="C36" s="10">
        <f>IFERROR(__xludf.DUMMYFUNCTION("""COMPUTED_VALUE"""),45795.94238425926)</f>
        <v>45795.94238</v>
      </c>
      <c r="D36" s="3">
        <f>IFERROR(__xludf.DUMMYFUNCTION("""COMPUTED_VALUE"""),1.747607822E9)</f>
        <v>1747607822</v>
      </c>
      <c r="E36" s="11" t="str">
        <f>IFERROR(__xludf.DUMMYFUNCTION("""COMPUTED_VALUE"""),"https://x.com/MatsuiArt/status/1924232790213538006")</f>
        <v>https://x.com/MatsuiArt/status/1924232790213538006</v>
      </c>
      <c r="F36" s="3" t="str">
        <f>IFERROR(__xludf.DUMMYFUNCTION("""COMPUTED_VALUE"""),"Tem alguns assuntos q romantizam por aí, vira tema de memes infinitos mas só quem realmente sofre com TDAH adulto sabe o tanto q essa merda só afunda a vida da gente. Krl q bgl bizarro de se lidar")</f>
        <v>Tem alguns assuntos q romantizam por aí, vira tema de memes infinitos mas só quem realmente sofre com TDAH adulto sabe o tanto q essa merda só afunda a vida da gente. Krl q bgl bizarro de se lidar</v>
      </c>
      <c r="G36" s="3" t="str">
        <f>IFERROR(__xludf.DUMMYFUNCTION("""COMPUTED_VALUE"""),"MatsuiArt")</f>
        <v>MatsuiArt</v>
      </c>
      <c r="H36" s="3" t="str">
        <f>IFERROR(__xludf.DUMMYFUNCTION("""COMPUTED_VALUE"""),"Matsui")</f>
        <v>Matsui</v>
      </c>
      <c r="I36" s="3">
        <f>IFERROR(__xludf.DUMMYFUNCTION("""COMPUTED_VALUE"""),2.358855016E9)</f>
        <v>2358855016</v>
      </c>
      <c r="J36" s="11" t="str">
        <f>IFERROR(__xludf.DUMMYFUNCTION("""COMPUTED_VALUE"""),"https://pbs.twimg.com/profile_images/1897349690259070976/hgWJ5Oua_normal.jpg")</f>
        <v>https://pbs.twimg.com/profile_images/1897349690259070976/hgWJ5Oua_normal.jpg</v>
      </c>
      <c r="K36" s="11" t="str">
        <f>IFERROR(__xludf.DUMMYFUNCTION("""COMPUTED_VALUE"""),"https://pbs.twimg.com/profile_banners/2358855016/1650879245")</f>
        <v>https://pbs.twimg.com/profile_banners/2358855016/1650879245</v>
      </c>
      <c r="L36" s="3" t="b">
        <f>IFERROR(__xludf.DUMMYFUNCTION("""COMPUTED_VALUE"""),FALSE)</f>
        <v>0</v>
      </c>
      <c r="M36" s="3" t="str">
        <f>IFERROR(__xludf.DUMMYFUNCTION("""COMPUTED_VALUE"""),"Twitter Web App")</f>
        <v>Twitter Web App</v>
      </c>
      <c r="N36" s="3" t="str">
        <f>IFERROR(__xludf.DUMMYFUNCTION("""COMPUTED_VALUE"""),"pt")</f>
        <v>pt</v>
      </c>
      <c r="O36" s="3" t="str">
        <f>IFERROR(__xludf.DUMMYFUNCTION("""COMPUTED_VALUE"""),"no")</f>
        <v>no</v>
      </c>
      <c r="P36" s="3">
        <f>IFERROR(__xludf.DUMMYFUNCTION("""COMPUTED_VALUE"""),0.0)</f>
        <v>0</v>
      </c>
      <c r="Q36" s="3">
        <f>IFERROR(__xludf.DUMMYFUNCTION("""COMPUTED_VALUE"""),0.0)</f>
        <v>0</v>
      </c>
      <c r="R36" s="3">
        <f>IFERROR(__xludf.DUMMYFUNCTION("""COMPUTED_VALUE"""),4.0)</f>
        <v>4</v>
      </c>
      <c r="S36" s="3">
        <f>IFERROR(__xludf.DUMMYFUNCTION("""COMPUTED_VALUE"""),0.0)</f>
        <v>0</v>
      </c>
      <c r="T36" s="3">
        <f>IFERROR(__xludf.DUMMYFUNCTION("""COMPUTED_VALUE"""),393.0)</f>
        <v>393</v>
      </c>
      <c r="U36" s="3" t="str">
        <f>IFERROR(__xludf.DUMMYFUNCTION("""COMPUTED_VALUE"""),"no")</f>
        <v>no</v>
      </c>
      <c r="V36" s="3"/>
      <c r="W36" s="3" t="str">
        <f>IFERROR(__xludf.DUMMYFUNCTION("""COMPUTED_VALUE"""),"no")</f>
        <v>no</v>
      </c>
      <c r="X36" s="3"/>
      <c r="Y36" s="3"/>
      <c r="Z36" s="3"/>
      <c r="AA36" s="3"/>
      <c r="AB36" s="3"/>
      <c r="AC36" s="3" t="str">
        <f>IFERROR(__xludf.DUMMYFUNCTION("""COMPUTED_VALUE"""),"no")</f>
        <v>no</v>
      </c>
      <c r="AD36" s="3" t="str">
        <f>IFERROR(__xludf.DUMMYFUNCTION("""COMPUTED_VALUE"""),"no")</f>
        <v>no</v>
      </c>
      <c r="AE36" s="3"/>
      <c r="AF36" s="3" t="str">
        <f>IFERROR(__xludf.DUMMYFUNCTION("""COMPUTED_VALUE"""),"no")</f>
        <v>no</v>
      </c>
      <c r="AG36" s="3"/>
    </row>
    <row r="37" hidden="1">
      <c r="A37" s="3" t="str">
        <f>IFERROR(__xludf.DUMMYFUNCTION("""COMPUTED_VALUE"""),"1962695785713135959")</f>
        <v>1962695785713135959</v>
      </c>
      <c r="B37" s="3" t="str">
        <f>IFERROR(__xludf.DUMMYFUNCTION("""COMPUTED_VALUE"""),"1962695785713135959")</f>
        <v>1962695785713135959</v>
      </c>
      <c r="C37" s="10">
        <f>IFERROR(__xludf.DUMMYFUNCTION("""COMPUTED_VALUE"""),45902.080034722225)</f>
        <v>45902.08003</v>
      </c>
      <c r="D37" s="3">
        <f>IFERROR(__xludf.DUMMYFUNCTION("""COMPUTED_VALUE"""),1.756778115E9)</f>
        <v>1756778115</v>
      </c>
      <c r="E37" s="11" t="str">
        <f>IFERROR(__xludf.DUMMYFUNCTION("""COMPUTED_VALUE"""),"https://x.com/landysJairPsic/status/1962695785713135959")</f>
        <v>https://x.com/landysJairPsic/status/1962695785713135959</v>
      </c>
      <c r="F37" s="3" t="str">
        <f>IFERROR(__xludf.DUMMYFUNCTION("""COMPUTED_VALUE"""),"3 Síntomas del TDAH adulto que empeoran con los años cuando no está bien manejado. Cuál de los 3 has notado a lo largo de los años? https://t.co/uGenclT3FT")</f>
        <v>3 Síntomas del TDAH adulto que empeoran con los años cuando no está bien manejado. Cuál de los 3 has notado a lo largo de los años? https://t.co/uGenclT3FT</v>
      </c>
      <c r="G37" s="3" t="str">
        <f>IFERROR(__xludf.DUMMYFUNCTION("""COMPUTED_VALUE"""),"landysJairPsic")</f>
        <v>landysJairPsic</v>
      </c>
      <c r="H37" s="3" t="str">
        <f>IFERROR(__xludf.DUMMYFUNCTION("""COMPUTED_VALUE"""),"Landys Jair - Psicólogo")</f>
        <v>Landys Jair - Psicólogo</v>
      </c>
      <c r="I37" s="3" t="str">
        <f>IFERROR(__xludf.DUMMYFUNCTION("""COMPUTED_VALUE"""),"1745094200318685184")</f>
        <v>1745094200318685184</v>
      </c>
      <c r="J37" s="11" t="str">
        <f>IFERROR(__xludf.DUMMYFUNCTION("""COMPUTED_VALUE"""),"https://pbs.twimg.com/profile_images/1745094281449103360/Len2zkMK_normal.jpg")</f>
        <v>https://pbs.twimg.com/profile_images/1745094281449103360/Len2zkMK_normal.jpg</v>
      </c>
      <c r="K37" s="3"/>
      <c r="L37" s="3" t="b">
        <f>IFERROR(__xludf.DUMMYFUNCTION("""COMPUTED_VALUE"""),FALSE)</f>
        <v>0</v>
      </c>
      <c r="M37" s="3" t="str">
        <f>IFERROR(__xludf.DUMMYFUNCTION("""COMPUTED_VALUE"""),"Repurpose io")</f>
        <v>Repurpose io</v>
      </c>
      <c r="N37" s="3" t="str">
        <f>IFERROR(__xludf.DUMMYFUNCTION("""COMPUTED_VALUE"""),"es")</f>
        <v>es</v>
      </c>
      <c r="O37" s="3" t="str">
        <f>IFERROR(__xludf.DUMMYFUNCTION("""COMPUTED_VALUE"""),"no")</f>
        <v>no</v>
      </c>
      <c r="P37" s="3">
        <f>IFERROR(__xludf.DUMMYFUNCTION("""COMPUTED_VALUE"""),0.0)</f>
        <v>0</v>
      </c>
      <c r="Q37" s="3">
        <f>IFERROR(__xludf.DUMMYFUNCTION("""COMPUTED_VALUE"""),0.0)</f>
        <v>0</v>
      </c>
      <c r="R37" s="3">
        <f>IFERROR(__xludf.DUMMYFUNCTION("""COMPUTED_VALUE"""),0.0)</f>
        <v>0</v>
      </c>
      <c r="S37" s="3">
        <f>IFERROR(__xludf.DUMMYFUNCTION("""COMPUTED_VALUE"""),0.0)</f>
        <v>0</v>
      </c>
      <c r="T37" s="3">
        <f>IFERROR(__xludf.DUMMYFUNCTION("""COMPUTED_VALUE"""),8.0)</f>
        <v>8</v>
      </c>
      <c r="U37" s="3" t="str">
        <f>IFERROR(__xludf.DUMMYFUNCTION("""COMPUTED_VALUE"""),"no")</f>
        <v>no</v>
      </c>
      <c r="V37" s="3"/>
      <c r="W37" s="3" t="str">
        <f>IFERROR(__xludf.DUMMYFUNCTION("""COMPUTED_VALUE"""),"no")</f>
        <v>no</v>
      </c>
      <c r="X37" s="3"/>
      <c r="Y37" s="3"/>
      <c r="Z37" s="3"/>
      <c r="AA37" s="3"/>
      <c r="AB37" s="3"/>
      <c r="AC37" s="3" t="str">
        <f>IFERROR(__xludf.DUMMYFUNCTION("""COMPUTED_VALUE"""),"no")</f>
        <v>no</v>
      </c>
      <c r="AD37" s="3" t="str">
        <f>IFERROR(__xludf.DUMMYFUNCTION("""COMPUTED_VALUE"""),"no")</f>
        <v>no</v>
      </c>
      <c r="AE37" s="3"/>
      <c r="AF37" s="3" t="str">
        <f>IFERROR(__xludf.DUMMYFUNCTION("""COMPUTED_VALUE"""),"no")</f>
        <v>no</v>
      </c>
      <c r="AG37" s="3"/>
    </row>
    <row r="38" hidden="1">
      <c r="A38" s="3" t="str">
        <f>IFERROR(__xludf.DUMMYFUNCTION("""COMPUTED_VALUE"""),"1971319335915602323")</f>
        <v>1971319335915602323</v>
      </c>
      <c r="B38" s="3" t="str">
        <f>IFERROR(__xludf.DUMMYFUNCTION("""COMPUTED_VALUE"""),"1971319335915602323")</f>
        <v>1971319335915602323</v>
      </c>
      <c r="C38" s="10">
        <f>IFERROR(__xludf.DUMMYFUNCTION("""COMPUTED_VALUE"""),45925.876493055555)</f>
        <v>45925.87649</v>
      </c>
      <c r="D38" s="3">
        <f>IFERROR(__xludf.DUMMYFUNCTION("""COMPUTED_VALUE"""),1.758834129E9)</f>
        <v>1758834129</v>
      </c>
      <c r="E38" s="11" t="str">
        <f>IFERROR(__xludf.DUMMYFUNCTION("""COMPUTED_VALUE"""),"https://x.com/prisi_luna27/status/1971319335915602323")</f>
        <v>https://x.com/prisi_luna27/status/1971319335915602323</v>
      </c>
      <c r="F38" s="3" t="str">
        <f>IFERROR(__xludf.DUMMYFUNCTION("""COMPUTED_VALUE"""),"En marzo 2025 me entero que tengo TDAH adulto y en agosto 2025 me dicen que tengo TEA nivel 1 algo así, estoy en el proceso de entender lo  neurodivergente🧠
Solo se que es un día a la vez✨
Deje el cigarro hace 10 años y ahora llevo  3 meses sin alcohol,e"&amp;"l deporte ha sido mejor")</f>
        <v>En marzo 2025 me entero que tengo TDAH adulto y en agosto 2025 me dicen que tengo TEA nivel 1 algo así, estoy en el proceso de entender lo  neurodivergente🧠
Solo se que es un día a la vez✨
Deje el cigarro hace 10 años y ahora llevo  3 meses sin alcohol,el deporte ha sido mejor</v>
      </c>
      <c r="G38" s="3" t="str">
        <f>IFERROR(__xludf.DUMMYFUNCTION("""COMPUTED_VALUE"""),"prisi_luna27")</f>
        <v>prisi_luna27</v>
      </c>
      <c r="H38" s="3" t="str">
        <f>IFERROR(__xludf.DUMMYFUNCTION("""COMPUTED_VALUE"""),"ᏢᏒᎥsᎥᏞ🅰️🐈🐾🐾")</f>
        <v>ᏢᏒᎥsᎥᏞ🅰️🐈🐾🐾</v>
      </c>
      <c r="I38" s="3" t="str">
        <f>IFERROR(__xludf.DUMMYFUNCTION("""COMPUTED_VALUE"""),"1254627509351714816")</f>
        <v>1254627509351714816</v>
      </c>
      <c r="J38" s="11" t="str">
        <f>IFERROR(__xludf.DUMMYFUNCTION("""COMPUTED_VALUE"""),"https://pbs.twimg.com/profile_images/1878496340562284544/etH9hoTo_normal.jpg")</f>
        <v>https://pbs.twimg.com/profile_images/1878496340562284544/etH9hoTo_normal.jpg</v>
      </c>
      <c r="K38" s="11" t="str">
        <f>IFERROR(__xludf.DUMMYFUNCTION("""COMPUTED_VALUE"""),"https://pbs.twimg.com/profile_banners/1254627509351714816/1630690788")</f>
        <v>https://pbs.twimg.com/profile_banners/1254627509351714816/1630690788</v>
      </c>
      <c r="L38" s="3" t="b">
        <f>IFERROR(__xludf.DUMMYFUNCTION("""COMPUTED_VALUE"""),FALSE)</f>
        <v>0</v>
      </c>
      <c r="M38" s="3" t="str">
        <f>IFERROR(__xludf.DUMMYFUNCTION("""COMPUTED_VALUE"""),"Twitter for Android")</f>
        <v>Twitter for Android</v>
      </c>
      <c r="N38" s="3" t="str">
        <f>IFERROR(__xludf.DUMMYFUNCTION("""COMPUTED_VALUE"""),"es")</f>
        <v>es</v>
      </c>
      <c r="O38" s="3" t="str">
        <f>IFERROR(__xludf.DUMMYFUNCTION("""COMPUTED_VALUE"""),"no")</f>
        <v>no</v>
      </c>
      <c r="P38" s="3">
        <f>IFERROR(__xludf.DUMMYFUNCTION("""COMPUTED_VALUE"""),0.0)</f>
        <v>0</v>
      </c>
      <c r="Q38" s="3">
        <f>IFERROR(__xludf.DUMMYFUNCTION("""COMPUTED_VALUE"""),7.0)</f>
        <v>7</v>
      </c>
      <c r="R38" s="3">
        <f>IFERROR(__xludf.DUMMYFUNCTION("""COMPUTED_VALUE"""),18.0)</f>
        <v>18</v>
      </c>
      <c r="S38" s="3">
        <f>IFERROR(__xludf.DUMMYFUNCTION("""COMPUTED_VALUE"""),0.0)</f>
        <v>0</v>
      </c>
      <c r="T38" s="3">
        <f>IFERROR(__xludf.DUMMYFUNCTION("""COMPUTED_VALUE"""),556.0)</f>
        <v>556</v>
      </c>
      <c r="U38" s="3" t="str">
        <f>IFERROR(__xludf.DUMMYFUNCTION("""COMPUTED_VALUE"""),"no")</f>
        <v>no</v>
      </c>
      <c r="V38" s="3"/>
      <c r="W38" s="3" t="str">
        <f>IFERROR(__xludf.DUMMYFUNCTION("""COMPUTED_VALUE"""),"no")</f>
        <v>no</v>
      </c>
      <c r="X38" s="3"/>
      <c r="Y38" s="3"/>
      <c r="Z38" s="3"/>
      <c r="AA38" s="3"/>
      <c r="AB38" s="3"/>
      <c r="AC38" s="3" t="str">
        <f>IFERROR(__xludf.DUMMYFUNCTION("""COMPUTED_VALUE"""),"no")</f>
        <v>no</v>
      </c>
      <c r="AD38" s="3" t="str">
        <f>IFERROR(__xludf.DUMMYFUNCTION("""COMPUTED_VALUE"""),"no")</f>
        <v>no</v>
      </c>
      <c r="AE38" s="3"/>
      <c r="AF38" s="3" t="str">
        <f>IFERROR(__xludf.DUMMYFUNCTION("""COMPUTED_VALUE"""),"no")</f>
        <v>no</v>
      </c>
      <c r="AG38" s="3"/>
    </row>
    <row r="39">
      <c r="A39" s="3" t="str">
        <f>IFERROR(__xludf.DUMMYFUNCTION("""COMPUTED_VALUE"""),"1982067973511930133")</f>
        <v>1982067973511930133</v>
      </c>
      <c r="B39" s="3" t="str">
        <f>IFERROR(__xludf.DUMMYFUNCTION("""COMPUTED_VALUE"""),"1982067973511930133")</f>
        <v>1982067973511930133</v>
      </c>
      <c r="C39" s="10">
        <f>IFERROR(__xludf.DUMMYFUNCTION("""COMPUTED_VALUE"""),45955.537083333336)</f>
        <v>45955.53708</v>
      </c>
      <c r="D39" s="3">
        <f>IFERROR(__xludf.DUMMYFUNCTION("""COMPUTED_VALUE"""),1.761396804E9)</f>
        <v>1761396804</v>
      </c>
      <c r="E39" s="11" t="str">
        <f>IFERROR(__xludf.DUMMYFUNCTION("""COMPUTED_VALUE"""),"https://x.com/viralataavulso/status/1982067973511930133")</f>
        <v>https://x.com/viralataavulso/status/1982067973511930133</v>
      </c>
      <c r="F39" s="3" t="str">
        <f>IFERROR(__xludf.DUMMYFUNCTION("""COMPUTED_VALUE"""),"Alguém que venceu o TDAH lendo o livro Vencendo o TDAH Adulto tem ele sobrando por aí?
Ô livro caro da pega")</f>
        <v>Alguém que venceu o TDAH lendo o livro Vencendo o TDAH Adulto tem ele sobrando por aí?
Ô livro caro da pega</v>
      </c>
      <c r="G39" s="3" t="str">
        <f>IFERROR(__xludf.DUMMYFUNCTION("""COMPUTED_VALUE"""),"viralataavulso")</f>
        <v>viralataavulso</v>
      </c>
      <c r="H39" s="3" t="str">
        <f>IFERROR(__xludf.DUMMYFUNCTION("""COMPUTED_VALUE"""),"Rafa Brovko")</f>
        <v>Rafa Brovko</v>
      </c>
      <c r="I39" s="3" t="str">
        <f>IFERROR(__xludf.DUMMYFUNCTION("""COMPUTED_VALUE"""),"1756066206371454976")</f>
        <v>1756066206371454976</v>
      </c>
      <c r="J39" s="11" t="str">
        <f>IFERROR(__xludf.DUMMYFUNCTION("""COMPUTED_VALUE"""),"https://pbs.twimg.com/profile_images/1973881794635186176/IbnCWh0Y_normal.jpg")</f>
        <v>https://pbs.twimg.com/profile_images/1973881794635186176/IbnCWh0Y_normal.jpg</v>
      </c>
      <c r="K39" s="11" t="str">
        <f>IFERROR(__xludf.DUMMYFUNCTION("""COMPUTED_VALUE"""),"https://pbs.twimg.com/profile_banners/1756066206371454976/1755267704")</f>
        <v>https://pbs.twimg.com/profile_banners/1756066206371454976/1755267704</v>
      </c>
      <c r="L39" s="3" t="b">
        <f>IFERROR(__xludf.DUMMYFUNCTION("""COMPUTED_VALUE"""),FALSE)</f>
        <v>0</v>
      </c>
      <c r="M39" s="3" t="str">
        <f>IFERROR(__xludf.DUMMYFUNCTION("""COMPUTED_VALUE"""),"Twitter Web App")</f>
        <v>Twitter Web App</v>
      </c>
      <c r="N39" s="3" t="str">
        <f>IFERROR(__xludf.DUMMYFUNCTION("""COMPUTED_VALUE"""),"pt")</f>
        <v>pt</v>
      </c>
      <c r="O39" s="3" t="str">
        <f>IFERROR(__xludf.DUMMYFUNCTION("""COMPUTED_VALUE"""),"no")</f>
        <v>no</v>
      </c>
      <c r="P39" s="3">
        <f>IFERROR(__xludf.DUMMYFUNCTION("""COMPUTED_VALUE"""),0.0)</f>
        <v>0</v>
      </c>
      <c r="Q39" s="3">
        <f>IFERROR(__xludf.DUMMYFUNCTION("""COMPUTED_VALUE"""),0.0)</f>
        <v>0</v>
      </c>
      <c r="R39" s="3">
        <f>IFERROR(__xludf.DUMMYFUNCTION("""COMPUTED_VALUE"""),0.0)</f>
        <v>0</v>
      </c>
      <c r="S39" s="3">
        <f>IFERROR(__xludf.DUMMYFUNCTION("""COMPUTED_VALUE"""),0.0)</f>
        <v>0</v>
      </c>
      <c r="T39" s="3">
        <f>IFERROR(__xludf.DUMMYFUNCTION("""COMPUTED_VALUE"""),34.0)</f>
        <v>34</v>
      </c>
      <c r="U39" s="3" t="str">
        <f>IFERROR(__xludf.DUMMYFUNCTION("""COMPUTED_VALUE"""),"no")</f>
        <v>no</v>
      </c>
      <c r="V39" s="3"/>
      <c r="W39" s="3" t="str">
        <f>IFERROR(__xludf.DUMMYFUNCTION("""COMPUTED_VALUE"""),"no")</f>
        <v>no</v>
      </c>
      <c r="X39" s="3"/>
      <c r="Y39" s="3"/>
      <c r="Z39" s="3"/>
      <c r="AA39" s="3"/>
      <c r="AB39" s="3"/>
      <c r="AC39" s="3" t="str">
        <f>IFERROR(__xludf.DUMMYFUNCTION("""COMPUTED_VALUE"""),"no")</f>
        <v>no</v>
      </c>
      <c r="AD39" s="3" t="str">
        <f>IFERROR(__xludf.DUMMYFUNCTION("""COMPUTED_VALUE"""),"no")</f>
        <v>no</v>
      </c>
      <c r="AE39" s="3"/>
      <c r="AF39" s="3" t="str">
        <f>IFERROR(__xludf.DUMMYFUNCTION("""COMPUTED_VALUE"""),"no")</f>
        <v>no</v>
      </c>
      <c r="AG39" s="3"/>
    </row>
    <row r="40">
      <c r="A40" s="3" t="str">
        <f>IFERROR(__xludf.DUMMYFUNCTION("""COMPUTED_VALUE"""),"1961488240893927812")</f>
        <v>1961488240893927812</v>
      </c>
      <c r="B40" s="3" t="str">
        <f>IFERROR(__xludf.DUMMYFUNCTION("""COMPUTED_VALUE"""),"1961488240893927812")</f>
        <v>1961488240893927812</v>
      </c>
      <c r="C40" s="10">
        <f>IFERROR(__xludf.DUMMYFUNCTION("""COMPUTED_VALUE"""),45898.74783564815)</f>
        <v>45898.74784</v>
      </c>
      <c r="D40" s="3">
        <f>IFERROR(__xludf.DUMMYFUNCTION("""COMPUTED_VALUE"""),1.756490213E9)</f>
        <v>1756490213</v>
      </c>
      <c r="E40" s="11" t="str">
        <f>IFERROR(__xludf.DUMMYFUNCTION("""COMPUTED_VALUE"""),"https://x.com/jinkook_br/status/1961488240893927812")</f>
        <v>https://x.com/jinkook_br/status/1961488240893927812</v>
      </c>
      <c r="F40" s="3" t="str">
        <f>IFERROR(__xludf.DUMMYFUNCTION("""COMPUTED_VALUE"""),"👤: “Não se mexa quando estiver sentado.""
🐰: Eu continuei me mexendo?
🐰: Mas não consigo evitar. Eu meio que...
🐰: é como TDAH adulto
🐰: eu tenho. Continuo me mexendo assim.
Quando vão parar de querer mandar neles? Que comentários são esses? 😡
http"&amp;"s://t.co/eFmw0qtHmU")</f>
        <v>👤: “Não se mexa quando estiver sentado."
🐰: Eu continuei me mexendo?
🐰: Mas não consigo evitar. Eu meio que...
🐰: é como TDAH adulto
🐰: eu tenho. Continuo me mexendo assim.
Quando vão parar de querer mandar neles? Que comentários são esses? 😡
https://t.co/eFmw0qtHmU</v>
      </c>
      <c r="G40" s="3" t="str">
        <f>IFERROR(__xludf.DUMMYFUNCTION("""COMPUTED_VALUE"""),"jinkook_br")</f>
        <v>jinkook_br</v>
      </c>
      <c r="H40" s="3" t="str">
        <f>IFERROR(__xludf.DUMMYFUNCTION("""COMPUTED_VALUE"""),"JINKOOK BR⁷")</f>
        <v>JINKOOK BR⁷</v>
      </c>
      <c r="I40" s="3" t="str">
        <f>IFERROR(__xludf.DUMMYFUNCTION("""COMPUTED_VALUE"""),"1311746150890901505")</f>
        <v>1311746150890901505</v>
      </c>
      <c r="J40" s="11" t="str">
        <f>IFERROR(__xludf.DUMMYFUNCTION("""COMPUTED_VALUE"""),"https://pbs.twimg.com/profile_images/1978090744012328960/RgVwn3_k_normal.jpg")</f>
        <v>https://pbs.twimg.com/profile_images/1978090744012328960/RgVwn3_k_normal.jpg</v>
      </c>
      <c r="K40" s="11" t="str">
        <f>IFERROR(__xludf.DUMMYFUNCTION("""COMPUTED_VALUE"""),"https://pbs.twimg.com/profile_banners/1311746150890901505/1760449806")</f>
        <v>https://pbs.twimg.com/profile_banners/1311746150890901505/1760449806</v>
      </c>
      <c r="L40" s="3" t="b">
        <f>IFERROR(__xludf.DUMMYFUNCTION("""COMPUTED_VALUE"""),FALSE)</f>
        <v>0</v>
      </c>
      <c r="M40" s="3" t="str">
        <f>IFERROR(__xludf.DUMMYFUNCTION("""COMPUTED_VALUE"""),"Twitter for Android")</f>
        <v>Twitter for Android</v>
      </c>
      <c r="N40" s="3" t="str">
        <f>IFERROR(__xludf.DUMMYFUNCTION("""COMPUTED_VALUE"""),"pt")</f>
        <v>pt</v>
      </c>
      <c r="O40" s="3" t="str">
        <f>IFERROR(__xludf.DUMMYFUNCTION("""COMPUTED_VALUE"""),"no")</f>
        <v>no</v>
      </c>
      <c r="P40" s="3">
        <f>IFERROR(__xludf.DUMMYFUNCTION("""COMPUTED_VALUE"""),1.0)</f>
        <v>1</v>
      </c>
      <c r="Q40" s="3">
        <f>IFERROR(__xludf.DUMMYFUNCTION("""COMPUTED_VALUE"""),2.0)</f>
        <v>2</v>
      </c>
      <c r="R40" s="3">
        <f>IFERROR(__xludf.DUMMYFUNCTION("""COMPUTED_VALUE"""),17.0)</f>
        <v>17</v>
      </c>
      <c r="S40" s="3">
        <f>IFERROR(__xludf.DUMMYFUNCTION("""COMPUTED_VALUE"""),1.0)</f>
        <v>1</v>
      </c>
      <c r="T40" s="3">
        <f>IFERROR(__xludf.DUMMYFUNCTION("""COMPUTED_VALUE"""),428.0)</f>
        <v>428</v>
      </c>
      <c r="U40" s="3" t="str">
        <f>IFERROR(__xludf.DUMMYFUNCTION("""COMPUTED_VALUE"""),"no")</f>
        <v>no</v>
      </c>
      <c r="V40" s="3"/>
      <c r="W40" s="3" t="str">
        <f>IFERROR(__xludf.DUMMYFUNCTION("""COMPUTED_VALUE"""),"no")</f>
        <v>no</v>
      </c>
      <c r="X40" s="3"/>
      <c r="Y40" s="3"/>
      <c r="Z40" s="3"/>
      <c r="AA40" s="3"/>
      <c r="AB40" s="3"/>
      <c r="AC40" s="3" t="str">
        <f>IFERROR(__xludf.DUMMYFUNCTION("""COMPUTED_VALUE"""),"no")</f>
        <v>no</v>
      </c>
      <c r="AD40" s="3" t="str">
        <f>IFERROR(__xludf.DUMMYFUNCTION("""COMPUTED_VALUE"""),"no")</f>
        <v>no</v>
      </c>
      <c r="AE40" s="3"/>
      <c r="AF40" s="3" t="str">
        <f>IFERROR(__xludf.DUMMYFUNCTION("""COMPUTED_VALUE"""),"no")</f>
        <v>no</v>
      </c>
      <c r="AG40" s="3"/>
    </row>
    <row r="41" hidden="1">
      <c r="A41" s="3" t="str">
        <f>IFERROR(__xludf.DUMMYFUNCTION("""COMPUTED_VALUE"""),"1954343187809722450")</f>
        <v>1954343187809722450</v>
      </c>
      <c r="B41" s="3" t="str">
        <f>IFERROR(__xludf.DUMMYFUNCTION("""COMPUTED_VALUE"""),"1954343187809722450")</f>
        <v>1954343187809722450</v>
      </c>
      <c r="C41" s="10">
        <f>IFERROR(__xludf.DUMMYFUNCTION("""COMPUTED_VALUE"""),45879.03125)</f>
        <v>45879.03125</v>
      </c>
      <c r="D41" s="3">
        <f>IFERROR(__xludf.DUMMYFUNCTION("""COMPUTED_VALUE"""),1.7547867E9)</f>
        <v>1754786700</v>
      </c>
      <c r="E41" s="11" t="str">
        <f>IFERROR(__xludf.DUMMYFUNCTION("""COMPUTED_VALUE"""),"https://x.com/MauricioLeija/status/1954343187809722450")</f>
        <v>https://x.com/MauricioLeija/status/1954343187809722450</v>
      </c>
      <c r="F41" s="3" t="str">
        <f>IFERROR(__xludf.DUMMYFUNCTION("""COMPUTED_VALUE"""),"TDAH del adulto y distracción al volante. Conversación con la n-europsicóloga Gina Fonseca para #MiDiarioDeTDAH
#TDAHdelAdulto #TDAH #HablemosDelTDAH #Neurodiversidad #Neurodivergencia #Neurodesarrollo #NeurodesarrolloyConducta #HablemosDeSaludMental htt"&amp;"ps://t.co/jCBieckZ0o")</f>
        <v>TDAH del adulto y distracción al volante. Conversación con la n-europsicóloga Gina Fonseca para #MiDiarioDeTDAH
#TDAHdelAdulto #TDAH #HablemosDelTDAH #Neurodiversidad #Neurodivergencia #Neurodesarrollo #NeurodesarrolloyConducta #HablemosDeSaludMental https://t.co/jCBieckZ0o</v>
      </c>
      <c r="G41" s="3" t="str">
        <f>IFERROR(__xludf.DUMMYFUNCTION("""COMPUTED_VALUE"""),"MauricioLeija")</f>
        <v>MauricioLeija</v>
      </c>
      <c r="H41" s="3" t="str">
        <f>IFERROR(__xludf.DUMMYFUNCTION("""COMPUTED_VALUE"""),"Dr. Mauricio Leija")</f>
        <v>Dr. Mauricio Leija</v>
      </c>
      <c r="I41" s="3">
        <f>IFERROR(__xludf.DUMMYFUNCTION("""COMPUTED_VALUE"""),2.825615947E9)</f>
        <v>2825615947</v>
      </c>
      <c r="J41" s="11" t="str">
        <f>IFERROR(__xludf.DUMMYFUNCTION("""COMPUTED_VALUE"""),"https://pbs.twimg.com/profile_images/1988347861507952640/MmBWSSun_normal.jpg")</f>
        <v>https://pbs.twimg.com/profile_images/1988347861507952640/MmBWSSun_normal.jpg</v>
      </c>
      <c r="K41" s="11" t="str">
        <f>IFERROR(__xludf.DUMMYFUNCTION("""COMPUTED_VALUE"""),"https://pbs.twimg.com/profile_banners/2825615947/1674793295")</f>
        <v>https://pbs.twimg.com/profile_banners/2825615947/1674793295</v>
      </c>
      <c r="L41" s="3" t="b">
        <f>IFERROR(__xludf.DUMMYFUNCTION("""COMPUTED_VALUE"""),TRUE)</f>
        <v>1</v>
      </c>
      <c r="M41" s="3" t="str">
        <f>IFERROR(__xludf.DUMMYFUNCTION("""COMPUTED_VALUE"""),"Twitter Web App")</f>
        <v>Twitter Web App</v>
      </c>
      <c r="N41" s="3" t="str">
        <f>IFERROR(__xludf.DUMMYFUNCTION("""COMPUTED_VALUE"""),"es")</f>
        <v>es</v>
      </c>
      <c r="O41" s="3" t="str">
        <f>IFERROR(__xludf.DUMMYFUNCTION("""COMPUTED_VALUE"""),"no")</f>
        <v>no</v>
      </c>
      <c r="P41" s="3">
        <f>IFERROR(__xludf.DUMMYFUNCTION("""COMPUTED_VALUE"""),2.0)</f>
        <v>2</v>
      </c>
      <c r="Q41" s="3">
        <f>IFERROR(__xludf.DUMMYFUNCTION("""COMPUTED_VALUE"""),1.0)</f>
        <v>1</v>
      </c>
      <c r="R41" s="3">
        <f>IFERROR(__xludf.DUMMYFUNCTION("""COMPUTED_VALUE"""),10.0)</f>
        <v>10</v>
      </c>
      <c r="S41" s="3">
        <f>IFERROR(__xludf.DUMMYFUNCTION("""COMPUTED_VALUE"""),0.0)</f>
        <v>0</v>
      </c>
      <c r="T41" s="3">
        <f>IFERROR(__xludf.DUMMYFUNCTION("""COMPUTED_VALUE"""),333.0)</f>
        <v>333</v>
      </c>
      <c r="U41" s="3" t="str">
        <f>IFERROR(__xludf.DUMMYFUNCTION("""COMPUTED_VALUE"""),"no")</f>
        <v>no</v>
      </c>
      <c r="V41" s="3"/>
      <c r="W41" s="3" t="str">
        <f>IFERROR(__xludf.DUMMYFUNCTION("""COMPUTED_VALUE"""),"no")</f>
        <v>no</v>
      </c>
      <c r="X41" s="3"/>
      <c r="Y41" s="3"/>
      <c r="Z41" s="3"/>
      <c r="AA41" s="3"/>
      <c r="AB41" s="3"/>
      <c r="AC41" s="3" t="str">
        <f>IFERROR(__xludf.DUMMYFUNCTION("""COMPUTED_VALUE"""),"no")</f>
        <v>no</v>
      </c>
      <c r="AD41" s="3" t="str">
        <f>IFERROR(__xludf.DUMMYFUNCTION("""COMPUTED_VALUE"""),"no")</f>
        <v>no</v>
      </c>
      <c r="AE41" s="3"/>
      <c r="AF41" s="3" t="str">
        <f>IFERROR(__xludf.DUMMYFUNCTION("""COMPUTED_VALUE"""),"no")</f>
        <v>no</v>
      </c>
      <c r="AG41" s="3" t="str">
        <f>IFERROR(__xludf.DUMMYFUNCTION("""COMPUTED_VALUE"""),"MiDiarioDeTDAH,TDAHdelAdulto,TDAH,HablemosDelTDAH,Neurodiversidad,Neurodivergencia,Neurodesarrollo,NeurodesarrolloyConducta,HablemosDeSaludMental")</f>
        <v>MiDiarioDeTDAH,TDAHdelAdulto,TDAH,HablemosDelTDAH,Neurodiversidad,Neurodivergencia,Neurodesarrollo,NeurodesarrolloyConducta,HablemosDeSaludMental</v>
      </c>
    </row>
    <row r="42" hidden="1">
      <c r="A42" s="3" t="str">
        <f>IFERROR(__xludf.DUMMYFUNCTION("""COMPUTED_VALUE"""),"1934468429278327271")</f>
        <v>1934468429278327271</v>
      </c>
      <c r="B42" s="3" t="str">
        <f>IFERROR(__xludf.DUMMYFUNCTION("""COMPUTED_VALUE"""),"1934468429278327271")</f>
        <v>1934468429278327271</v>
      </c>
      <c r="C42" s="10">
        <f>IFERROR(__xludf.DUMMYFUNCTION("""COMPUTED_VALUE"""),45824.18736111111)</f>
        <v>45824.18736</v>
      </c>
      <c r="D42" s="3">
        <f>IFERROR(__xludf.DUMMYFUNCTION("""COMPUTED_VALUE"""),1.750048188E9)</f>
        <v>1750048188</v>
      </c>
      <c r="E42" s="11" t="str">
        <f>IFERROR(__xludf.DUMMYFUNCTION("""COMPUTED_VALUE"""),"https://x.com/MauricioLeija/status/1934468429278327271")</f>
        <v>https://x.com/MauricioLeija/status/1934468429278327271</v>
      </c>
      <c r="F42" s="3" t="str">
        <f>IFERROR(__xludf.DUMMYFUNCTION("""COMPUTED_VALUE"""),"Pudiera ser que lo peor de un adulto con TDAH salga en la relación de pareja. Ojo con este tema. Conversación entre Gina Fonseca y Mauricio Leija para #MiDiarioDeTDAH
#TDAHdelAdulto #TDAH #HablemosDelTDAH #Neurodiversidad #Neurodivergencia #Neurodesarrol"&amp;"lo https://t.co/TYTc0EmFTn")</f>
        <v>Pudiera ser que lo peor de un adulto con TDAH salga en la relación de pareja. Ojo con este tema. Conversación entre Gina Fonseca y Mauricio Leija para #MiDiarioDeTDAH
#TDAHdelAdulto #TDAH #HablemosDelTDAH #Neurodiversidad #Neurodivergencia #Neurodesarrollo https://t.co/TYTc0EmFTn</v>
      </c>
      <c r="G42" s="3" t="str">
        <f>IFERROR(__xludf.DUMMYFUNCTION("""COMPUTED_VALUE"""),"MauricioLeija")</f>
        <v>MauricioLeija</v>
      </c>
      <c r="H42" s="3" t="str">
        <f>IFERROR(__xludf.DUMMYFUNCTION("""COMPUTED_VALUE"""),"Dr. Mauricio Leija")</f>
        <v>Dr. Mauricio Leija</v>
      </c>
      <c r="I42" s="3">
        <f>IFERROR(__xludf.DUMMYFUNCTION("""COMPUTED_VALUE"""),2.825615947E9)</f>
        <v>2825615947</v>
      </c>
      <c r="J42" s="11" t="str">
        <f>IFERROR(__xludf.DUMMYFUNCTION("""COMPUTED_VALUE"""),"https://pbs.twimg.com/profile_images/1988347861507952640/MmBWSSun_normal.jpg")</f>
        <v>https://pbs.twimg.com/profile_images/1988347861507952640/MmBWSSun_normal.jpg</v>
      </c>
      <c r="K42" s="11" t="str">
        <f>IFERROR(__xludf.DUMMYFUNCTION("""COMPUTED_VALUE"""),"https://pbs.twimg.com/profile_banners/2825615947/1674793295")</f>
        <v>https://pbs.twimg.com/profile_banners/2825615947/1674793295</v>
      </c>
      <c r="L42" s="3" t="b">
        <f>IFERROR(__xludf.DUMMYFUNCTION("""COMPUTED_VALUE"""),TRUE)</f>
        <v>1</v>
      </c>
      <c r="M42" s="3" t="str">
        <f>IFERROR(__xludf.DUMMYFUNCTION("""COMPUTED_VALUE"""),"Twitter Web App")</f>
        <v>Twitter Web App</v>
      </c>
      <c r="N42" s="3" t="str">
        <f>IFERROR(__xludf.DUMMYFUNCTION("""COMPUTED_VALUE"""),"es")</f>
        <v>es</v>
      </c>
      <c r="O42" s="3" t="str">
        <f>IFERROR(__xludf.DUMMYFUNCTION("""COMPUTED_VALUE"""),"no")</f>
        <v>no</v>
      </c>
      <c r="P42" s="3">
        <f>IFERROR(__xludf.DUMMYFUNCTION("""COMPUTED_VALUE"""),0.0)</f>
        <v>0</v>
      </c>
      <c r="Q42" s="3">
        <f>IFERROR(__xludf.DUMMYFUNCTION("""COMPUTED_VALUE"""),0.0)</f>
        <v>0</v>
      </c>
      <c r="R42" s="3">
        <f>IFERROR(__xludf.DUMMYFUNCTION("""COMPUTED_VALUE"""),18.0)</f>
        <v>18</v>
      </c>
      <c r="S42" s="3">
        <f>IFERROR(__xludf.DUMMYFUNCTION("""COMPUTED_VALUE"""),0.0)</f>
        <v>0</v>
      </c>
      <c r="T42" s="3">
        <f>IFERROR(__xludf.DUMMYFUNCTION("""COMPUTED_VALUE"""),335.0)</f>
        <v>335</v>
      </c>
      <c r="U42" s="3" t="str">
        <f>IFERROR(__xludf.DUMMYFUNCTION("""COMPUTED_VALUE"""),"no")</f>
        <v>no</v>
      </c>
      <c r="V42" s="3"/>
      <c r="W42" s="3" t="str">
        <f>IFERROR(__xludf.DUMMYFUNCTION("""COMPUTED_VALUE"""),"no")</f>
        <v>no</v>
      </c>
      <c r="X42" s="3"/>
      <c r="Y42" s="3"/>
      <c r="Z42" s="3"/>
      <c r="AA42" s="3"/>
      <c r="AB42" s="3"/>
      <c r="AC42" s="3" t="str">
        <f>IFERROR(__xludf.DUMMYFUNCTION("""COMPUTED_VALUE"""),"no")</f>
        <v>no</v>
      </c>
      <c r="AD42" s="3" t="str">
        <f>IFERROR(__xludf.DUMMYFUNCTION("""COMPUTED_VALUE"""),"no")</f>
        <v>no</v>
      </c>
      <c r="AE42" s="3"/>
      <c r="AF42" s="3" t="str">
        <f>IFERROR(__xludf.DUMMYFUNCTION("""COMPUTED_VALUE"""),"no")</f>
        <v>no</v>
      </c>
      <c r="AG42" s="3" t="str">
        <f>IFERROR(__xludf.DUMMYFUNCTION("""COMPUTED_VALUE"""),"MiDiarioDeTDAH,TDAHdelAdulto,TDAH,HablemosDelTDAH,Neurodiversidad,Neurodivergencia,Neurodesarrollo")</f>
        <v>MiDiarioDeTDAH,TDAHdelAdulto,TDAH,HablemosDelTDAH,Neurodiversidad,Neurodivergencia,Neurodesarrollo</v>
      </c>
    </row>
    <row r="43" hidden="1">
      <c r="A43" s="3" t="str">
        <f>IFERROR(__xludf.DUMMYFUNCTION("""COMPUTED_VALUE"""),"1933576398158917640")</f>
        <v>1933576398158917640</v>
      </c>
      <c r="B43" s="3" t="str">
        <f>IFERROR(__xludf.DUMMYFUNCTION("""COMPUTED_VALUE"""),"1933576398158917640")</f>
        <v>1933576398158917640</v>
      </c>
      <c r="C43" s="10">
        <f>IFERROR(__xludf.DUMMYFUNCTION("""COMPUTED_VALUE"""),45821.72583333333)</f>
        <v>45821.72583</v>
      </c>
      <c r="D43" s="3">
        <f>IFERROR(__xludf.DUMMYFUNCTION("""COMPUTED_VALUE"""),1.749835512E9)</f>
        <v>1749835512</v>
      </c>
      <c r="E43" s="11" t="str">
        <f>IFERROR(__xludf.DUMMYFUNCTION("""COMPUTED_VALUE"""),"https://x.com/MauricioLeija/status/1933576398158917640")</f>
        <v>https://x.com/MauricioLeija/status/1933576398158917640</v>
      </c>
      <c r="F43" s="3" t="str">
        <f>IFERROR(__xludf.DUMMYFUNCTION("""COMPUTED_VALUE"""),"TDAH del adulto: ¿por qué cada caso es único? Este será el tema que discutiremos hoy en la transmisión en vivo de #MiDiarioDeTDAH Los esperamos a la 1 p.m. tiempo del Centro de México.
#TDAHdelAdulto #TDAH #HablemosDelTDAH #HablemosDeSaludMental https://"&amp;"t.co/KBcmJeOK4q")</f>
        <v>TDAH del adulto: ¿por qué cada caso es único? Este será el tema que discutiremos hoy en la transmisión en vivo de #MiDiarioDeTDAH Los esperamos a la 1 p.m. tiempo del Centro de México.
#TDAHdelAdulto #TDAH #HablemosDelTDAH #HablemosDeSaludMental https://t.co/KBcmJeOK4q</v>
      </c>
      <c r="G43" s="3" t="str">
        <f>IFERROR(__xludf.DUMMYFUNCTION("""COMPUTED_VALUE"""),"MauricioLeija")</f>
        <v>MauricioLeija</v>
      </c>
      <c r="H43" s="3" t="str">
        <f>IFERROR(__xludf.DUMMYFUNCTION("""COMPUTED_VALUE"""),"Dr. Mauricio Leija")</f>
        <v>Dr. Mauricio Leija</v>
      </c>
      <c r="I43" s="3">
        <f>IFERROR(__xludf.DUMMYFUNCTION("""COMPUTED_VALUE"""),2.825615947E9)</f>
        <v>2825615947</v>
      </c>
      <c r="J43" s="11" t="str">
        <f>IFERROR(__xludf.DUMMYFUNCTION("""COMPUTED_VALUE"""),"https://pbs.twimg.com/profile_images/1988347861507952640/MmBWSSun_normal.jpg")</f>
        <v>https://pbs.twimg.com/profile_images/1988347861507952640/MmBWSSun_normal.jpg</v>
      </c>
      <c r="K43" s="11" t="str">
        <f>IFERROR(__xludf.DUMMYFUNCTION("""COMPUTED_VALUE"""),"https://pbs.twimg.com/profile_banners/2825615947/1674793295")</f>
        <v>https://pbs.twimg.com/profile_banners/2825615947/1674793295</v>
      </c>
      <c r="L43" s="3" t="b">
        <f>IFERROR(__xludf.DUMMYFUNCTION("""COMPUTED_VALUE"""),TRUE)</f>
        <v>1</v>
      </c>
      <c r="M43" s="3" t="str">
        <f>IFERROR(__xludf.DUMMYFUNCTION("""COMPUTED_VALUE"""),"Twitter for Android")</f>
        <v>Twitter for Android</v>
      </c>
      <c r="N43" s="3" t="str">
        <f>IFERROR(__xludf.DUMMYFUNCTION("""COMPUTED_VALUE"""),"es")</f>
        <v>es</v>
      </c>
      <c r="O43" s="3" t="str">
        <f>IFERROR(__xludf.DUMMYFUNCTION("""COMPUTED_VALUE"""),"no")</f>
        <v>no</v>
      </c>
      <c r="P43" s="3">
        <f>IFERROR(__xludf.DUMMYFUNCTION("""COMPUTED_VALUE"""),2.0)</f>
        <v>2</v>
      </c>
      <c r="Q43" s="3">
        <f>IFERROR(__xludf.DUMMYFUNCTION("""COMPUTED_VALUE"""),0.0)</f>
        <v>0</v>
      </c>
      <c r="R43" s="3">
        <f>IFERROR(__xludf.DUMMYFUNCTION("""COMPUTED_VALUE"""),19.0)</f>
        <v>19</v>
      </c>
      <c r="S43" s="3">
        <f>IFERROR(__xludf.DUMMYFUNCTION("""COMPUTED_VALUE"""),0.0)</f>
        <v>0</v>
      </c>
      <c r="T43" s="3">
        <f>IFERROR(__xludf.DUMMYFUNCTION("""COMPUTED_VALUE"""),339.0)</f>
        <v>339</v>
      </c>
      <c r="U43" s="3" t="str">
        <f>IFERROR(__xludf.DUMMYFUNCTION("""COMPUTED_VALUE"""),"no")</f>
        <v>no</v>
      </c>
      <c r="V43" s="3"/>
      <c r="W43" s="3" t="str">
        <f>IFERROR(__xludf.DUMMYFUNCTION("""COMPUTED_VALUE"""),"no")</f>
        <v>no</v>
      </c>
      <c r="X43" s="3"/>
      <c r="Y43" s="3"/>
      <c r="Z43" s="3"/>
      <c r="AA43" s="3"/>
      <c r="AB43" s="3"/>
      <c r="AC43" s="3" t="str">
        <f>IFERROR(__xludf.DUMMYFUNCTION("""COMPUTED_VALUE"""),"no")</f>
        <v>no</v>
      </c>
      <c r="AD43" s="3" t="str">
        <f>IFERROR(__xludf.DUMMYFUNCTION("""COMPUTED_VALUE"""),"no")</f>
        <v>no</v>
      </c>
      <c r="AE43" s="3"/>
      <c r="AF43" s="3" t="str">
        <f>IFERROR(__xludf.DUMMYFUNCTION("""COMPUTED_VALUE"""),"no")</f>
        <v>no</v>
      </c>
      <c r="AG43" s="3" t="str">
        <f>IFERROR(__xludf.DUMMYFUNCTION("""COMPUTED_VALUE"""),"MiDiarioDeTDAH,TDAHdelAdulto,TDAH,HablemosDelTDAH,HablemosDeSaludMental")</f>
        <v>MiDiarioDeTDAH,TDAHdelAdulto,TDAH,HablemosDelTDAH,HablemosDeSaludMental</v>
      </c>
    </row>
    <row r="44" hidden="1">
      <c r="A44" s="3" t="str">
        <f>IFERROR(__xludf.DUMMYFUNCTION("""COMPUTED_VALUE"""),"1975000183164346744")</f>
        <v>1975000183164346744</v>
      </c>
      <c r="B44" s="3" t="str">
        <f>IFERROR(__xludf.DUMMYFUNCTION("""COMPUTED_VALUE"""),"1975000183164346744")</f>
        <v>1975000183164346744</v>
      </c>
      <c r="C44" s="10">
        <f>IFERROR(__xludf.DUMMYFUNCTION("""COMPUTED_VALUE"""),45936.0337037037)</f>
        <v>45936.0337</v>
      </c>
      <c r="D44" s="3">
        <f>IFERROR(__xludf.DUMMYFUNCTION("""COMPUTED_VALUE"""),1.759711712E9)</f>
        <v>1759711712</v>
      </c>
      <c r="E44" s="11" t="str">
        <f>IFERROR(__xludf.DUMMYFUNCTION("""COMPUTED_VALUE"""),"https://x.com/AlfredoAlvarezz/status/1975000183164346744")</f>
        <v>https://x.com/AlfredoAlvarezz/status/1975000183164346744</v>
      </c>
      <c r="F44" s="3" t="str">
        <f>IFERROR(__xludf.DUMMYFUNCTION("""COMPUTED_VALUE"""),"Un adulto describe cómo descubrió que sus problemas de siempre eran en realidad síntomas de TDAH después de ver una lista en Internet y buscar ayuda profesional. #TDAH #saludmental https://t.co/e9FsvgvVAY")</f>
        <v>Un adulto describe cómo descubrió que sus problemas de siempre eran en realidad síntomas de TDAH después de ver una lista en Internet y buscar ayuda profesional. #TDAH #saludmental https://t.co/e9FsvgvVAY</v>
      </c>
      <c r="G44" s="3" t="str">
        <f>IFERROR(__xludf.DUMMYFUNCTION("""COMPUTED_VALUE"""),"AlfredoAlvarezz")</f>
        <v>AlfredoAlvarezz</v>
      </c>
      <c r="H44" s="3" t="str">
        <f>IFERROR(__xludf.DUMMYFUNCTION("""COMPUTED_VALUE"""),"Alfredo Alvarez")</f>
        <v>Alfredo Alvarez</v>
      </c>
      <c r="I44" s="3">
        <f>IFERROR(__xludf.DUMMYFUNCTION("""COMPUTED_VALUE"""),1.54403438E8)</f>
        <v>154403438</v>
      </c>
      <c r="J44" s="11" t="str">
        <f>IFERROR(__xludf.DUMMYFUNCTION("""COMPUTED_VALUE"""),"https://pbs.twimg.com/profile_images/482530070209130497/Gt7ngfhx_normal.jpeg")</f>
        <v>https://pbs.twimg.com/profile_images/482530070209130497/Gt7ngfhx_normal.jpeg</v>
      </c>
      <c r="K44" s="11" t="str">
        <f>IFERROR(__xludf.DUMMYFUNCTION("""COMPUTED_VALUE"""),"https://pbs.twimg.com/profile_banners/154403438/1747941937")</f>
        <v>https://pbs.twimg.com/profile_banners/154403438/1747941937</v>
      </c>
      <c r="L44" s="3" t="b">
        <f>IFERROR(__xludf.DUMMYFUNCTION("""COMPUTED_VALUE"""),TRUE)</f>
        <v>1</v>
      </c>
      <c r="M44" s="11" t="str">
        <f>IFERROR(__xludf.DUMMYFUNCTION("""COMPUTED_VALUE"""),"opus.pro")</f>
        <v>opus.pro</v>
      </c>
      <c r="N44" s="3" t="str">
        <f>IFERROR(__xludf.DUMMYFUNCTION("""COMPUTED_VALUE"""),"es")</f>
        <v>es</v>
      </c>
      <c r="O44" s="3" t="str">
        <f>IFERROR(__xludf.DUMMYFUNCTION("""COMPUTED_VALUE"""),"no")</f>
        <v>no</v>
      </c>
      <c r="P44" s="3">
        <f>IFERROR(__xludf.DUMMYFUNCTION("""COMPUTED_VALUE"""),0.0)</f>
        <v>0</v>
      </c>
      <c r="Q44" s="3">
        <f>IFERROR(__xludf.DUMMYFUNCTION("""COMPUTED_VALUE"""),0.0)</f>
        <v>0</v>
      </c>
      <c r="R44" s="3">
        <f>IFERROR(__xludf.DUMMYFUNCTION("""COMPUTED_VALUE"""),0.0)</f>
        <v>0</v>
      </c>
      <c r="S44" s="3">
        <f>IFERROR(__xludf.DUMMYFUNCTION("""COMPUTED_VALUE"""),0.0)</f>
        <v>0</v>
      </c>
      <c r="T44" s="3">
        <f>IFERROR(__xludf.DUMMYFUNCTION("""COMPUTED_VALUE"""),265.0)</f>
        <v>265</v>
      </c>
      <c r="U44" s="3" t="str">
        <f>IFERROR(__xludf.DUMMYFUNCTION("""COMPUTED_VALUE"""),"no")</f>
        <v>no</v>
      </c>
      <c r="V44" s="3"/>
      <c r="W44" s="3" t="str">
        <f>IFERROR(__xludf.DUMMYFUNCTION("""COMPUTED_VALUE"""),"no")</f>
        <v>no</v>
      </c>
      <c r="X44" s="3"/>
      <c r="Y44" s="3"/>
      <c r="Z44" s="3"/>
      <c r="AA44" s="3"/>
      <c r="AB44" s="3"/>
      <c r="AC44" s="3" t="str">
        <f>IFERROR(__xludf.DUMMYFUNCTION("""COMPUTED_VALUE"""),"no")</f>
        <v>no</v>
      </c>
      <c r="AD44" s="3" t="str">
        <f>IFERROR(__xludf.DUMMYFUNCTION("""COMPUTED_VALUE"""),"no")</f>
        <v>no</v>
      </c>
      <c r="AE44" s="3"/>
      <c r="AF44" s="3" t="str">
        <f>IFERROR(__xludf.DUMMYFUNCTION("""COMPUTED_VALUE"""),"no")</f>
        <v>no</v>
      </c>
      <c r="AG44" s="3" t="str">
        <f>IFERROR(__xludf.DUMMYFUNCTION("""COMPUTED_VALUE"""),"TDAH,saludmental")</f>
        <v>TDAH,saludmental</v>
      </c>
    </row>
    <row r="45" hidden="1">
      <c r="A45" s="3" t="str">
        <f>IFERROR(__xludf.DUMMYFUNCTION("""COMPUTED_VALUE"""),"1918387562269323616")</f>
        <v>1918387562269323616</v>
      </c>
      <c r="B45" s="3" t="str">
        <f>IFERROR(__xludf.DUMMYFUNCTION("""COMPUTED_VALUE"""),"1918387562269323616")</f>
        <v>1918387562269323616</v>
      </c>
      <c r="C45" s="10">
        <f>IFERROR(__xludf.DUMMYFUNCTION("""COMPUTED_VALUE"""),45779.812627314815)</f>
        <v>45779.81263</v>
      </c>
      <c r="D45" s="3">
        <f>IFERROR(__xludf.DUMMYFUNCTION("""COMPUTED_VALUE"""),1.746214211E9)</f>
        <v>1746214211</v>
      </c>
      <c r="E45" s="11" t="str">
        <f>IFERROR(__xludf.DUMMYFUNCTION("""COMPUTED_VALUE"""),"https://x.com/MauricioLeija/status/1918387562269323616")</f>
        <v>https://x.com/MauricioLeija/status/1918387562269323616</v>
      </c>
      <c r="F45" s="3" t="str">
        <f>IFERROR(__xludf.DUMMYFUNCTION("""COMPUTED_VALUE"""),"Detectando los signos del TDAH del adulto https://t.co/ZX34tZCMwt")</f>
        <v>Detectando los signos del TDAH del adulto https://t.co/ZX34tZCMwt</v>
      </c>
      <c r="G45" s="3" t="str">
        <f>IFERROR(__xludf.DUMMYFUNCTION("""COMPUTED_VALUE"""),"MauricioLeija")</f>
        <v>MauricioLeija</v>
      </c>
      <c r="H45" s="3" t="str">
        <f>IFERROR(__xludf.DUMMYFUNCTION("""COMPUTED_VALUE"""),"Dr. Mauricio Leija")</f>
        <v>Dr. Mauricio Leija</v>
      </c>
      <c r="I45" s="3">
        <f>IFERROR(__xludf.DUMMYFUNCTION("""COMPUTED_VALUE"""),2.825615947E9)</f>
        <v>2825615947</v>
      </c>
      <c r="J45" s="11" t="str">
        <f>IFERROR(__xludf.DUMMYFUNCTION("""COMPUTED_VALUE"""),"https://pbs.twimg.com/profile_images/1988347861507952640/MmBWSSun_normal.jpg")</f>
        <v>https://pbs.twimg.com/profile_images/1988347861507952640/MmBWSSun_normal.jpg</v>
      </c>
      <c r="K45" s="11" t="str">
        <f>IFERROR(__xludf.DUMMYFUNCTION("""COMPUTED_VALUE"""),"https://pbs.twimg.com/profile_banners/2825615947/1674793295")</f>
        <v>https://pbs.twimg.com/profile_banners/2825615947/1674793295</v>
      </c>
      <c r="L45" s="3" t="b">
        <f>IFERROR(__xludf.DUMMYFUNCTION("""COMPUTED_VALUE"""),TRUE)</f>
        <v>1</v>
      </c>
      <c r="M45" s="3" t="str">
        <f>IFERROR(__xludf.DUMMYFUNCTION("""COMPUTED_VALUE"""),"erased8036141_052BSwz4Zo")</f>
        <v>erased8036141_052BSwz4Zo</v>
      </c>
      <c r="N45" s="3" t="str">
        <f>IFERROR(__xludf.DUMMYFUNCTION("""COMPUTED_VALUE"""),"es")</f>
        <v>es</v>
      </c>
      <c r="O45" s="3" t="str">
        <f>IFERROR(__xludf.DUMMYFUNCTION("""COMPUTED_VALUE"""),"no")</f>
        <v>no</v>
      </c>
      <c r="P45" s="3">
        <f>IFERROR(__xludf.DUMMYFUNCTION("""COMPUTED_VALUE"""),1.0)</f>
        <v>1</v>
      </c>
      <c r="Q45" s="3">
        <f>IFERROR(__xludf.DUMMYFUNCTION("""COMPUTED_VALUE"""),1.0)</f>
        <v>1</v>
      </c>
      <c r="R45" s="3">
        <f>IFERROR(__xludf.DUMMYFUNCTION("""COMPUTED_VALUE"""),4.0)</f>
        <v>4</v>
      </c>
      <c r="S45" s="3">
        <f>IFERROR(__xludf.DUMMYFUNCTION("""COMPUTED_VALUE"""),0.0)</f>
        <v>0</v>
      </c>
      <c r="T45" s="3">
        <f>IFERROR(__xludf.DUMMYFUNCTION("""COMPUTED_VALUE"""),175.0)</f>
        <v>175</v>
      </c>
      <c r="U45" s="3" t="str">
        <f>IFERROR(__xludf.DUMMYFUNCTION("""COMPUTED_VALUE"""),"no")</f>
        <v>no</v>
      </c>
      <c r="V45" s="3"/>
      <c r="W45" s="3" t="str">
        <f>IFERROR(__xludf.DUMMYFUNCTION("""COMPUTED_VALUE"""),"no")</f>
        <v>no</v>
      </c>
      <c r="X45" s="3"/>
      <c r="Y45" s="3"/>
      <c r="Z45" s="3"/>
      <c r="AA45" s="3"/>
      <c r="AB45" s="3"/>
      <c r="AC45" s="3" t="str">
        <f>IFERROR(__xludf.DUMMYFUNCTION("""COMPUTED_VALUE"""),"no")</f>
        <v>no</v>
      </c>
      <c r="AD45" s="3" t="str">
        <f>IFERROR(__xludf.DUMMYFUNCTION("""COMPUTED_VALUE"""),"no")</f>
        <v>no</v>
      </c>
      <c r="AE45" s="3"/>
      <c r="AF45" s="3" t="str">
        <f>IFERROR(__xludf.DUMMYFUNCTION("""COMPUTED_VALUE"""),"no")</f>
        <v>no</v>
      </c>
      <c r="AG45" s="3"/>
    </row>
    <row r="46">
      <c r="A46" s="3" t="str">
        <f>IFERROR(__xludf.DUMMYFUNCTION("""COMPUTED_VALUE"""),"1982795050330325497")</f>
        <v>1982795050330325497</v>
      </c>
      <c r="B46" s="3" t="str">
        <f>IFERROR(__xludf.DUMMYFUNCTION("""COMPUTED_VALUE"""),"1982795050330325497")</f>
        <v>1982795050330325497</v>
      </c>
      <c r="C46" s="10">
        <f>IFERROR(__xludf.DUMMYFUNCTION("""COMPUTED_VALUE"""),45957.5434375)</f>
        <v>45957.54344</v>
      </c>
      <c r="D46" s="3">
        <f>IFERROR(__xludf.DUMMYFUNCTION("""COMPUTED_VALUE"""),1.761570153E9)</f>
        <v>1761570153</v>
      </c>
      <c r="E46" s="11" t="str">
        <f>IFERROR(__xludf.DUMMYFUNCTION("""COMPUTED_VALUE"""),"https://x.com/eduardopeccin/status/1982795050330325497")</f>
        <v>https://x.com/eduardopeccin/status/1982795050330325497</v>
      </c>
      <c r="F46" s="3" t="str">
        <f>IFERROR(__xludf.DUMMYFUNCTION("""COMPUTED_VALUE"""),"5 verdades sobre o TDAH no adulto:
- 80% não preenchem mais critérios quando crescem
- 73% têm dois ou mais diagnósticos junto
- Melhora com o tempo mesmo sem tratamento
- Todo mundo foca melhor com anfetaminas. 
Isso não prova nada
- Alteração de sono n"&amp;"ão é critério de TDAH")</f>
        <v>5 verdades sobre o TDAH no adulto:
- 80% não preenchem mais critérios quando crescem
- 73% têm dois ou mais diagnósticos junto
- Melhora com o tempo mesmo sem tratamento
- Todo mundo foca melhor com anfetaminas. 
Isso não prova nada
- Alteração de sono não é critério de TDAH</v>
      </c>
      <c r="G46" s="3" t="str">
        <f>IFERROR(__xludf.DUMMYFUNCTION("""COMPUTED_VALUE"""),"eduardopeccin")</f>
        <v>eduardopeccin</v>
      </c>
      <c r="H46" s="3" t="str">
        <f>IFERROR(__xludf.DUMMYFUNCTION("""COMPUTED_VALUE"""),"Dr. Eduardo Peccin")</f>
        <v>Dr. Eduardo Peccin</v>
      </c>
      <c r="I46" s="3" t="str">
        <f>IFERROR(__xludf.DUMMYFUNCTION("""COMPUTED_VALUE"""),"1518911672274063361")</f>
        <v>1518911672274063361</v>
      </c>
      <c r="J46" s="11" t="str">
        <f>IFERROR(__xludf.DUMMYFUNCTION("""COMPUTED_VALUE"""),"https://pbs.twimg.com/profile_images/1964427375891898368/qNfK24Xo_normal.jpg")</f>
        <v>https://pbs.twimg.com/profile_images/1964427375891898368/qNfK24Xo_normal.jpg</v>
      </c>
      <c r="K46" s="3"/>
      <c r="L46" s="3" t="b">
        <f>IFERROR(__xludf.DUMMYFUNCTION("""COMPUTED_VALUE"""),FALSE)</f>
        <v>0</v>
      </c>
      <c r="M46" s="3" t="str">
        <f>IFERROR(__xludf.DUMMYFUNCTION("""COMPUTED_VALUE"""),"Twitter for iPhone")</f>
        <v>Twitter for iPhone</v>
      </c>
      <c r="N46" s="3" t="str">
        <f>IFERROR(__xludf.DUMMYFUNCTION("""COMPUTED_VALUE"""),"pt")</f>
        <v>pt</v>
      </c>
      <c r="O46" s="3" t="str">
        <f>IFERROR(__xludf.DUMMYFUNCTION("""COMPUTED_VALUE"""),"no")</f>
        <v>no</v>
      </c>
      <c r="P46" s="3">
        <f>IFERROR(__xludf.DUMMYFUNCTION("""COMPUTED_VALUE"""),0.0)</f>
        <v>0</v>
      </c>
      <c r="Q46" s="3">
        <f>IFERROR(__xludf.DUMMYFUNCTION("""COMPUTED_VALUE"""),0.0)</f>
        <v>0</v>
      </c>
      <c r="R46" s="3">
        <f>IFERROR(__xludf.DUMMYFUNCTION("""COMPUTED_VALUE"""),0.0)</f>
        <v>0</v>
      </c>
      <c r="S46" s="3">
        <f>IFERROR(__xludf.DUMMYFUNCTION("""COMPUTED_VALUE"""),0.0)</f>
        <v>0</v>
      </c>
      <c r="T46" s="3">
        <f>IFERROR(__xludf.DUMMYFUNCTION("""COMPUTED_VALUE"""),14.0)</f>
        <v>14</v>
      </c>
      <c r="U46" s="3" t="str">
        <f>IFERROR(__xludf.DUMMYFUNCTION("""COMPUTED_VALUE"""),"no")</f>
        <v>no</v>
      </c>
      <c r="V46" s="3"/>
      <c r="W46" s="3" t="str">
        <f>IFERROR(__xludf.DUMMYFUNCTION("""COMPUTED_VALUE"""),"no")</f>
        <v>no</v>
      </c>
      <c r="X46" s="3"/>
      <c r="Y46" s="3"/>
      <c r="Z46" s="3"/>
      <c r="AA46" s="3"/>
      <c r="AB46" s="3"/>
      <c r="AC46" s="3" t="str">
        <f>IFERROR(__xludf.DUMMYFUNCTION("""COMPUTED_VALUE"""),"no")</f>
        <v>no</v>
      </c>
      <c r="AD46" s="3" t="str">
        <f>IFERROR(__xludf.DUMMYFUNCTION("""COMPUTED_VALUE"""),"no")</f>
        <v>no</v>
      </c>
      <c r="AE46" s="3"/>
      <c r="AF46" s="3" t="str">
        <f>IFERROR(__xludf.DUMMYFUNCTION("""COMPUTED_VALUE"""),"no")</f>
        <v>no</v>
      </c>
      <c r="AG46" s="3"/>
    </row>
    <row r="47" hidden="1">
      <c r="A47" s="3" t="str">
        <f>IFERROR(__xludf.DUMMYFUNCTION("""COMPUTED_VALUE"""),"1938685666059264387")</f>
        <v>1938685666059264387</v>
      </c>
      <c r="B47" s="3" t="str">
        <f>IFERROR(__xludf.DUMMYFUNCTION("""COMPUTED_VALUE"""),"1938685666059264387")</f>
        <v>1938685666059264387</v>
      </c>
      <c r="C47" s="10">
        <f>IFERROR(__xludf.DUMMYFUNCTION("""COMPUTED_VALUE"""),45835.82472222222)</f>
        <v>45835.82472</v>
      </c>
      <c r="D47" s="3">
        <f>IFERROR(__xludf.DUMMYFUNCTION("""COMPUTED_VALUE"""),1.751053656E9)</f>
        <v>1751053656</v>
      </c>
      <c r="E47" s="11" t="str">
        <f>IFERROR(__xludf.DUMMYFUNCTION("""COMPUTED_VALUE"""),"https://x.com/MauricioLeija/status/1938685666059264387")</f>
        <v>https://x.com/MauricioLeija/status/1938685666059264387</v>
      </c>
      <c r="F47" s="3" t="str">
        <f>IFERROR(__xludf.DUMMYFUNCTION("""COMPUTED_VALUE"""),"TDAH del adulto: ¿por qué cada caso es único? 2da parte https://t.co/wPnrcW4b12")</f>
        <v>TDAH del adulto: ¿por qué cada caso es único? 2da parte https://t.co/wPnrcW4b12</v>
      </c>
      <c r="G47" s="3" t="str">
        <f>IFERROR(__xludf.DUMMYFUNCTION("""COMPUTED_VALUE"""),"MauricioLeija")</f>
        <v>MauricioLeija</v>
      </c>
      <c r="H47" s="3" t="str">
        <f>IFERROR(__xludf.DUMMYFUNCTION("""COMPUTED_VALUE"""),"Dr. Mauricio Leija")</f>
        <v>Dr. Mauricio Leija</v>
      </c>
      <c r="I47" s="3">
        <f>IFERROR(__xludf.DUMMYFUNCTION("""COMPUTED_VALUE"""),2.825615947E9)</f>
        <v>2825615947</v>
      </c>
      <c r="J47" s="11" t="str">
        <f>IFERROR(__xludf.DUMMYFUNCTION("""COMPUTED_VALUE"""),"https://pbs.twimg.com/profile_images/1988347861507952640/MmBWSSun_normal.jpg")</f>
        <v>https://pbs.twimg.com/profile_images/1988347861507952640/MmBWSSun_normal.jpg</v>
      </c>
      <c r="K47" s="11" t="str">
        <f>IFERROR(__xludf.DUMMYFUNCTION("""COMPUTED_VALUE"""),"https://pbs.twimg.com/profile_banners/2825615947/1674793295")</f>
        <v>https://pbs.twimg.com/profile_banners/2825615947/1674793295</v>
      </c>
      <c r="L47" s="3" t="b">
        <f>IFERROR(__xludf.DUMMYFUNCTION("""COMPUTED_VALUE"""),TRUE)</f>
        <v>1</v>
      </c>
      <c r="M47" s="3" t="str">
        <f>IFERROR(__xludf.DUMMYFUNCTION("""COMPUTED_VALUE"""),"erased8036141_052BSwz4Zo")</f>
        <v>erased8036141_052BSwz4Zo</v>
      </c>
      <c r="N47" s="3" t="str">
        <f>IFERROR(__xludf.DUMMYFUNCTION("""COMPUTED_VALUE"""),"es")</f>
        <v>es</v>
      </c>
      <c r="O47" s="3" t="str">
        <f>IFERROR(__xludf.DUMMYFUNCTION("""COMPUTED_VALUE"""),"no")</f>
        <v>no</v>
      </c>
      <c r="P47" s="3">
        <f>IFERROR(__xludf.DUMMYFUNCTION("""COMPUTED_VALUE"""),1.0)</f>
        <v>1</v>
      </c>
      <c r="Q47" s="3">
        <f>IFERROR(__xludf.DUMMYFUNCTION("""COMPUTED_VALUE"""),0.0)</f>
        <v>0</v>
      </c>
      <c r="R47" s="3">
        <f>IFERROR(__xludf.DUMMYFUNCTION("""COMPUTED_VALUE"""),0.0)</f>
        <v>0</v>
      </c>
      <c r="S47" s="3">
        <f>IFERROR(__xludf.DUMMYFUNCTION("""COMPUTED_VALUE"""),0.0)</f>
        <v>0</v>
      </c>
      <c r="T47" s="3">
        <f>IFERROR(__xludf.DUMMYFUNCTION("""COMPUTED_VALUE"""),138.0)</f>
        <v>138</v>
      </c>
      <c r="U47" s="3" t="str">
        <f>IFERROR(__xludf.DUMMYFUNCTION("""COMPUTED_VALUE"""),"no")</f>
        <v>no</v>
      </c>
      <c r="V47" s="3"/>
      <c r="W47" s="3" t="str">
        <f>IFERROR(__xludf.DUMMYFUNCTION("""COMPUTED_VALUE"""),"no")</f>
        <v>no</v>
      </c>
      <c r="X47" s="3"/>
      <c r="Y47" s="3"/>
      <c r="Z47" s="3"/>
      <c r="AA47" s="3"/>
      <c r="AB47" s="3"/>
      <c r="AC47" s="3" t="str">
        <f>IFERROR(__xludf.DUMMYFUNCTION("""COMPUTED_VALUE"""),"no")</f>
        <v>no</v>
      </c>
      <c r="AD47" s="3" t="str">
        <f>IFERROR(__xludf.DUMMYFUNCTION("""COMPUTED_VALUE"""),"no")</f>
        <v>no</v>
      </c>
      <c r="AE47" s="3"/>
      <c r="AF47" s="3" t="str">
        <f>IFERROR(__xludf.DUMMYFUNCTION("""COMPUTED_VALUE"""),"no")</f>
        <v>no</v>
      </c>
      <c r="AG47" s="3"/>
    </row>
    <row r="48" hidden="1">
      <c r="A48" s="3" t="str">
        <f>IFERROR(__xludf.DUMMYFUNCTION("""COMPUTED_VALUE"""),"1945720032576565388")</f>
        <v>1945720032576565388</v>
      </c>
      <c r="B48" s="3" t="str">
        <f>IFERROR(__xludf.DUMMYFUNCTION("""COMPUTED_VALUE"""),"1945720032576565388")</f>
        <v>1945720032576565388</v>
      </c>
      <c r="C48" s="10">
        <f>IFERROR(__xludf.DUMMYFUNCTION("""COMPUTED_VALUE"""),45855.23587962963)</f>
        <v>45855.23588</v>
      </c>
      <c r="D48" s="3">
        <f>IFERROR(__xludf.DUMMYFUNCTION("""COMPUTED_VALUE"""),1.75273078E9)</f>
        <v>1752730780</v>
      </c>
      <c r="E48" s="11" t="str">
        <f>IFERROR(__xludf.DUMMYFUNCTION("""COMPUTED_VALUE"""),"https://x.com/MauricioLeija/status/1945720032576565388")</f>
        <v>https://x.com/MauricioLeija/status/1945720032576565388</v>
      </c>
      <c r="F48" s="3" t="str">
        <f>IFERROR(__xludf.DUMMYFUNCTION("""COMPUTED_VALUE"""),"TDAH del adulto, procrastinación y el concepto que tienes de ti mismo... ¿indefensión aprendida?
Conversación entre Gina Fonseca y Mauricio Leija para #MiDiarioDeTDAH
#TDAHdelAdulto #TDAH #HablemosDelTDAH #Neurodiversidad #Neurodivergencia #Neurodesarrol"&amp;"lo https://t.co/zjWEJ9iq9D")</f>
        <v>TDAH del adulto, procrastinación y el concepto que tienes de ti mismo... ¿indefensión aprendida?
Conversación entre Gina Fonseca y Mauricio Leija para #MiDiarioDeTDAH
#TDAHdelAdulto #TDAH #HablemosDelTDAH #Neurodiversidad #Neurodivergencia #Neurodesarrollo https://t.co/zjWEJ9iq9D</v>
      </c>
      <c r="G48" s="3" t="str">
        <f>IFERROR(__xludf.DUMMYFUNCTION("""COMPUTED_VALUE"""),"MauricioLeija")</f>
        <v>MauricioLeija</v>
      </c>
      <c r="H48" s="3" t="str">
        <f>IFERROR(__xludf.DUMMYFUNCTION("""COMPUTED_VALUE"""),"Dr. Mauricio Leija")</f>
        <v>Dr. Mauricio Leija</v>
      </c>
      <c r="I48" s="3">
        <f>IFERROR(__xludf.DUMMYFUNCTION("""COMPUTED_VALUE"""),2.825615947E9)</f>
        <v>2825615947</v>
      </c>
      <c r="J48" s="11" t="str">
        <f>IFERROR(__xludf.DUMMYFUNCTION("""COMPUTED_VALUE"""),"https://pbs.twimg.com/profile_images/1988347861507952640/MmBWSSun_normal.jpg")</f>
        <v>https://pbs.twimg.com/profile_images/1988347861507952640/MmBWSSun_normal.jpg</v>
      </c>
      <c r="K48" s="11" t="str">
        <f>IFERROR(__xludf.DUMMYFUNCTION("""COMPUTED_VALUE"""),"https://pbs.twimg.com/profile_banners/2825615947/1674793295")</f>
        <v>https://pbs.twimg.com/profile_banners/2825615947/1674793295</v>
      </c>
      <c r="L48" s="3" t="b">
        <f>IFERROR(__xludf.DUMMYFUNCTION("""COMPUTED_VALUE"""),TRUE)</f>
        <v>1</v>
      </c>
      <c r="M48" s="3" t="str">
        <f>IFERROR(__xludf.DUMMYFUNCTION("""COMPUTED_VALUE"""),"Twitter Web App")</f>
        <v>Twitter Web App</v>
      </c>
      <c r="N48" s="3" t="str">
        <f>IFERROR(__xludf.DUMMYFUNCTION("""COMPUTED_VALUE"""),"es")</f>
        <v>es</v>
      </c>
      <c r="O48" s="3" t="str">
        <f>IFERROR(__xludf.DUMMYFUNCTION("""COMPUTED_VALUE"""),"no")</f>
        <v>no</v>
      </c>
      <c r="P48" s="3">
        <f>IFERROR(__xludf.DUMMYFUNCTION("""COMPUTED_VALUE"""),0.0)</f>
        <v>0</v>
      </c>
      <c r="Q48" s="3">
        <f>IFERROR(__xludf.DUMMYFUNCTION("""COMPUTED_VALUE"""),0.0)</f>
        <v>0</v>
      </c>
      <c r="R48" s="3">
        <f>IFERROR(__xludf.DUMMYFUNCTION("""COMPUTED_VALUE"""),5.0)</f>
        <v>5</v>
      </c>
      <c r="S48" s="3">
        <f>IFERROR(__xludf.DUMMYFUNCTION("""COMPUTED_VALUE"""),0.0)</f>
        <v>0</v>
      </c>
      <c r="T48" s="3">
        <f>IFERROR(__xludf.DUMMYFUNCTION("""COMPUTED_VALUE"""),143.0)</f>
        <v>143</v>
      </c>
      <c r="U48" s="3" t="str">
        <f>IFERROR(__xludf.DUMMYFUNCTION("""COMPUTED_VALUE"""),"no")</f>
        <v>no</v>
      </c>
      <c r="V48" s="3"/>
      <c r="W48" s="3" t="str">
        <f>IFERROR(__xludf.DUMMYFUNCTION("""COMPUTED_VALUE"""),"no")</f>
        <v>no</v>
      </c>
      <c r="X48" s="3"/>
      <c r="Y48" s="3"/>
      <c r="Z48" s="3"/>
      <c r="AA48" s="3"/>
      <c r="AB48" s="3"/>
      <c r="AC48" s="3" t="str">
        <f>IFERROR(__xludf.DUMMYFUNCTION("""COMPUTED_VALUE"""),"no")</f>
        <v>no</v>
      </c>
      <c r="AD48" s="3" t="str">
        <f>IFERROR(__xludf.DUMMYFUNCTION("""COMPUTED_VALUE"""),"no")</f>
        <v>no</v>
      </c>
      <c r="AE48" s="3"/>
      <c r="AF48" s="3" t="str">
        <f>IFERROR(__xludf.DUMMYFUNCTION("""COMPUTED_VALUE"""),"no")</f>
        <v>no</v>
      </c>
      <c r="AG48" s="3" t="str">
        <f>IFERROR(__xludf.DUMMYFUNCTION("""COMPUTED_VALUE"""),"MiDiarioDeTDAH,TDAHdelAdulto,TDAH,HablemosDelTDAH,Neurodiversidad,Neurodivergencia,Neurodesarrollo")</f>
        <v>MiDiarioDeTDAH,TDAHdelAdulto,TDAH,HablemosDelTDAH,Neurodiversidad,Neurodivergencia,Neurodesarrollo</v>
      </c>
    </row>
    <row r="49" hidden="1">
      <c r="A49" s="3" t="str">
        <f>IFERROR(__xludf.DUMMYFUNCTION("""COMPUTED_VALUE"""),"1954355089587487231")</f>
        <v>1954355089587487231</v>
      </c>
      <c r="B49" s="3" t="str">
        <f>IFERROR(__xludf.DUMMYFUNCTION("""COMPUTED_VALUE"""),"1954355089587487231")</f>
        <v>1954355089587487231</v>
      </c>
      <c r="C49" s="10">
        <f>IFERROR(__xludf.DUMMYFUNCTION("""COMPUTED_VALUE"""),45879.064097222225)</f>
        <v>45879.0641</v>
      </c>
      <c r="D49" s="3">
        <f>IFERROR(__xludf.DUMMYFUNCTION("""COMPUTED_VALUE"""),1.754789538E9)</f>
        <v>1754789538</v>
      </c>
      <c r="E49" s="11" t="str">
        <f>IFERROR(__xludf.DUMMYFUNCTION("""COMPUTED_VALUE"""),"https://x.com/MauricioLeija/status/1954355089587487231")</f>
        <v>https://x.com/MauricioLeija/status/1954355089587487231</v>
      </c>
      <c r="F49" s="3" t="str">
        <f>IFERROR(__xludf.DUMMYFUNCTION("""COMPUTED_VALUE"""),"Algunas personas se sienten en peligro si viajan como copiloto de un adulto con TDAH. Conversación con la neuropsicóloga Gina Fonseca para #MiDiarioDeTDAH
#TDAHdelAdulto #TDAH #HablemosDelTDAH #Neurodiversidad #Neurodivergencia #Neurodesarrollo #Neurodes"&amp;"arrolloyConducta https://t.co/MVzELgtEy4")</f>
        <v>Algunas personas se sienten en peligro si viajan como copiloto de un adulto con TDAH. Conversación con la neuropsicóloga Gina Fonseca para #MiDiarioDeTDAH
#TDAHdelAdulto #TDAH #HablemosDelTDAH #Neurodiversidad #Neurodivergencia #Neurodesarrollo #NeurodesarrolloyConducta https://t.co/MVzELgtEy4</v>
      </c>
      <c r="G49" s="3" t="str">
        <f>IFERROR(__xludf.DUMMYFUNCTION("""COMPUTED_VALUE"""),"MauricioLeija")</f>
        <v>MauricioLeija</v>
      </c>
      <c r="H49" s="3" t="str">
        <f>IFERROR(__xludf.DUMMYFUNCTION("""COMPUTED_VALUE"""),"Dr. Mauricio Leija")</f>
        <v>Dr. Mauricio Leija</v>
      </c>
      <c r="I49" s="3">
        <f>IFERROR(__xludf.DUMMYFUNCTION("""COMPUTED_VALUE"""),2.825615947E9)</f>
        <v>2825615947</v>
      </c>
      <c r="J49" s="11" t="str">
        <f>IFERROR(__xludf.DUMMYFUNCTION("""COMPUTED_VALUE"""),"https://pbs.twimg.com/profile_images/1988347861507952640/MmBWSSun_normal.jpg")</f>
        <v>https://pbs.twimg.com/profile_images/1988347861507952640/MmBWSSun_normal.jpg</v>
      </c>
      <c r="K49" s="11" t="str">
        <f>IFERROR(__xludf.DUMMYFUNCTION("""COMPUTED_VALUE"""),"https://pbs.twimg.com/profile_banners/2825615947/1674793295")</f>
        <v>https://pbs.twimg.com/profile_banners/2825615947/1674793295</v>
      </c>
      <c r="L49" s="3" t="b">
        <f>IFERROR(__xludf.DUMMYFUNCTION("""COMPUTED_VALUE"""),TRUE)</f>
        <v>1</v>
      </c>
      <c r="M49" s="3" t="str">
        <f>IFERROR(__xludf.DUMMYFUNCTION("""COMPUTED_VALUE"""),"Twitter Web App")</f>
        <v>Twitter Web App</v>
      </c>
      <c r="N49" s="3" t="str">
        <f>IFERROR(__xludf.DUMMYFUNCTION("""COMPUTED_VALUE"""),"es")</f>
        <v>es</v>
      </c>
      <c r="O49" s="3" t="str">
        <f>IFERROR(__xludf.DUMMYFUNCTION("""COMPUTED_VALUE"""),"no")</f>
        <v>no</v>
      </c>
      <c r="P49" s="3">
        <f>IFERROR(__xludf.DUMMYFUNCTION("""COMPUTED_VALUE"""),1.0)</f>
        <v>1</v>
      </c>
      <c r="Q49" s="3">
        <f>IFERROR(__xludf.DUMMYFUNCTION("""COMPUTED_VALUE"""),1.0)</f>
        <v>1</v>
      </c>
      <c r="R49" s="3">
        <f>IFERROR(__xludf.DUMMYFUNCTION("""COMPUTED_VALUE"""),14.0)</f>
        <v>14</v>
      </c>
      <c r="S49" s="3">
        <f>IFERROR(__xludf.DUMMYFUNCTION("""COMPUTED_VALUE"""),0.0)</f>
        <v>0</v>
      </c>
      <c r="T49" s="3">
        <f>IFERROR(__xludf.DUMMYFUNCTION("""COMPUTED_VALUE"""),480.0)</f>
        <v>480</v>
      </c>
      <c r="U49" s="3" t="str">
        <f>IFERROR(__xludf.DUMMYFUNCTION("""COMPUTED_VALUE"""),"no")</f>
        <v>no</v>
      </c>
      <c r="V49" s="3"/>
      <c r="W49" s="3" t="str">
        <f>IFERROR(__xludf.DUMMYFUNCTION("""COMPUTED_VALUE"""),"no")</f>
        <v>no</v>
      </c>
      <c r="X49" s="3"/>
      <c r="Y49" s="3"/>
      <c r="Z49" s="3"/>
      <c r="AA49" s="3"/>
      <c r="AB49" s="3"/>
      <c r="AC49" s="3" t="str">
        <f>IFERROR(__xludf.DUMMYFUNCTION("""COMPUTED_VALUE"""),"no")</f>
        <v>no</v>
      </c>
      <c r="AD49" s="3" t="str">
        <f>IFERROR(__xludf.DUMMYFUNCTION("""COMPUTED_VALUE"""),"no")</f>
        <v>no</v>
      </c>
      <c r="AE49" s="3"/>
      <c r="AF49" s="3" t="str">
        <f>IFERROR(__xludf.DUMMYFUNCTION("""COMPUTED_VALUE"""),"no")</f>
        <v>no</v>
      </c>
      <c r="AG49" s="3" t="str">
        <f>IFERROR(__xludf.DUMMYFUNCTION("""COMPUTED_VALUE"""),"MiDiarioDeTDAH,TDAHdelAdulto,TDAH,HablemosDelTDAH,Neurodiversidad,Neurodivergencia,Neurodesarrollo,NeurodesarrolloyConducta")</f>
        <v>MiDiarioDeTDAH,TDAHdelAdulto,TDAH,HablemosDelTDAH,Neurodiversidad,Neurodivergencia,Neurodesarrollo,NeurodesarrolloyConducta</v>
      </c>
    </row>
    <row r="50" hidden="1">
      <c r="A50" s="3" t="str">
        <f>IFERROR(__xludf.DUMMYFUNCTION("""COMPUTED_VALUE"""),"1961442241009914041")</f>
        <v>1961442241009914041</v>
      </c>
      <c r="B50" s="3" t="str">
        <f>IFERROR(__xludf.DUMMYFUNCTION("""COMPUTED_VALUE"""),"1961442241009914041")</f>
        <v>1961442241009914041</v>
      </c>
      <c r="C50" s="10">
        <f>IFERROR(__xludf.DUMMYFUNCTION("""COMPUTED_VALUE"""),45898.62090277778)</f>
        <v>45898.6209</v>
      </c>
      <c r="D50" s="3">
        <f>IFERROR(__xludf.DUMMYFUNCTION("""COMPUTED_VALUE"""),1.756479246E9)</f>
        <v>1756479246</v>
      </c>
      <c r="E50" s="11" t="str">
        <f>IFERROR(__xludf.DUMMYFUNCTION("""COMPUTED_VALUE"""),"https://x.com/btswingsjm7/status/1961442241009914041")</f>
        <v>https://x.com/btswingsjm7/status/1961442241009914041</v>
      </c>
      <c r="F50" s="3" t="str">
        <f>IFERROR(__xludf.DUMMYFUNCTION("""COMPUTED_VALUE"""),"Dejen de comentar cosas así... Jungkook puede hacer lo que quiera, déjenlo tranquilo 🤨
👤: “No te muevas cuando estés sentado”
🐰: ¿Sigo moviéndome?
🐰: Pero no puedo evitarlo. Es como…
🐰: Es como el TDAH adulto.
🐰: Lo tengo. Sigo moviéndome así.
http"&amp;"s://t.co/NZI9HJMtDK")</f>
        <v>Dejen de comentar cosas así... Jungkook puede hacer lo que quiera, déjenlo tranquilo 🤨
👤: “No te muevas cuando estés sentado”
🐰: ¿Sigo moviéndome?
🐰: Pero no puedo evitarlo. Es como…
🐰: Es como el TDAH adulto.
🐰: Lo tengo. Sigo moviéndome así.
https://t.co/NZI9HJMtDK</v>
      </c>
      <c r="G50" s="3" t="str">
        <f>IFERROR(__xludf.DUMMYFUNCTION("""COMPUTED_VALUE"""),"btswingsjm7")</f>
        <v>btswingsjm7</v>
      </c>
      <c r="H50" s="3" t="str">
        <f>IFERROR(__xludf.DUMMYFUNCTION("""COMPUTED_VALUE"""),"ale ; ʙᴛs ʏᴇᴀʀ ?! ★")</f>
        <v>ale ; ʙᴛs ʏᴇᴀʀ ?! ★</v>
      </c>
      <c r="I50" s="3">
        <f>IFERROR(__xludf.DUMMYFUNCTION("""COMPUTED_VALUE"""),3.528171918E9)</f>
        <v>3528171918</v>
      </c>
      <c r="J50" s="11" t="str">
        <f>IFERROR(__xludf.DUMMYFUNCTION("""COMPUTED_VALUE"""),"https://pbs.twimg.com/profile_images/1975219723659870208/S4y-Lmb__normal.jpg")</f>
        <v>https://pbs.twimg.com/profile_images/1975219723659870208/S4y-Lmb__normal.jpg</v>
      </c>
      <c r="K50" s="11" t="str">
        <f>IFERROR(__xludf.DUMMYFUNCTION("""COMPUTED_VALUE"""),"https://pbs.twimg.com/profile_banners/3528171918/1759763308")</f>
        <v>https://pbs.twimg.com/profile_banners/3528171918/1759763308</v>
      </c>
      <c r="L50" s="3" t="b">
        <f>IFERROR(__xludf.DUMMYFUNCTION("""COMPUTED_VALUE"""),FALSE)</f>
        <v>0</v>
      </c>
      <c r="M50" s="3" t="str">
        <f>IFERROR(__xludf.DUMMYFUNCTION("""COMPUTED_VALUE"""),"Twitter for Android")</f>
        <v>Twitter for Android</v>
      </c>
      <c r="N50" s="3" t="str">
        <f>IFERROR(__xludf.DUMMYFUNCTION("""COMPUTED_VALUE"""),"es")</f>
        <v>es</v>
      </c>
      <c r="O50" s="3" t="str">
        <f>IFERROR(__xludf.DUMMYFUNCTION("""COMPUTED_VALUE"""),"no")</f>
        <v>no</v>
      </c>
      <c r="P50" s="3">
        <f>IFERROR(__xludf.DUMMYFUNCTION("""COMPUTED_VALUE"""),50.0)</f>
        <v>50</v>
      </c>
      <c r="Q50" s="3">
        <f>IFERROR(__xludf.DUMMYFUNCTION("""COMPUTED_VALUE"""),7.0)</f>
        <v>7</v>
      </c>
      <c r="R50" s="3">
        <f>IFERROR(__xludf.DUMMYFUNCTION("""COMPUTED_VALUE"""),428.0)</f>
        <v>428</v>
      </c>
      <c r="S50" s="3">
        <f>IFERROR(__xludf.DUMMYFUNCTION("""COMPUTED_VALUE"""),6.0)</f>
        <v>6</v>
      </c>
      <c r="T50" s="3">
        <f>IFERROR(__xludf.DUMMYFUNCTION("""COMPUTED_VALUE"""),8505.0)</f>
        <v>8505</v>
      </c>
      <c r="U50" s="3" t="str">
        <f>IFERROR(__xludf.DUMMYFUNCTION("""COMPUTED_VALUE"""),"no")</f>
        <v>no</v>
      </c>
      <c r="V50" s="3"/>
      <c r="W50" s="3" t="str">
        <f>IFERROR(__xludf.DUMMYFUNCTION("""COMPUTED_VALUE"""),"no")</f>
        <v>no</v>
      </c>
      <c r="X50" s="3"/>
      <c r="Y50" s="3"/>
      <c r="Z50" s="3"/>
      <c r="AA50" s="3"/>
      <c r="AB50" s="3"/>
      <c r="AC50" s="3" t="str">
        <f>IFERROR(__xludf.DUMMYFUNCTION("""COMPUTED_VALUE"""),"no")</f>
        <v>no</v>
      </c>
      <c r="AD50" s="3" t="str">
        <f>IFERROR(__xludf.DUMMYFUNCTION("""COMPUTED_VALUE"""),"no")</f>
        <v>no</v>
      </c>
      <c r="AE50" s="3"/>
      <c r="AF50" s="3" t="str">
        <f>IFERROR(__xludf.DUMMYFUNCTION("""COMPUTED_VALUE"""),"no")</f>
        <v>no</v>
      </c>
      <c r="AG50" s="3"/>
    </row>
    <row r="51" hidden="1">
      <c r="A51" s="3" t="str">
        <f>IFERROR(__xludf.DUMMYFUNCTION("""COMPUTED_VALUE"""),"1943396412693033148")</f>
        <v>1943396412693033148</v>
      </c>
      <c r="B51" s="3" t="str">
        <f>IFERROR(__xludf.DUMMYFUNCTION("""COMPUTED_VALUE"""),"1943396412693033148")</f>
        <v>1943396412693033148</v>
      </c>
      <c r="C51" s="10">
        <f>IFERROR(__xludf.DUMMYFUNCTION("""COMPUTED_VALUE"""),45848.823912037034)</f>
        <v>45848.82391</v>
      </c>
      <c r="D51" s="3">
        <f>IFERROR(__xludf.DUMMYFUNCTION("""COMPUTED_VALUE"""),1.752176786E9)</f>
        <v>1752176786</v>
      </c>
      <c r="E51" s="11" t="str">
        <f>IFERROR(__xludf.DUMMYFUNCTION("""COMPUTED_VALUE"""),"https://x.com/MauricioLeija/status/1943396412693033148")</f>
        <v>https://x.com/MauricioLeija/status/1943396412693033148</v>
      </c>
      <c r="F51" s="3" t="str">
        <f>IFERROR(__xludf.DUMMYFUNCTION("""COMPUTED_VALUE"""),"Al largo camino para llegar al diagnóstico de TDAH del adulto. Entrevista al Dr. Mario González.  
#TDAHdelAdulto #TDAH #HablemosDelTDAH #Neurodiversidad #Neurodivergencia #Neurodesarrollo #NeurodesarrolloyConducta #HablemosDeSaludMental https://t.co/n6Xe"&amp;"0wsTcl")</f>
        <v>Al largo camino para llegar al diagnóstico de TDAH del adulto. Entrevista al Dr. Mario González.  
#TDAHdelAdulto #TDAH #HablemosDelTDAH #Neurodiversidad #Neurodivergencia #Neurodesarrollo #NeurodesarrolloyConducta #HablemosDeSaludMental https://t.co/n6Xe0wsTcl</v>
      </c>
      <c r="G51" s="3" t="str">
        <f>IFERROR(__xludf.DUMMYFUNCTION("""COMPUTED_VALUE"""),"MauricioLeija")</f>
        <v>MauricioLeija</v>
      </c>
      <c r="H51" s="3" t="str">
        <f>IFERROR(__xludf.DUMMYFUNCTION("""COMPUTED_VALUE"""),"Dr. Mauricio Leija")</f>
        <v>Dr. Mauricio Leija</v>
      </c>
      <c r="I51" s="3">
        <f>IFERROR(__xludf.DUMMYFUNCTION("""COMPUTED_VALUE"""),2.825615947E9)</f>
        <v>2825615947</v>
      </c>
      <c r="J51" s="11" t="str">
        <f>IFERROR(__xludf.DUMMYFUNCTION("""COMPUTED_VALUE"""),"https://pbs.twimg.com/profile_images/1988347861507952640/MmBWSSun_normal.jpg")</f>
        <v>https://pbs.twimg.com/profile_images/1988347861507952640/MmBWSSun_normal.jpg</v>
      </c>
      <c r="K51" s="11" t="str">
        <f>IFERROR(__xludf.DUMMYFUNCTION("""COMPUTED_VALUE"""),"https://pbs.twimg.com/profile_banners/2825615947/1674793295")</f>
        <v>https://pbs.twimg.com/profile_banners/2825615947/1674793295</v>
      </c>
      <c r="L51" s="3" t="b">
        <f>IFERROR(__xludf.DUMMYFUNCTION("""COMPUTED_VALUE"""),TRUE)</f>
        <v>1</v>
      </c>
      <c r="M51" s="3" t="str">
        <f>IFERROR(__xludf.DUMMYFUNCTION("""COMPUTED_VALUE"""),"Twitter Web App")</f>
        <v>Twitter Web App</v>
      </c>
      <c r="N51" s="3" t="str">
        <f>IFERROR(__xludf.DUMMYFUNCTION("""COMPUTED_VALUE"""),"es")</f>
        <v>es</v>
      </c>
      <c r="O51" s="3" t="str">
        <f>IFERROR(__xludf.DUMMYFUNCTION("""COMPUTED_VALUE"""),"no")</f>
        <v>no</v>
      </c>
      <c r="P51" s="3">
        <f>IFERROR(__xludf.DUMMYFUNCTION("""COMPUTED_VALUE"""),0.0)</f>
        <v>0</v>
      </c>
      <c r="Q51" s="3">
        <f>IFERROR(__xludf.DUMMYFUNCTION("""COMPUTED_VALUE"""),0.0)</f>
        <v>0</v>
      </c>
      <c r="R51" s="3">
        <f>IFERROR(__xludf.DUMMYFUNCTION("""COMPUTED_VALUE"""),0.0)</f>
        <v>0</v>
      </c>
      <c r="S51" s="3">
        <f>IFERROR(__xludf.DUMMYFUNCTION("""COMPUTED_VALUE"""),0.0)</f>
        <v>0</v>
      </c>
      <c r="T51" s="3">
        <f>IFERROR(__xludf.DUMMYFUNCTION("""COMPUTED_VALUE"""),103.0)</f>
        <v>103</v>
      </c>
      <c r="U51" s="3" t="str">
        <f>IFERROR(__xludf.DUMMYFUNCTION("""COMPUTED_VALUE"""),"no")</f>
        <v>no</v>
      </c>
      <c r="V51" s="3"/>
      <c r="W51" s="3" t="str">
        <f>IFERROR(__xludf.DUMMYFUNCTION("""COMPUTED_VALUE"""),"no")</f>
        <v>no</v>
      </c>
      <c r="X51" s="3"/>
      <c r="Y51" s="3"/>
      <c r="Z51" s="3"/>
      <c r="AA51" s="3"/>
      <c r="AB51" s="3"/>
      <c r="AC51" s="3" t="str">
        <f>IFERROR(__xludf.DUMMYFUNCTION("""COMPUTED_VALUE"""),"no")</f>
        <v>no</v>
      </c>
      <c r="AD51" s="3" t="str">
        <f>IFERROR(__xludf.DUMMYFUNCTION("""COMPUTED_VALUE"""),"no")</f>
        <v>no</v>
      </c>
      <c r="AE51" s="3"/>
      <c r="AF51" s="3" t="str">
        <f>IFERROR(__xludf.DUMMYFUNCTION("""COMPUTED_VALUE"""),"no")</f>
        <v>no</v>
      </c>
      <c r="AG51"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52" hidden="1">
      <c r="A52" s="3" t="str">
        <f>IFERROR(__xludf.DUMMYFUNCTION("""COMPUTED_VALUE"""),"1943390327462572304")</f>
        <v>1943390327462572304</v>
      </c>
      <c r="B52" s="3" t="str">
        <f>IFERROR(__xludf.DUMMYFUNCTION("""COMPUTED_VALUE"""),"1943390327462572304")</f>
        <v>1943390327462572304</v>
      </c>
      <c r="C52" s="10">
        <f>IFERROR(__xludf.DUMMYFUNCTION("""COMPUTED_VALUE"""),45848.807118055556)</f>
        <v>45848.80712</v>
      </c>
      <c r="D52" s="3">
        <f>IFERROR(__xludf.DUMMYFUNCTION("""COMPUTED_VALUE"""),1.752175335E9)</f>
        <v>1752175335</v>
      </c>
      <c r="E52" s="11" t="str">
        <f>IFERROR(__xludf.DUMMYFUNCTION("""COMPUTED_VALUE"""),"https://x.com/MauricioLeija/status/1943390327462572304")</f>
        <v>https://x.com/MauricioLeija/status/1943390327462572304</v>
      </c>
      <c r="F52" s="3" t="str">
        <f>IFERROR(__xludf.DUMMYFUNCTION("""COMPUTED_VALUE"""),"En el TDAH del adulto los problemas de familia son tremendos. Entrevista al Dr. Mario González.
#TDAHdelAdulto #TDAH #HablemosDelTDAH #Neurodiversidad #Neurodivergencia #Neurodesarrollo #NeurodesarrolloyConducta #HablemosDeSaludMental https://t.co/6dIDfG"&amp;"QCXs")</f>
        <v>En el TDAH del adulto los problemas de familia son tremendos. Entrevista al Dr. Mario González.
#TDAHdelAdulto #TDAH #HablemosDelTDAH #Neurodiversidad #Neurodivergencia #Neurodesarrollo #NeurodesarrolloyConducta #HablemosDeSaludMental https://t.co/6dIDfGQCXs</v>
      </c>
      <c r="G52" s="3" t="str">
        <f>IFERROR(__xludf.DUMMYFUNCTION("""COMPUTED_VALUE"""),"MauricioLeija")</f>
        <v>MauricioLeija</v>
      </c>
      <c r="H52" s="3" t="str">
        <f>IFERROR(__xludf.DUMMYFUNCTION("""COMPUTED_VALUE"""),"Dr. Mauricio Leija")</f>
        <v>Dr. Mauricio Leija</v>
      </c>
      <c r="I52" s="3">
        <f>IFERROR(__xludf.DUMMYFUNCTION("""COMPUTED_VALUE"""),2.825615947E9)</f>
        <v>2825615947</v>
      </c>
      <c r="J52" s="11" t="str">
        <f>IFERROR(__xludf.DUMMYFUNCTION("""COMPUTED_VALUE"""),"https://pbs.twimg.com/profile_images/1988347861507952640/MmBWSSun_normal.jpg")</f>
        <v>https://pbs.twimg.com/profile_images/1988347861507952640/MmBWSSun_normal.jpg</v>
      </c>
      <c r="K52" s="11" t="str">
        <f>IFERROR(__xludf.DUMMYFUNCTION("""COMPUTED_VALUE"""),"https://pbs.twimg.com/profile_banners/2825615947/1674793295")</f>
        <v>https://pbs.twimg.com/profile_banners/2825615947/1674793295</v>
      </c>
      <c r="L52" s="3" t="b">
        <f>IFERROR(__xludf.DUMMYFUNCTION("""COMPUTED_VALUE"""),TRUE)</f>
        <v>1</v>
      </c>
      <c r="M52" s="3" t="str">
        <f>IFERROR(__xludf.DUMMYFUNCTION("""COMPUTED_VALUE"""),"Twitter Web App")</f>
        <v>Twitter Web App</v>
      </c>
      <c r="N52" s="3" t="str">
        <f>IFERROR(__xludf.DUMMYFUNCTION("""COMPUTED_VALUE"""),"es")</f>
        <v>es</v>
      </c>
      <c r="O52" s="3" t="str">
        <f>IFERROR(__xludf.DUMMYFUNCTION("""COMPUTED_VALUE"""),"no")</f>
        <v>no</v>
      </c>
      <c r="P52" s="3">
        <f>IFERROR(__xludf.DUMMYFUNCTION("""COMPUTED_VALUE"""),0.0)</f>
        <v>0</v>
      </c>
      <c r="Q52" s="3">
        <f>IFERROR(__xludf.DUMMYFUNCTION("""COMPUTED_VALUE"""),0.0)</f>
        <v>0</v>
      </c>
      <c r="R52" s="3">
        <f>IFERROR(__xludf.DUMMYFUNCTION("""COMPUTED_VALUE"""),1.0)</f>
        <v>1</v>
      </c>
      <c r="S52" s="3">
        <f>IFERROR(__xludf.DUMMYFUNCTION("""COMPUTED_VALUE"""),0.0)</f>
        <v>0</v>
      </c>
      <c r="T52" s="3">
        <f>IFERROR(__xludf.DUMMYFUNCTION("""COMPUTED_VALUE"""),110.0)</f>
        <v>110</v>
      </c>
      <c r="U52" s="3" t="str">
        <f>IFERROR(__xludf.DUMMYFUNCTION("""COMPUTED_VALUE"""),"no")</f>
        <v>no</v>
      </c>
      <c r="V52" s="3"/>
      <c r="W52" s="3" t="str">
        <f>IFERROR(__xludf.DUMMYFUNCTION("""COMPUTED_VALUE"""),"no")</f>
        <v>no</v>
      </c>
      <c r="X52" s="3"/>
      <c r="Y52" s="3"/>
      <c r="Z52" s="3"/>
      <c r="AA52" s="3"/>
      <c r="AB52" s="3"/>
      <c r="AC52" s="3" t="str">
        <f>IFERROR(__xludf.DUMMYFUNCTION("""COMPUTED_VALUE"""),"no")</f>
        <v>no</v>
      </c>
      <c r="AD52" s="3" t="str">
        <f>IFERROR(__xludf.DUMMYFUNCTION("""COMPUTED_VALUE"""),"no")</f>
        <v>no</v>
      </c>
      <c r="AE52" s="3"/>
      <c r="AF52" s="3" t="str">
        <f>IFERROR(__xludf.DUMMYFUNCTION("""COMPUTED_VALUE"""),"no")</f>
        <v>no</v>
      </c>
      <c r="AG52" s="3" t="str">
        <f>IFERROR(__xludf.DUMMYFUNCTION("""COMPUTED_VALUE"""),"TDAHdelAdulto,TDAH,HablemosDelTDAH,Neurodiversidad,Neurodivergencia,Neurodesarrollo,NeurodesarrolloyConducta,HablemosDeSaludMental")</f>
        <v>TDAHdelAdulto,TDAH,HablemosDelTDAH,Neurodiversidad,Neurodivergencia,Neurodesarrollo,NeurodesarrolloyConducta,HablemosDeSaludMental</v>
      </c>
    </row>
    <row r="53" hidden="1">
      <c r="A53" s="3" t="str">
        <f>IFERROR(__xludf.DUMMYFUNCTION("""COMPUTED_VALUE"""),"1948855434598662445")</f>
        <v>1948855434598662445</v>
      </c>
      <c r="B53" s="3" t="str">
        <f>IFERROR(__xludf.DUMMYFUNCTION("""COMPUTED_VALUE"""),"1948855434598662445")</f>
        <v>1948855434598662445</v>
      </c>
      <c r="C53" s="10">
        <f>IFERROR(__xludf.DUMMYFUNCTION("""COMPUTED_VALUE"""),45863.88793981481)</f>
        <v>45863.88794</v>
      </c>
      <c r="D53" s="3">
        <f>IFERROR(__xludf.DUMMYFUNCTION("""COMPUTED_VALUE"""),1.753478318E9)</f>
        <v>1753478318</v>
      </c>
      <c r="E53" s="11" t="str">
        <f>IFERROR(__xludf.DUMMYFUNCTION("""COMPUTED_VALUE"""),"https://x.com/MauricioLeija/status/1948855434598662445")</f>
        <v>https://x.com/MauricioLeija/status/1948855434598662445</v>
      </c>
      <c r="F53" s="3" t="str">
        <f>IFERROR(__xludf.DUMMYFUNCTION("""COMPUTED_VALUE"""),"«No te quiero medicar para eso, porque tú ya aprendiste a vivir con eso»: respuesta de un psiquiatra ante la demanda de atención de un paciente adulto con TDAH.
Posible traducción: «No sé tratar el TDAH del adulto, enfoquémonos en otras cosas»")</f>
        <v>«No te quiero medicar para eso, porque tú ya aprendiste a vivir con eso»: respuesta de un psiquiatra ante la demanda de atención de un paciente adulto con TDAH.
Posible traducción: «No sé tratar el TDAH del adulto, enfoquémonos en otras cosas»</v>
      </c>
      <c r="G53" s="3" t="str">
        <f>IFERROR(__xludf.DUMMYFUNCTION("""COMPUTED_VALUE"""),"MauricioLeija")</f>
        <v>MauricioLeija</v>
      </c>
      <c r="H53" s="3" t="str">
        <f>IFERROR(__xludf.DUMMYFUNCTION("""COMPUTED_VALUE"""),"Dr. Mauricio Leija")</f>
        <v>Dr. Mauricio Leija</v>
      </c>
      <c r="I53" s="3">
        <f>IFERROR(__xludf.DUMMYFUNCTION("""COMPUTED_VALUE"""),2.825615947E9)</f>
        <v>2825615947</v>
      </c>
      <c r="J53" s="11" t="str">
        <f>IFERROR(__xludf.DUMMYFUNCTION("""COMPUTED_VALUE"""),"https://pbs.twimg.com/profile_images/1988347861507952640/MmBWSSun_normal.jpg")</f>
        <v>https://pbs.twimg.com/profile_images/1988347861507952640/MmBWSSun_normal.jpg</v>
      </c>
      <c r="K53" s="11" t="str">
        <f>IFERROR(__xludf.DUMMYFUNCTION("""COMPUTED_VALUE"""),"https://pbs.twimg.com/profile_banners/2825615947/1674793295")</f>
        <v>https://pbs.twimg.com/profile_banners/2825615947/1674793295</v>
      </c>
      <c r="L53" s="3" t="b">
        <f>IFERROR(__xludf.DUMMYFUNCTION("""COMPUTED_VALUE"""),TRUE)</f>
        <v>1</v>
      </c>
      <c r="M53" s="3" t="str">
        <f>IFERROR(__xludf.DUMMYFUNCTION("""COMPUTED_VALUE"""),"Twitter Web App")</f>
        <v>Twitter Web App</v>
      </c>
      <c r="N53" s="3" t="str">
        <f>IFERROR(__xludf.DUMMYFUNCTION("""COMPUTED_VALUE"""),"es")</f>
        <v>es</v>
      </c>
      <c r="O53" s="3" t="str">
        <f>IFERROR(__xludf.DUMMYFUNCTION("""COMPUTED_VALUE"""),"no")</f>
        <v>no</v>
      </c>
      <c r="P53" s="3">
        <f>IFERROR(__xludf.DUMMYFUNCTION("""COMPUTED_VALUE"""),2.0)</f>
        <v>2</v>
      </c>
      <c r="Q53" s="3">
        <f>IFERROR(__xludf.DUMMYFUNCTION("""COMPUTED_VALUE"""),0.0)</f>
        <v>0</v>
      </c>
      <c r="R53" s="3">
        <f>IFERROR(__xludf.DUMMYFUNCTION("""COMPUTED_VALUE"""),16.0)</f>
        <v>16</v>
      </c>
      <c r="S53" s="3">
        <f>IFERROR(__xludf.DUMMYFUNCTION("""COMPUTED_VALUE"""),1.0)</f>
        <v>1</v>
      </c>
      <c r="T53" s="3">
        <f>IFERROR(__xludf.DUMMYFUNCTION("""COMPUTED_VALUE"""),615.0)</f>
        <v>615</v>
      </c>
      <c r="U53" s="3" t="str">
        <f>IFERROR(__xludf.DUMMYFUNCTION("""COMPUTED_VALUE"""),"no")</f>
        <v>no</v>
      </c>
      <c r="V53" s="3"/>
      <c r="W53" s="3" t="str">
        <f>IFERROR(__xludf.DUMMYFUNCTION("""COMPUTED_VALUE"""),"no")</f>
        <v>no</v>
      </c>
      <c r="X53" s="3"/>
      <c r="Y53" s="3"/>
      <c r="Z53" s="3"/>
      <c r="AA53" s="3"/>
      <c r="AB53" s="3"/>
      <c r="AC53" s="3" t="str">
        <f>IFERROR(__xludf.DUMMYFUNCTION("""COMPUTED_VALUE"""),"no")</f>
        <v>no</v>
      </c>
      <c r="AD53" s="3" t="str">
        <f>IFERROR(__xludf.DUMMYFUNCTION("""COMPUTED_VALUE"""),"no")</f>
        <v>no</v>
      </c>
      <c r="AE53" s="3"/>
      <c r="AF53" s="3" t="str">
        <f>IFERROR(__xludf.DUMMYFUNCTION("""COMPUTED_VALUE"""),"no")</f>
        <v>no</v>
      </c>
      <c r="AG53" s="3"/>
    </row>
    <row r="54">
      <c r="A54" s="3" t="str">
        <f>IFERROR(__xludf.DUMMYFUNCTION("""COMPUTED_VALUE"""),"1917651984837943772")</f>
        <v>1917651984837943772</v>
      </c>
      <c r="B54" s="3" t="str">
        <f>IFERROR(__xludf.DUMMYFUNCTION("""COMPUTED_VALUE"""),"1917651984837943772")</f>
        <v>1917651984837943772</v>
      </c>
      <c r="C54" s="10">
        <f>IFERROR(__xludf.DUMMYFUNCTION("""COMPUTED_VALUE"""),45777.78282407407)</f>
        <v>45777.78282</v>
      </c>
      <c r="D54" s="3">
        <f>IFERROR(__xludf.DUMMYFUNCTION("""COMPUTED_VALUE"""),1.746038836E9)</f>
        <v>1746038836</v>
      </c>
      <c r="E54" s="11" t="str">
        <f>IFERROR(__xludf.DUMMYFUNCTION("""COMPUTED_VALUE"""),"https://x.com/seujeitolrs/status/1917651984837943772")</f>
        <v>https://x.com/seujeitolrs/status/1917651984837943772</v>
      </c>
      <c r="F54" s="3" t="str">
        <f>IFERROR(__xludf.DUMMYFUNCTION("""COMPUTED_VALUE"""),"me desculpe mas eu ODEIO homem adulto com tdah")</f>
        <v>me desculpe mas eu ODEIO homem adulto com tdah</v>
      </c>
      <c r="G54" s="3" t="str">
        <f>IFERROR(__xludf.DUMMYFUNCTION("""COMPUTED_VALUE"""),"seujeitolrs")</f>
        <v>seujeitolrs</v>
      </c>
      <c r="H54" s="3" t="str">
        <f>IFERROR(__xludf.DUMMYFUNCTION("""COMPUTED_VALUE"""),"gaby 🧃")</f>
        <v>gaby 🧃</v>
      </c>
      <c r="I54" s="3" t="str">
        <f>IFERROR(__xludf.DUMMYFUNCTION("""COMPUTED_VALUE"""),"990296924396900354")</f>
        <v>990296924396900354</v>
      </c>
      <c r="J54" s="11" t="str">
        <f>IFERROR(__xludf.DUMMYFUNCTION("""COMPUTED_VALUE"""),"https://pbs.twimg.com/profile_images/1901690971215065088/9ZlSpusc_normal.jpg")</f>
        <v>https://pbs.twimg.com/profile_images/1901690971215065088/9ZlSpusc_normal.jpg</v>
      </c>
      <c r="K54" s="11" t="str">
        <f>IFERROR(__xludf.DUMMYFUNCTION("""COMPUTED_VALUE"""),"https://pbs.twimg.com/profile_banners/990296924396900354/1742233433")</f>
        <v>https://pbs.twimg.com/profile_banners/990296924396900354/1742233433</v>
      </c>
      <c r="L54" s="3" t="b">
        <f>IFERROR(__xludf.DUMMYFUNCTION("""COMPUTED_VALUE"""),FALSE)</f>
        <v>0</v>
      </c>
      <c r="M54" s="3" t="str">
        <f>IFERROR(__xludf.DUMMYFUNCTION("""COMPUTED_VALUE"""),"Twitter for Android")</f>
        <v>Twitter for Android</v>
      </c>
      <c r="N54" s="3" t="str">
        <f>IFERROR(__xludf.DUMMYFUNCTION("""COMPUTED_VALUE"""),"pt")</f>
        <v>pt</v>
      </c>
      <c r="O54" s="3" t="str">
        <f>IFERROR(__xludf.DUMMYFUNCTION("""COMPUTED_VALUE"""),"no")</f>
        <v>no</v>
      </c>
      <c r="P54" s="3">
        <f>IFERROR(__xludf.DUMMYFUNCTION("""COMPUTED_VALUE"""),0.0)</f>
        <v>0</v>
      </c>
      <c r="Q54" s="3">
        <f>IFERROR(__xludf.DUMMYFUNCTION("""COMPUTED_VALUE"""),0.0)</f>
        <v>0</v>
      </c>
      <c r="R54" s="3">
        <f>IFERROR(__xludf.DUMMYFUNCTION("""COMPUTED_VALUE"""),0.0)</f>
        <v>0</v>
      </c>
      <c r="S54" s="3">
        <f>IFERROR(__xludf.DUMMYFUNCTION("""COMPUTED_VALUE"""),0.0)</f>
        <v>0</v>
      </c>
      <c r="T54" s="3">
        <f>IFERROR(__xludf.DUMMYFUNCTION("""COMPUTED_VALUE"""),33.0)</f>
        <v>33</v>
      </c>
      <c r="U54" s="3" t="str">
        <f>IFERROR(__xludf.DUMMYFUNCTION("""COMPUTED_VALUE"""),"no")</f>
        <v>no</v>
      </c>
      <c r="V54" s="3"/>
      <c r="W54" s="3" t="str">
        <f>IFERROR(__xludf.DUMMYFUNCTION("""COMPUTED_VALUE"""),"no")</f>
        <v>no</v>
      </c>
      <c r="X54" s="3"/>
      <c r="Y54" s="3"/>
      <c r="Z54" s="3"/>
      <c r="AA54" s="3"/>
      <c r="AB54" s="3"/>
      <c r="AC54" s="3" t="str">
        <f>IFERROR(__xludf.DUMMYFUNCTION("""COMPUTED_VALUE"""),"no")</f>
        <v>no</v>
      </c>
      <c r="AD54" s="3" t="str">
        <f>IFERROR(__xludf.DUMMYFUNCTION("""COMPUTED_VALUE"""),"no")</f>
        <v>no</v>
      </c>
      <c r="AE54" s="3"/>
      <c r="AF54" s="3" t="str">
        <f>IFERROR(__xludf.DUMMYFUNCTION("""COMPUTED_VALUE"""),"no")</f>
        <v>no</v>
      </c>
      <c r="AG54" s="3"/>
    </row>
    <row r="55" hidden="1">
      <c r="A55" s="3" t="str">
        <f>IFERROR(__xludf.DUMMYFUNCTION("""COMPUTED_VALUE"""),"1959363585097789879")</f>
        <v>1959363585097789879</v>
      </c>
      <c r="B55" s="3" t="str">
        <f>IFERROR(__xludf.DUMMYFUNCTION("""COMPUTED_VALUE"""),"1959301109576560826")</f>
        <v>1959301109576560826</v>
      </c>
      <c r="C55" s="10">
        <f>IFERROR(__xludf.DUMMYFUNCTION("""COMPUTED_VALUE"""),45892.88490740741)</f>
        <v>45892.88491</v>
      </c>
      <c r="D55" s="3">
        <f>IFERROR(__xludf.DUMMYFUNCTION("""COMPUTED_VALUE"""),1.755983656E9)</f>
        <v>1755983656</v>
      </c>
      <c r="E55" s="11" t="str">
        <f>IFERROR(__xludf.DUMMYFUNCTION("""COMPUTED_VALUE"""),"https://x.com/unxciudadana/status/1959363585097789879")</f>
        <v>https://x.com/unxciudadana/status/1959363585097789879</v>
      </c>
      <c r="F55" s="3" t="str">
        <f>IFERROR(__xludf.DUMMYFUNCTION("""COMPUTED_VALUE"""),"En vista que se viralizo voy a promocionarme como Terapeuta ocupacional en salud mental atiendo a Trastorno del ánimo, TDAH y autismo. Tiendo juvenil y adulto a bajo costo 😊")</f>
        <v>En vista que se viralizo voy a promocionarme como Terapeuta ocupacional en salud mental atiendo a Trastorno del ánimo, TDAH y autismo. Tiendo juvenil y adulto a bajo costo 😊</v>
      </c>
      <c r="G55" s="3" t="str">
        <f>IFERROR(__xludf.DUMMYFUNCTION("""COMPUTED_VALUE"""),"unxciudadana")</f>
        <v>unxciudadana</v>
      </c>
      <c r="H55" s="3" t="str">
        <f>IFERROR(__xludf.DUMMYFUNCTION("""COMPUTED_VALUE"""),"Ciudadana ❯ ❯ ❯ ❯ ❯")</f>
        <v>Ciudadana ❯ ❯ ❯ ❯ ❯</v>
      </c>
      <c r="I55" s="3" t="str">
        <f>IFERROR(__xludf.DUMMYFUNCTION("""COMPUTED_VALUE"""),"1197699181487542272")</f>
        <v>1197699181487542272</v>
      </c>
      <c r="J55" s="11" t="str">
        <f>IFERROR(__xludf.DUMMYFUNCTION("""COMPUTED_VALUE"""),"https://pbs.twimg.com/profile_images/1877524749481385984/rDFeLLwz_normal.jpg")</f>
        <v>https://pbs.twimg.com/profile_images/1877524749481385984/rDFeLLwz_normal.jpg</v>
      </c>
      <c r="K55" s="11" t="str">
        <f>IFERROR(__xludf.DUMMYFUNCTION("""COMPUTED_VALUE"""),"https://pbs.twimg.com/profile_banners/1197699181487542272/1712974390")</f>
        <v>https://pbs.twimg.com/profile_banners/1197699181487542272/1712974390</v>
      </c>
      <c r="L55" s="3" t="b">
        <f>IFERROR(__xludf.DUMMYFUNCTION("""COMPUTED_VALUE"""),FALSE)</f>
        <v>0</v>
      </c>
      <c r="M55" s="3" t="str">
        <f>IFERROR(__xludf.DUMMYFUNCTION("""COMPUTED_VALUE"""),"Twitter for Android")</f>
        <v>Twitter for Android</v>
      </c>
      <c r="N55" s="3" t="str">
        <f>IFERROR(__xludf.DUMMYFUNCTION("""COMPUTED_VALUE"""),"es")</f>
        <v>es</v>
      </c>
      <c r="O55" s="3" t="str">
        <f>IFERROR(__xludf.DUMMYFUNCTION("""COMPUTED_VALUE"""),"no")</f>
        <v>no</v>
      </c>
      <c r="P55" s="3">
        <f>IFERROR(__xludf.DUMMYFUNCTION("""COMPUTED_VALUE"""),23.0)</f>
        <v>23</v>
      </c>
      <c r="Q55" s="3">
        <f>IFERROR(__xludf.DUMMYFUNCTION("""COMPUTED_VALUE"""),21.0)</f>
        <v>21</v>
      </c>
      <c r="R55" s="3">
        <f>IFERROR(__xludf.DUMMYFUNCTION("""COMPUTED_VALUE"""),801.0)</f>
        <v>801</v>
      </c>
      <c r="S55" s="3">
        <f>IFERROR(__xludf.DUMMYFUNCTION("""COMPUTED_VALUE"""),0.0)</f>
        <v>0</v>
      </c>
      <c r="T55" s="3">
        <f>IFERROR(__xludf.DUMMYFUNCTION("""COMPUTED_VALUE"""),49112.0)</f>
        <v>49112</v>
      </c>
      <c r="U55" s="3" t="str">
        <f>IFERROR(__xludf.DUMMYFUNCTION("""COMPUTED_VALUE"""),"no")</f>
        <v>no</v>
      </c>
      <c r="V55" s="3"/>
      <c r="W55" s="3" t="str">
        <f>IFERROR(__xludf.DUMMYFUNCTION("""COMPUTED_VALUE"""),"no")</f>
        <v>no</v>
      </c>
      <c r="X55" s="3"/>
      <c r="Y55" s="3"/>
      <c r="Z55" s="3"/>
      <c r="AA55" s="3"/>
      <c r="AB55" s="3"/>
      <c r="AC55" s="3" t="str">
        <f>IFERROR(__xludf.DUMMYFUNCTION("""COMPUTED_VALUE"""),"no")</f>
        <v>no</v>
      </c>
      <c r="AD55" s="3" t="str">
        <f>IFERROR(__xludf.DUMMYFUNCTION("""COMPUTED_VALUE"""),"yes")</f>
        <v>yes</v>
      </c>
      <c r="AE55" s="3" t="str">
        <f>IFERROR(__xludf.DUMMYFUNCTION("""COMPUTED_VALUE"""),"unxciudadana")</f>
        <v>unxciudadana</v>
      </c>
      <c r="AF55" s="3" t="str">
        <f>IFERROR(__xludf.DUMMYFUNCTION("""COMPUTED_VALUE"""),"no")</f>
        <v>no</v>
      </c>
      <c r="AG55" s="3"/>
    </row>
    <row r="56" hidden="1">
      <c r="A56" s="3" t="str">
        <f>IFERROR(__xludf.DUMMYFUNCTION("""COMPUTED_VALUE"""),"1980789929371226407")</f>
        <v>1980789929371226407</v>
      </c>
      <c r="B56" s="3" t="str">
        <f>IFERROR(__xludf.DUMMYFUNCTION("""COMPUTED_VALUE"""),"1980789929371226407")</f>
        <v>1980789929371226407</v>
      </c>
      <c r="C56" s="10">
        <f>IFERROR(__xludf.DUMMYFUNCTION("""COMPUTED_VALUE"""),45952.010358796295)</f>
        <v>45952.01036</v>
      </c>
      <c r="D56" s="3">
        <f>IFERROR(__xludf.DUMMYFUNCTION("""COMPUTED_VALUE"""),1.761092095E9)</f>
        <v>1761092095</v>
      </c>
      <c r="E56" s="11" t="str">
        <f>IFERROR(__xludf.DUMMYFUNCTION("""COMPUTED_VALUE"""),"https://x.com/condesatv1/status/1980789929371226407")</f>
        <v>https://x.com/condesatv1/status/1980789929371226407</v>
      </c>
      <c r="F56" s="3" t="str">
        <f>IFERROR(__xludf.DUMMYFUNCTION("""COMPUTED_VALUE"""),"Adultos con TDAH sin diagnósticar es el tema que tratamos con la psicóloga clínica @rosannyjavierp en @podcasthablemosdetodo 
Un adulto con TDAH experimenta dificultades en áreas como la atención, la organización y el control de impulsos, lo que puede ma"&amp;"nifestarse como https://t.co/kR9IS136ro")</f>
        <v>Adultos con TDAH sin diagnósticar es el tema que tratamos con la psicóloga clínica @rosannyjavierp en @podcasthablemosdetodo 
Un adulto con TDAH experimenta dificultades en áreas como la atención, la organización y el control de impulsos, lo que puede manifestarse como https://t.co/kR9IS136ro</v>
      </c>
      <c r="G56" s="3" t="str">
        <f>IFERROR(__xludf.DUMMYFUNCTION("""COMPUTED_VALUE"""),"condesatv1")</f>
        <v>condesatv1</v>
      </c>
      <c r="H56" s="3" t="str">
        <f>IFERROR(__xludf.DUMMYFUNCTION("""COMPUTED_VALUE"""),"Arisleyda  Villalona🇩🇴🇩🇴")</f>
        <v>Arisleyda  Villalona🇩🇴🇩🇴</v>
      </c>
      <c r="I56" s="3">
        <f>IFERROR(__xludf.DUMMYFUNCTION("""COMPUTED_VALUE"""),1.21287943E8)</f>
        <v>121287943</v>
      </c>
      <c r="J56" s="11" t="str">
        <f>IFERROR(__xludf.DUMMYFUNCTION("""COMPUTED_VALUE"""),"https://pbs.twimg.com/profile_images/1988655046163070976/KR1WFBcT_normal.jpg")</f>
        <v>https://pbs.twimg.com/profile_images/1988655046163070976/KR1WFBcT_normal.jpg</v>
      </c>
      <c r="K56" s="11" t="str">
        <f>IFERROR(__xludf.DUMMYFUNCTION("""COMPUTED_VALUE"""),"https://pbs.twimg.com/profile_banners/121287943/1738616733")</f>
        <v>https://pbs.twimg.com/profile_banners/121287943/1738616733</v>
      </c>
      <c r="L56" s="3" t="b">
        <f>IFERROR(__xludf.DUMMYFUNCTION("""COMPUTED_VALUE"""),TRUE)</f>
        <v>1</v>
      </c>
      <c r="M56" s="3" t="str">
        <f>IFERROR(__xludf.DUMMYFUNCTION("""COMPUTED_VALUE"""),"Twitter for iPhone")</f>
        <v>Twitter for iPhone</v>
      </c>
      <c r="N56" s="3" t="str">
        <f>IFERROR(__xludf.DUMMYFUNCTION("""COMPUTED_VALUE"""),"es")</f>
        <v>es</v>
      </c>
      <c r="O56" s="3" t="str">
        <f>IFERROR(__xludf.DUMMYFUNCTION("""COMPUTED_VALUE"""),"no")</f>
        <v>no</v>
      </c>
      <c r="P56" s="3">
        <f>IFERROR(__xludf.DUMMYFUNCTION("""COMPUTED_VALUE"""),0.0)</f>
        <v>0</v>
      </c>
      <c r="Q56" s="3">
        <f>IFERROR(__xludf.DUMMYFUNCTION("""COMPUTED_VALUE"""),0.0)</f>
        <v>0</v>
      </c>
      <c r="R56" s="3">
        <f>IFERROR(__xludf.DUMMYFUNCTION("""COMPUTED_VALUE"""),1.0)</f>
        <v>1</v>
      </c>
      <c r="S56" s="3">
        <f>IFERROR(__xludf.DUMMYFUNCTION("""COMPUTED_VALUE"""),0.0)</f>
        <v>0</v>
      </c>
      <c r="T56" s="3">
        <f>IFERROR(__xludf.DUMMYFUNCTION("""COMPUTED_VALUE"""),323.0)</f>
        <v>323</v>
      </c>
      <c r="U56" s="3" t="str">
        <f>IFERROR(__xludf.DUMMYFUNCTION("""COMPUTED_VALUE"""),"no")</f>
        <v>no</v>
      </c>
      <c r="V56" s="3"/>
      <c r="W56" s="3" t="str">
        <f>IFERROR(__xludf.DUMMYFUNCTION("""COMPUTED_VALUE"""),"no")</f>
        <v>no</v>
      </c>
      <c r="X56" s="3"/>
      <c r="Y56" s="3"/>
      <c r="Z56" s="3"/>
      <c r="AA56" s="3"/>
      <c r="AB56" s="3"/>
      <c r="AC56" s="3" t="str">
        <f>IFERROR(__xludf.DUMMYFUNCTION("""COMPUTED_VALUE"""),"no")</f>
        <v>no</v>
      </c>
      <c r="AD56" s="3" t="str">
        <f>IFERROR(__xludf.DUMMYFUNCTION("""COMPUTED_VALUE"""),"no")</f>
        <v>no</v>
      </c>
      <c r="AE56" s="3"/>
      <c r="AF56" s="3" t="str">
        <f>IFERROR(__xludf.DUMMYFUNCTION("""COMPUTED_VALUE"""),"no")</f>
        <v>no</v>
      </c>
      <c r="AG56" s="3"/>
    </row>
    <row r="57" hidden="1">
      <c r="A57" s="3" t="str">
        <f>IFERROR(__xludf.DUMMYFUNCTION("""COMPUTED_VALUE"""),"1932387525118623984")</f>
        <v>1932387525118623984</v>
      </c>
      <c r="B57" s="3" t="str">
        <f>IFERROR(__xludf.DUMMYFUNCTION("""COMPUTED_VALUE"""),"1932387525118623984")</f>
        <v>1932387525118623984</v>
      </c>
      <c r="C57" s="10">
        <f>IFERROR(__xludf.DUMMYFUNCTION("""COMPUTED_VALUE"""),45818.44516203704)</f>
        <v>45818.44516</v>
      </c>
      <c r="D57" s="3">
        <f>IFERROR(__xludf.DUMMYFUNCTION("""COMPUTED_VALUE"""),1.749552062E9)</f>
        <v>1749552062</v>
      </c>
      <c r="E57" s="11" t="str">
        <f>IFERROR(__xludf.DUMMYFUNCTION("""COMPUTED_VALUE"""),"https://x.com/elneuropediatra/status/1932387525118623984")</f>
        <v>https://x.com/elneuropediatra/status/1932387525118623984</v>
      </c>
      <c r="F57" s="3" t="str">
        <f>IFERROR(__xludf.DUMMYFUNCTION("""COMPUTED_VALUE"""),"✨ ""No entendía por qué era diferente... hasta que me diagnosticaron TDAH siendo adulto""
Javier Quintana no solo es psicólogo y psicopedagogo. También ha vivido el TDAH desde dentro. https://t.co/yS3z7lT4bz")</f>
        <v>✨ "No entendía por qué era diferente... hasta que me diagnosticaron TDAH siendo adulto"
Javier Quintana no solo es psicólogo y psicopedagogo. También ha vivido el TDAH desde dentro. https://t.co/yS3z7lT4bz</v>
      </c>
      <c r="G57" s="3" t="str">
        <f>IFERROR(__xludf.DUMMYFUNCTION("""COMPUTED_VALUE"""),"elneuropediatra")</f>
        <v>elneuropediatra</v>
      </c>
      <c r="H57" s="3" t="str">
        <f>IFERROR(__xludf.DUMMYFUNCTION("""COMPUTED_VALUE"""),"Dr. Manuel Antonio Fernandez")</f>
        <v>Dr. Manuel Antonio Fernandez</v>
      </c>
      <c r="I57" s="3">
        <f>IFERROR(__xludf.DUMMYFUNCTION("""COMPUTED_VALUE"""),3.37569038E8)</f>
        <v>337569038</v>
      </c>
      <c r="J57" s="11" t="str">
        <f>IFERROR(__xludf.DUMMYFUNCTION("""COMPUTED_VALUE"""),"https://pbs.twimg.com/profile_images/1707653377050521600/uRq160FU_normal.jpg")</f>
        <v>https://pbs.twimg.com/profile_images/1707653377050521600/uRq160FU_normal.jpg</v>
      </c>
      <c r="K57" s="11" t="str">
        <f>IFERROR(__xludf.DUMMYFUNCTION("""COMPUTED_VALUE"""),"https://pbs.twimg.com/profile_banners/337569038/1515873527")</f>
        <v>https://pbs.twimg.com/profile_banners/337569038/1515873527</v>
      </c>
      <c r="L57" s="3" t="b">
        <f>IFERROR(__xludf.DUMMYFUNCTION("""COMPUTED_VALUE"""),FALSE)</f>
        <v>0</v>
      </c>
      <c r="M57" s="3" t="str">
        <f>IFERROR(__xludf.DUMMYFUNCTION("""COMPUTED_VALUE"""),"Twitter Web App")</f>
        <v>Twitter Web App</v>
      </c>
      <c r="N57" s="3" t="str">
        <f>IFERROR(__xludf.DUMMYFUNCTION("""COMPUTED_VALUE"""),"es")</f>
        <v>es</v>
      </c>
      <c r="O57" s="3" t="str">
        <f>IFERROR(__xludf.DUMMYFUNCTION("""COMPUTED_VALUE"""),"no")</f>
        <v>no</v>
      </c>
      <c r="P57" s="3">
        <f>IFERROR(__xludf.DUMMYFUNCTION("""COMPUTED_VALUE"""),0.0)</f>
        <v>0</v>
      </c>
      <c r="Q57" s="3">
        <f>IFERROR(__xludf.DUMMYFUNCTION("""COMPUTED_VALUE"""),0.0)</f>
        <v>0</v>
      </c>
      <c r="R57" s="3">
        <f>IFERROR(__xludf.DUMMYFUNCTION("""COMPUTED_VALUE"""),0.0)</f>
        <v>0</v>
      </c>
      <c r="S57" s="3">
        <f>IFERROR(__xludf.DUMMYFUNCTION("""COMPUTED_VALUE"""),0.0)</f>
        <v>0</v>
      </c>
      <c r="T57" s="3">
        <f>IFERROR(__xludf.DUMMYFUNCTION("""COMPUTED_VALUE"""),68.0)</f>
        <v>68</v>
      </c>
      <c r="U57" s="3" t="str">
        <f>IFERROR(__xludf.DUMMYFUNCTION("""COMPUTED_VALUE"""),"no")</f>
        <v>no</v>
      </c>
      <c r="V57" s="3"/>
      <c r="W57" s="3" t="str">
        <f>IFERROR(__xludf.DUMMYFUNCTION("""COMPUTED_VALUE"""),"no")</f>
        <v>no</v>
      </c>
      <c r="X57" s="3"/>
      <c r="Y57" s="3"/>
      <c r="Z57" s="3"/>
      <c r="AA57" s="3"/>
      <c r="AB57" s="3"/>
      <c r="AC57" s="3" t="str">
        <f>IFERROR(__xludf.DUMMYFUNCTION("""COMPUTED_VALUE"""),"no")</f>
        <v>no</v>
      </c>
      <c r="AD57" s="3" t="str">
        <f>IFERROR(__xludf.DUMMYFUNCTION("""COMPUTED_VALUE"""),"no")</f>
        <v>no</v>
      </c>
      <c r="AE57" s="3"/>
      <c r="AF57" s="3" t="str">
        <f>IFERROR(__xludf.DUMMYFUNCTION("""COMPUTED_VALUE"""),"no")</f>
        <v>no</v>
      </c>
      <c r="AG57" s="3"/>
    </row>
    <row r="58" hidden="1">
      <c r="A58" s="3" t="str">
        <f>IFERROR(__xludf.DUMMYFUNCTION("""COMPUTED_VALUE"""),"1923308023822348364")</f>
        <v>1923308023822348364</v>
      </c>
      <c r="B58" s="3" t="str">
        <f>IFERROR(__xludf.DUMMYFUNCTION("""COMPUTED_VALUE"""),"1923308023822348364")</f>
        <v>1923308023822348364</v>
      </c>
      <c r="C58" s="10">
        <f>IFERROR(__xludf.DUMMYFUNCTION("""COMPUTED_VALUE"""),45793.39050925926)</f>
        <v>45793.39051</v>
      </c>
      <c r="D58" s="3">
        <f>IFERROR(__xludf.DUMMYFUNCTION("""COMPUTED_VALUE"""),1.74738734E9)</f>
        <v>1747387340</v>
      </c>
      <c r="E58" s="11" t="str">
        <f>IFERROR(__xludf.DUMMYFUNCTION("""COMPUTED_VALUE"""),"https://x.com/LabRubio/status/1923308023822348364")</f>
        <v>https://x.com/LabRubio/status/1923308023822348364</v>
      </c>
      <c r="F58" s="3" t="str">
        <f>IFERROR(__xludf.DUMMYFUNCTION("""COMPUTED_VALUE"""),"🧠 Rubió, patrocinador único del XX Curso TDAH en Adultos (Dr. Ramos-Quiroga).
🎓 Formación avanzada en diagnóstico y manejo del TDAH adulto.Rubió reafirmamos nuestro 
📚 Reafirmamos compromiso con la formación médica de excelencia, impulsando el conocimi"&amp;"ento y la innovación para https://t.co/O5ckhRTACU")</f>
        <v>🧠 Rubió, patrocinador único del XX Curso TDAH en Adultos (Dr. Ramos-Quiroga).
🎓 Formación avanzada en diagnóstico y manejo del TDAH adulto.Rubió reafirmamos nuestro 
📚 Reafirmamos compromiso con la formación médica de excelencia, impulsando el conocimiento y la innovación para https://t.co/O5ckhRTACU</v>
      </c>
      <c r="G58" s="3" t="str">
        <f>IFERROR(__xludf.DUMMYFUNCTION("""COMPUTED_VALUE"""),"LabRubio")</f>
        <v>LabRubio</v>
      </c>
      <c r="H58" s="3" t="str">
        <f>IFERROR(__xludf.DUMMYFUNCTION("""COMPUTED_VALUE"""),"Rubió")</f>
        <v>Rubió</v>
      </c>
      <c r="I58" s="3">
        <f>IFERROR(__xludf.DUMMYFUNCTION("""COMPUTED_VALUE"""),2.467626889E9)</f>
        <v>2467626889</v>
      </c>
      <c r="J58" s="11" t="str">
        <f>IFERROR(__xludf.DUMMYFUNCTION("""COMPUTED_VALUE"""),"https://pbs.twimg.com/profile_images/1940389913045729280/bA5cKxHU_normal.jpg")</f>
        <v>https://pbs.twimg.com/profile_images/1940389913045729280/bA5cKxHU_normal.jpg</v>
      </c>
      <c r="K58" s="11" t="str">
        <f>IFERROR(__xludf.DUMMYFUNCTION("""COMPUTED_VALUE"""),"https://pbs.twimg.com/profile_banners/2467626889/1732724736")</f>
        <v>https://pbs.twimg.com/profile_banners/2467626889/1732724736</v>
      </c>
      <c r="L58" s="3" t="b">
        <f>IFERROR(__xludf.DUMMYFUNCTION("""COMPUTED_VALUE"""),TRUE)</f>
        <v>1</v>
      </c>
      <c r="M58" s="3" t="str">
        <f>IFERROR(__xludf.DUMMYFUNCTION("""COMPUTED_VALUE"""),"Twitter Web App")</f>
        <v>Twitter Web App</v>
      </c>
      <c r="N58" s="3" t="str">
        <f>IFERROR(__xludf.DUMMYFUNCTION("""COMPUTED_VALUE"""),"es")</f>
        <v>es</v>
      </c>
      <c r="O58" s="3" t="str">
        <f>IFERROR(__xludf.DUMMYFUNCTION("""COMPUTED_VALUE"""),"no")</f>
        <v>no</v>
      </c>
      <c r="P58" s="3">
        <f>IFERROR(__xludf.DUMMYFUNCTION("""COMPUTED_VALUE"""),0.0)</f>
        <v>0</v>
      </c>
      <c r="Q58" s="3">
        <f>IFERROR(__xludf.DUMMYFUNCTION("""COMPUTED_VALUE"""),1.0)</f>
        <v>1</v>
      </c>
      <c r="R58" s="3">
        <f>IFERROR(__xludf.DUMMYFUNCTION("""COMPUTED_VALUE"""),0.0)</f>
        <v>0</v>
      </c>
      <c r="S58" s="3">
        <f>IFERROR(__xludf.DUMMYFUNCTION("""COMPUTED_VALUE"""),0.0)</f>
        <v>0</v>
      </c>
      <c r="T58" s="3">
        <f>IFERROR(__xludf.DUMMYFUNCTION("""COMPUTED_VALUE"""),68.0)</f>
        <v>68</v>
      </c>
      <c r="U58" s="3" t="str">
        <f>IFERROR(__xludf.DUMMYFUNCTION("""COMPUTED_VALUE"""),"no")</f>
        <v>no</v>
      </c>
      <c r="V58" s="3"/>
      <c r="W58" s="3" t="str">
        <f>IFERROR(__xludf.DUMMYFUNCTION("""COMPUTED_VALUE"""),"no")</f>
        <v>no</v>
      </c>
      <c r="X58" s="3"/>
      <c r="Y58" s="3"/>
      <c r="Z58" s="3"/>
      <c r="AA58" s="3"/>
      <c r="AB58" s="3"/>
      <c r="AC58" s="3" t="str">
        <f>IFERROR(__xludf.DUMMYFUNCTION("""COMPUTED_VALUE"""),"no")</f>
        <v>no</v>
      </c>
      <c r="AD58" s="3" t="str">
        <f>IFERROR(__xludf.DUMMYFUNCTION("""COMPUTED_VALUE"""),"no")</f>
        <v>no</v>
      </c>
      <c r="AE58" s="3"/>
      <c r="AF58" s="3" t="str">
        <f>IFERROR(__xludf.DUMMYFUNCTION("""COMPUTED_VALUE"""),"no")</f>
        <v>no</v>
      </c>
      <c r="AG58" s="3"/>
    </row>
    <row r="59" hidden="1">
      <c r="A59" s="3" t="str">
        <f>IFERROR(__xludf.DUMMYFUNCTION("""COMPUTED_VALUE"""),"1980676908464394715")</f>
        <v>1980676908464394715</v>
      </c>
      <c r="B59" s="3" t="str">
        <f>IFERROR(__xludf.DUMMYFUNCTION("""COMPUTED_VALUE"""),"1980676908464394715")</f>
        <v>1980676908464394715</v>
      </c>
      <c r="C59" s="10">
        <f>IFERROR(__xludf.DUMMYFUNCTION("""COMPUTED_VALUE"""),45951.69847222222)</f>
        <v>45951.69847</v>
      </c>
      <c r="D59" s="3">
        <f>IFERROR(__xludf.DUMMYFUNCTION("""COMPUTED_VALUE"""),1.761065148E9)</f>
        <v>1761065148</v>
      </c>
      <c r="E59" s="11" t="str">
        <f>IFERROR(__xludf.DUMMYFUNCTION("""COMPUTED_VALUE"""),"https://x.com/zaydevalentinaz/status/1980676908464394715")</f>
        <v>https://x.com/zaydevalentinaz/status/1980676908464394715</v>
      </c>
      <c r="F59" s="3" t="str">
        <f>IFERROR(__xludf.DUMMYFUNCTION("""COMPUTED_VALUE"""),"yo tanto que critiqué y ahora resulta ser que soy volcán tdah del adulto, chao nomás")</f>
        <v>yo tanto que critiqué y ahora resulta ser que soy volcán tdah del adulto, chao nomás</v>
      </c>
      <c r="G59" s="3" t="str">
        <f>IFERROR(__xludf.DUMMYFUNCTION("""COMPUTED_VALUE"""),"zaydevalentinaz")</f>
        <v>zaydevalentinaz</v>
      </c>
      <c r="H59" s="3" t="str">
        <f>IFERROR(__xludf.DUMMYFUNCTION("""COMPUTED_VALUE"""),"zay✨")</f>
        <v>zay✨</v>
      </c>
      <c r="I59" s="3" t="str">
        <f>IFERROR(__xludf.DUMMYFUNCTION("""COMPUTED_VALUE"""),"1066000708892352512")</f>
        <v>1066000708892352512</v>
      </c>
      <c r="J59" s="11" t="str">
        <f>IFERROR(__xludf.DUMMYFUNCTION("""COMPUTED_VALUE"""),"https://pbs.twimg.com/profile_images/1488001152746676224/NwafY7v7_normal.jpg")</f>
        <v>https://pbs.twimg.com/profile_images/1488001152746676224/NwafY7v7_normal.jpg</v>
      </c>
      <c r="K59" s="11" t="str">
        <f>IFERROR(__xludf.DUMMYFUNCTION("""COMPUTED_VALUE"""),"https://pbs.twimg.com/profile_banners/1066000708892352512/1640867142")</f>
        <v>https://pbs.twimg.com/profile_banners/1066000708892352512/1640867142</v>
      </c>
      <c r="L59" s="3" t="b">
        <f>IFERROR(__xludf.DUMMYFUNCTION("""COMPUTED_VALUE"""),FALSE)</f>
        <v>0</v>
      </c>
      <c r="M59" s="3" t="str">
        <f>IFERROR(__xludf.DUMMYFUNCTION("""COMPUTED_VALUE"""),"Twitter Web App")</f>
        <v>Twitter Web App</v>
      </c>
      <c r="N59" s="3" t="str">
        <f>IFERROR(__xludf.DUMMYFUNCTION("""COMPUTED_VALUE"""),"es")</f>
        <v>es</v>
      </c>
      <c r="O59" s="3" t="str">
        <f>IFERROR(__xludf.DUMMYFUNCTION("""COMPUTED_VALUE"""),"no")</f>
        <v>no</v>
      </c>
      <c r="P59" s="3">
        <f>IFERROR(__xludf.DUMMYFUNCTION("""COMPUTED_VALUE"""),0.0)</f>
        <v>0</v>
      </c>
      <c r="Q59" s="3">
        <f>IFERROR(__xludf.DUMMYFUNCTION("""COMPUTED_VALUE"""),0.0)</f>
        <v>0</v>
      </c>
      <c r="R59" s="3">
        <f>IFERROR(__xludf.DUMMYFUNCTION("""COMPUTED_VALUE"""),1.0)</f>
        <v>1</v>
      </c>
      <c r="S59" s="3">
        <f>IFERROR(__xludf.DUMMYFUNCTION("""COMPUTED_VALUE"""),0.0)</f>
        <v>0</v>
      </c>
      <c r="T59" s="3">
        <f>IFERROR(__xludf.DUMMYFUNCTION("""COMPUTED_VALUE"""),14.0)</f>
        <v>14</v>
      </c>
      <c r="U59" s="3" t="str">
        <f>IFERROR(__xludf.DUMMYFUNCTION("""COMPUTED_VALUE"""),"no")</f>
        <v>no</v>
      </c>
      <c r="V59" s="3"/>
      <c r="W59" s="3" t="str">
        <f>IFERROR(__xludf.DUMMYFUNCTION("""COMPUTED_VALUE"""),"no")</f>
        <v>no</v>
      </c>
      <c r="X59" s="3"/>
      <c r="Y59" s="3"/>
      <c r="Z59" s="3"/>
      <c r="AA59" s="3"/>
      <c r="AB59" s="3"/>
      <c r="AC59" s="3" t="str">
        <f>IFERROR(__xludf.DUMMYFUNCTION("""COMPUTED_VALUE"""),"no")</f>
        <v>no</v>
      </c>
      <c r="AD59" s="3" t="str">
        <f>IFERROR(__xludf.DUMMYFUNCTION("""COMPUTED_VALUE"""),"no")</f>
        <v>no</v>
      </c>
      <c r="AE59" s="3"/>
      <c r="AF59" s="3" t="str">
        <f>IFERROR(__xludf.DUMMYFUNCTION("""COMPUTED_VALUE"""),"no")</f>
        <v>no</v>
      </c>
      <c r="AG59" s="3"/>
    </row>
    <row r="60" hidden="1">
      <c r="A60" s="3" t="str">
        <f>IFERROR(__xludf.DUMMYFUNCTION("""COMPUTED_VALUE"""),"1943334892642697618")</f>
        <v>1943334892642697618</v>
      </c>
      <c r="B60" s="3" t="str">
        <f>IFERROR(__xludf.DUMMYFUNCTION("""COMPUTED_VALUE"""),"1943334892642697618")</f>
        <v>1943334892642697618</v>
      </c>
      <c r="C60" s="10">
        <f>IFERROR(__xludf.DUMMYFUNCTION("""COMPUTED_VALUE"""),45848.65414351852)</f>
        <v>45848.65414</v>
      </c>
      <c r="D60" s="3">
        <f>IFERROR(__xludf.DUMMYFUNCTION("""COMPUTED_VALUE"""),1.752162118E9)</f>
        <v>1752162118</v>
      </c>
      <c r="E60" s="11" t="str">
        <f>IFERROR(__xludf.DUMMYFUNCTION("""COMPUTED_VALUE"""),"https://x.com/MRizaldos/status/1943334892642697618")</f>
        <v>https://x.com/MRizaldos/status/1943334892642697618</v>
      </c>
      <c r="F60" s="3" t="str">
        <f>IFERROR(__xludf.DUMMYFUNCTION("""COMPUTED_VALUE"""),"¿Eres un TDAH Adulto? https://t.co/UmJpcxIPp7")</f>
        <v>¿Eres un TDAH Adulto? https://t.co/UmJpcxIPp7</v>
      </c>
      <c r="G60" s="3" t="str">
        <f>IFERROR(__xludf.DUMMYFUNCTION("""COMPUTED_VALUE"""),"MRizaldos")</f>
        <v>MRizaldos</v>
      </c>
      <c r="H60" s="3" t="str">
        <f>IFERROR(__xludf.DUMMYFUNCTION("""COMPUTED_VALUE"""),"Miguel A. Rizaldos Lamoca")</f>
        <v>Miguel A. Rizaldos Lamoca</v>
      </c>
      <c r="I60" s="3">
        <f>IFERROR(__xludf.DUMMYFUNCTION("""COMPUTED_VALUE"""),4.32322234E8)</f>
        <v>432322234</v>
      </c>
      <c r="J60" s="11" t="str">
        <f>IFERROR(__xludf.DUMMYFUNCTION("""COMPUTED_VALUE"""),"https://pbs.twimg.com/profile_images/1407082152475430912/5J-pMRPv_normal.jpg")</f>
        <v>https://pbs.twimg.com/profile_images/1407082152475430912/5J-pMRPv_normal.jpg</v>
      </c>
      <c r="K60" s="11" t="str">
        <f>IFERROR(__xludf.DUMMYFUNCTION("""COMPUTED_VALUE"""),"https://pbs.twimg.com/profile_banners/432322234/1706009030")</f>
        <v>https://pbs.twimg.com/profile_banners/432322234/1706009030</v>
      </c>
      <c r="L60" s="3" t="b">
        <f>IFERROR(__xludf.DUMMYFUNCTION("""COMPUTED_VALUE"""),FALSE)</f>
        <v>0</v>
      </c>
      <c r="M60" s="3" t="str">
        <f>IFERROR(__xludf.DUMMYFUNCTION("""COMPUTED_VALUE"""),"Twitter Web App")</f>
        <v>Twitter Web App</v>
      </c>
      <c r="N60" s="3" t="str">
        <f>IFERROR(__xludf.DUMMYFUNCTION("""COMPUTED_VALUE"""),"in")</f>
        <v>in</v>
      </c>
      <c r="O60" s="3" t="str">
        <f>IFERROR(__xludf.DUMMYFUNCTION("""COMPUTED_VALUE"""),"no")</f>
        <v>no</v>
      </c>
      <c r="P60" s="3">
        <f>IFERROR(__xludf.DUMMYFUNCTION("""COMPUTED_VALUE"""),0.0)</f>
        <v>0</v>
      </c>
      <c r="Q60" s="3">
        <f>IFERROR(__xludf.DUMMYFUNCTION("""COMPUTED_VALUE"""),0.0)</f>
        <v>0</v>
      </c>
      <c r="R60" s="3">
        <f>IFERROR(__xludf.DUMMYFUNCTION("""COMPUTED_VALUE"""),0.0)</f>
        <v>0</v>
      </c>
      <c r="S60" s="3">
        <f>IFERROR(__xludf.DUMMYFUNCTION("""COMPUTED_VALUE"""),0.0)</f>
        <v>0</v>
      </c>
      <c r="T60" s="3">
        <f>IFERROR(__xludf.DUMMYFUNCTION("""COMPUTED_VALUE"""),70.0)</f>
        <v>70</v>
      </c>
      <c r="U60" s="3" t="str">
        <f>IFERROR(__xludf.DUMMYFUNCTION("""COMPUTED_VALUE"""),"no")</f>
        <v>no</v>
      </c>
      <c r="V60" s="3"/>
      <c r="W60" s="3" t="str">
        <f>IFERROR(__xludf.DUMMYFUNCTION("""COMPUTED_VALUE"""),"no")</f>
        <v>no</v>
      </c>
      <c r="X60" s="3"/>
      <c r="Y60" s="3"/>
      <c r="Z60" s="3"/>
      <c r="AA60" s="3"/>
      <c r="AB60" s="3"/>
      <c r="AC60" s="3" t="str">
        <f>IFERROR(__xludf.DUMMYFUNCTION("""COMPUTED_VALUE"""),"no")</f>
        <v>no</v>
      </c>
      <c r="AD60" s="3" t="str">
        <f>IFERROR(__xludf.DUMMYFUNCTION("""COMPUTED_VALUE"""),"no")</f>
        <v>no</v>
      </c>
      <c r="AE60" s="3"/>
      <c r="AF60" s="3" t="str">
        <f>IFERROR(__xludf.DUMMYFUNCTION("""COMPUTED_VALUE"""),"no")</f>
        <v>no</v>
      </c>
      <c r="AG60" s="3"/>
    </row>
    <row r="61">
      <c r="A61" s="3" t="str">
        <f>IFERROR(__xludf.DUMMYFUNCTION("""COMPUTED_VALUE"""),"1916928414768107825")</f>
        <v>1916928414768107825</v>
      </c>
      <c r="B61" s="3" t="str">
        <f>IFERROR(__xludf.DUMMYFUNCTION("""COMPUTED_VALUE"""),"1916928414768107825")</f>
        <v>1916928414768107825</v>
      </c>
      <c r="C61" s="10">
        <f>IFERROR(__xludf.DUMMYFUNCTION("""COMPUTED_VALUE"""),45775.786145833335)</f>
        <v>45775.78615</v>
      </c>
      <c r="D61" s="3">
        <f>IFERROR(__xludf.DUMMYFUNCTION("""COMPUTED_VALUE"""),1.745866323E9)</f>
        <v>1745866323</v>
      </c>
      <c r="E61" s="11" t="str">
        <f>IFERROR(__xludf.DUMMYFUNCTION("""COMPUTED_VALUE"""),"https://x.com/tdahworld/status/1916928414768107825")</f>
        <v>https://x.com/tdahworld/status/1916928414768107825</v>
      </c>
      <c r="F61" s="3" t="str">
        <f>IFERROR(__xludf.DUMMYFUNCTION("""COMPUTED_VALUE"""),"Mito ou Verdade: Tomar Venvanse®/Adderall® faz o adulto com TDAH seguir o tratamento mais fácil? 🤔 SURPRESA: A Revisão Cochrane NÃO achou provas disso comparado ao placebo!")</f>
        <v>Mito ou Verdade: Tomar Venvanse®/Adderall® faz o adulto com TDAH seguir o tratamento mais fácil? 🤔 SURPRESA: A Revisão Cochrane NÃO achou provas disso comparado ao placebo!</v>
      </c>
      <c r="G61" s="3" t="str">
        <f>IFERROR(__xludf.DUMMYFUNCTION("""COMPUTED_VALUE"""),"tdahworld")</f>
        <v>tdahworld</v>
      </c>
      <c r="H61" s="3" t="str">
        <f>IFERROR(__xludf.DUMMYFUNCTION("""COMPUTED_VALUE"""),"TDAH WORLD")</f>
        <v>TDAH WORLD</v>
      </c>
      <c r="I61" s="3" t="str">
        <f>IFERROR(__xludf.DUMMYFUNCTION("""COMPUTED_VALUE"""),"1576614038204825601")</f>
        <v>1576614038204825601</v>
      </c>
      <c r="J61" s="11" t="str">
        <f>IFERROR(__xludf.DUMMYFUNCTION("""COMPUTED_VALUE"""),"https://pbs.twimg.com/profile_images/1576614117342953472/IvYN8QgA_normal.png")</f>
        <v>https://pbs.twimg.com/profile_images/1576614117342953472/IvYN8QgA_normal.png</v>
      </c>
      <c r="K61" s="11" t="str">
        <f>IFERROR(__xludf.DUMMYFUNCTION("""COMPUTED_VALUE"""),"https://pbs.twimg.com/profile_banners/1576614038204825601/1664812670")</f>
        <v>https://pbs.twimg.com/profile_banners/1576614038204825601/1664812670</v>
      </c>
      <c r="L61" s="3" t="b">
        <f>IFERROR(__xludf.DUMMYFUNCTION("""COMPUTED_VALUE"""),FALSE)</f>
        <v>0</v>
      </c>
      <c r="M61" s="3" t="str">
        <f>IFERROR(__xludf.DUMMYFUNCTION("""COMPUTED_VALUE"""),"Twitter for Android")</f>
        <v>Twitter for Android</v>
      </c>
      <c r="N61" s="3" t="str">
        <f>IFERROR(__xludf.DUMMYFUNCTION("""COMPUTED_VALUE"""),"pt")</f>
        <v>pt</v>
      </c>
      <c r="O61" s="3" t="str">
        <f>IFERROR(__xludf.DUMMYFUNCTION("""COMPUTED_VALUE"""),"no")</f>
        <v>no</v>
      </c>
      <c r="P61" s="3">
        <f>IFERROR(__xludf.DUMMYFUNCTION("""COMPUTED_VALUE"""),0.0)</f>
        <v>0</v>
      </c>
      <c r="Q61" s="3">
        <f>IFERROR(__xludf.DUMMYFUNCTION("""COMPUTED_VALUE"""),2.0)</f>
        <v>2</v>
      </c>
      <c r="R61" s="3">
        <f>IFERROR(__xludf.DUMMYFUNCTION("""COMPUTED_VALUE"""),0.0)</f>
        <v>0</v>
      </c>
      <c r="S61" s="3">
        <f>IFERROR(__xludf.DUMMYFUNCTION("""COMPUTED_VALUE"""),0.0)</f>
        <v>0</v>
      </c>
      <c r="T61" s="3">
        <f>IFERROR(__xludf.DUMMYFUNCTION("""COMPUTED_VALUE"""),37.0)</f>
        <v>37</v>
      </c>
      <c r="U61" s="3" t="str">
        <f>IFERROR(__xludf.DUMMYFUNCTION("""COMPUTED_VALUE"""),"no")</f>
        <v>no</v>
      </c>
      <c r="V61" s="3"/>
      <c r="W61" s="3" t="str">
        <f>IFERROR(__xludf.DUMMYFUNCTION("""COMPUTED_VALUE"""),"no")</f>
        <v>no</v>
      </c>
      <c r="X61" s="3"/>
      <c r="Y61" s="3"/>
      <c r="Z61" s="3"/>
      <c r="AA61" s="3"/>
      <c r="AB61" s="3"/>
      <c r="AC61" s="3" t="str">
        <f>IFERROR(__xludf.DUMMYFUNCTION("""COMPUTED_VALUE"""),"no")</f>
        <v>no</v>
      </c>
      <c r="AD61" s="3" t="str">
        <f>IFERROR(__xludf.DUMMYFUNCTION("""COMPUTED_VALUE"""),"no")</f>
        <v>no</v>
      </c>
      <c r="AE61" s="3"/>
      <c r="AF61" s="3" t="str">
        <f>IFERROR(__xludf.DUMMYFUNCTION("""COMPUTED_VALUE"""),"no")</f>
        <v>no</v>
      </c>
      <c r="AG61" s="3"/>
    </row>
    <row r="62" hidden="1">
      <c r="A62" s="3" t="str">
        <f>IFERROR(__xludf.DUMMYFUNCTION("""COMPUTED_VALUE"""),"1988377745781649650")</f>
        <v>1988377745781649650</v>
      </c>
      <c r="B62" s="3" t="str">
        <f>IFERROR(__xludf.DUMMYFUNCTION("""COMPUTED_VALUE"""),"1988377745781649650")</f>
        <v>1988377745781649650</v>
      </c>
      <c r="C62" s="10">
        <f>IFERROR(__xludf.DUMMYFUNCTION("""COMPUTED_VALUE"""),45972.94873842593)</f>
        <v>45972.94874</v>
      </c>
      <c r="D62" s="3">
        <f>IFERROR(__xludf.DUMMYFUNCTION("""COMPUTED_VALUE"""),1.762901171E9)</f>
        <v>1762901171</v>
      </c>
      <c r="E62" s="11" t="str">
        <f>IFERROR(__xludf.DUMMYFUNCTION("""COMPUTED_VALUE"""),"https://x.com/jdiaz_psy/status/1988377745781649650")</f>
        <v>https://x.com/jdiaz_psy/status/1988377745781649650</v>
      </c>
      <c r="F62" s="3" t="str">
        <f>IFERROR(__xludf.DUMMYFUNCTION("""COMPUTED_VALUE"""),"Antes de diagnosticar TDAH adulto, conviene pararse a pensar...👇
https://t.co/Ma7LDNo7WY")</f>
        <v>Antes de diagnosticar TDAH adulto, conviene pararse a pensar...👇
https://t.co/Ma7LDNo7WY</v>
      </c>
      <c r="G62" s="3" t="str">
        <f>IFERROR(__xludf.DUMMYFUNCTION("""COMPUTED_VALUE"""),"jdiaz_psy")</f>
        <v>jdiaz_psy</v>
      </c>
      <c r="H62" s="3" t="str">
        <f>IFERROR(__xludf.DUMMYFUNCTION("""COMPUTED_VALUE"""),"Javier Díaz")</f>
        <v>Javier Díaz</v>
      </c>
      <c r="I62" s="3" t="str">
        <f>IFERROR(__xludf.DUMMYFUNCTION("""COMPUTED_VALUE"""),"1703641082087591936")</f>
        <v>1703641082087591936</v>
      </c>
      <c r="J62" s="11" t="str">
        <f>IFERROR(__xludf.DUMMYFUNCTION("""COMPUTED_VALUE"""),"https://pbs.twimg.com/profile_images/1917255962433396736/kVSO_7s-_normal.jpg")</f>
        <v>https://pbs.twimg.com/profile_images/1917255962433396736/kVSO_7s-_normal.jpg</v>
      </c>
      <c r="K62" s="11" t="str">
        <f>IFERROR(__xludf.DUMMYFUNCTION("""COMPUTED_VALUE"""),"https://pbs.twimg.com/profile_banners/1703641082087591936/1745943533")</f>
        <v>https://pbs.twimg.com/profile_banners/1703641082087591936/1745943533</v>
      </c>
      <c r="L62" s="3" t="b">
        <f>IFERROR(__xludf.DUMMYFUNCTION("""COMPUTED_VALUE"""),FALSE)</f>
        <v>0</v>
      </c>
      <c r="M62" s="3" t="str">
        <f>IFERROR(__xludf.DUMMYFUNCTION("""COMPUTED_VALUE"""),"Twitter Web App")</f>
        <v>Twitter Web App</v>
      </c>
      <c r="N62" s="3" t="str">
        <f>IFERROR(__xludf.DUMMYFUNCTION("""COMPUTED_VALUE"""),"es")</f>
        <v>es</v>
      </c>
      <c r="O62" s="3" t="str">
        <f>IFERROR(__xludf.DUMMYFUNCTION("""COMPUTED_VALUE"""),"no")</f>
        <v>no</v>
      </c>
      <c r="P62" s="3">
        <f>IFERROR(__xludf.DUMMYFUNCTION("""COMPUTED_VALUE"""),0.0)</f>
        <v>0</v>
      </c>
      <c r="Q62" s="3">
        <f>IFERROR(__xludf.DUMMYFUNCTION("""COMPUTED_VALUE"""),0.0)</f>
        <v>0</v>
      </c>
      <c r="R62" s="3">
        <f>IFERROR(__xludf.DUMMYFUNCTION("""COMPUTED_VALUE"""),0.0)</f>
        <v>0</v>
      </c>
      <c r="S62" s="3">
        <f>IFERROR(__xludf.DUMMYFUNCTION("""COMPUTED_VALUE"""),0.0)</f>
        <v>0</v>
      </c>
      <c r="T62" s="3">
        <f>IFERROR(__xludf.DUMMYFUNCTION("""COMPUTED_VALUE"""),10.0)</f>
        <v>10</v>
      </c>
      <c r="U62" s="3" t="str">
        <f>IFERROR(__xludf.DUMMYFUNCTION("""COMPUTED_VALUE"""),"no")</f>
        <v>no</v>
      </c>
      <c r="V62" s="3"/>
      <c r="W62" s="3" t="str">
        <f>IFERROR(__xludf.DUMMYFUNCTION("""COMPUTED_VALUE"""),"no")</f>
        <v>no</v>
      </c>
      <c r="X62" s="3"/>
      <c r="Y62" s="3"/>
      <c r="Z62" s="3"/>
      <c r="AA62" s="3"/>
      <c r="AB62" s="3"/>
      <c r="AC62" s="3" t="str">
        <f>IFERROR(__xludf.DUMMYFUNCTION("""COMPUTED_VALUE"""),"no")</f>
        <v>no</v>
      </c>
      <c r="AD62" s="3" t="str">
        <f>IFERROR(__xludf.DUMMYFUNCTION("""COMPUTED_VALUE"""),"no")</f>
        <v>no</v>
      </c>
      <c r="AE62" s="3"/>
      <c r="AF62" s="3" t="str">
        <f>IFERROR(__xludf.DUMMYFUNCTION("""COMPUTED_VALUE"""),"no")</f>
        <v>no</v>
      </c>
      <c r="AG62" s="3"/>
    </row>
    <row r="63">
      <c r="A63" s="3" t="str">
        <f>IFERROR(__xludf.DUMMYFUNCTION("""COMPUTED_VALUE"""),"1924874637244088481")</f>
        <v>1924874637244088481</v>
      </c>
      <c r="B63" s="3" t="str">
        <f>IFERROR(__xludf.DUMMYFUNCTION("""COMPUTED_VALUE"""),"1924874637244088481")</f>
        <v>1924874637244088481</v>
      </c>
      <c r="C63" s="10">
        <f>IFERROR(__xludf.DUMMYFUNCTION("""COMPUTED_VALUE"""),45797.713541666664)</f>
        <v>45797.71354</v>
      </c>
      <c r="D63" s="3">
        <f>IFERROR(__xludf.DUMMYFUNCTION("""COMPUTED_VALUE"""),1.74776085E9)</f>
        <v>1747760850</v>
      </c>
      <c r="E63" s="11" t="str">
        <f>IFERROR(__xludf.DUMMYFUNCTION("""COMPUTED_VALUE"""),"https://x.com/flopzynho/status/1924874637244088481")</f>
        <v>https://x.com/flopzynho/status/1924874637244088481</v>
      </c>
      <c r="F63" s="3" t="str">
        <f>IFERROR(__xludf.DUMMYFUNCTION("""COMPUTED_VALUE"""),"Não aguento mais viver tendo absolutamente todos os sintomas de TDAH adulto e nunca estar com grana pra fechar um diagnóstico ou fazer um tratamento.")</f>
        <v>Não aguento mais viver tendo absolutamente todos os sintomas de TDAH adulto e nunca estar com grana pra fechar um diagnóstico ou fazer um tratamento.</v>
      </c>
      <c r="G63" s="3" t="str">
        <f>IFERROR(__xludf.DUMMYFUNCTION("""COMPUTED_VALUE"""),"flopzynho")</f>
        <v>flopzynho</v>
      </c>
      <c r="H63" s="3" t="str">
        <f>IFERROR(__xludf.DUMMYFUNCTION("""COMPUTED_VALUE"""),"felipe")</f>
        <v>felipe</v>
      </c>
      <c r="I63" s="3" t="str">
        <f>IFERROR(__xludf.DUMMYFUNCTION("""COMPUTED_VALUE"""),"1777150888773079040")</f>
        <v>1777150888773079040</v>
      </c>
      <c r="J63" s="11" t="str">
        <f>IFERROR(__xludf.DUMMYFUNCTION("""COMPUTED_VALUE"""),"https://pbs.twimg.com/profile_images/1977107143699386368/jaOPbgKz_normal.jpg")</f>
        <v>https://pbs.twimg.com/profile_images/1977107143699386368/jaOPbgKz_normal.jpg</v>
      </c>
      <c r="K63" s="11" t="str">
        <f>IFERROR(__xludf.DUMMYFUNCTION("""COMPUTED_VALUE"""),"https://pbs.twimg.com/profile_banners/1777150888773079040/1733819990")</f>
        <v>https://pbs.twimg.com/profile_banners/1777150888773079040/1733819990</v>
      </c>
      <c r="L63" s="3" t="b">
        <f>IFERROR(__xludf.DUMMYFUNCTION("""COMPUTED_VALUE"""),FALSE)</f>
        <v>0</v>
      </c>
      <c r="M63" s="3" t="str">
        <f>IFERROR(__xludf.DUMMYFUNCTION("""COMPUTED_VALUE"""),"Twitter for iPhone")</f>
        <v>Twitter for iPhone</v>
      </c>
      <c r="N63" s="3" t="str">
        <f>IFERROR(__xludf.DUMMYFUNCTION("""COMPUTED_VALUE"""),"pt")</f>
        <v>pt</v>
      </c>
      <c r="O63" s="3" t="str">
        <f>IFERROR(__xludf.DUMMYFUNCTION("""COMPUTED_VALUE"""),"no")</f>
        <v>no</v>
      </c>
      <c r="P63" s="3">
        <f>IFERROR(__xludf.DUMMYFUNCTION("""COMPUTED_VALUE"""),0.0)</f>
        <v>0</v>
      </c>
      <c r="Q63" s="3">
        <f>IFERROR(__xludf.DUMMYFUNCTION("""COMPUTED_VALUE"""),1.0)</f>
        <v>1</v>
      </c>
      <c r="R63" s="3">
        <f>IFERROR(__xludf.DUMMYFUNCTION("""COMPUTED_VALUE"""),0.0)</f>
        <v>0</v>
      </c>
      <c r="S63" s="3">
        <f>IFERROR(__xludf.DUMMYFUNCTION("""COMPUTED_VALUE"""),0.0)</f>
        <v>0</v>
      </c>
      <c r="T63" s="3">
        <f>IFERROR(__xludf.DUMMYFUNCTION("""COMPUTED_VALUE"""),69.0)</f>
        <v>69</v>
      </c>
      <c r="U63" s="3" t="str">
        <f>IFERROR(__xludf.DUMMYFUNCTION("""COMPUTED_VALUE"""),"no")</f>
        <v>no</v>
      </c>
      <c r="V63" s="3"/>
      <c r="W63" s="3" t="str">
        <f>IFERROR(__xludf.DUMMYFUNCTION("""COMPUTED_VALUE"""),"no")</f>
        <v>no</v>
      </c>
      <c r="X63" s="3"/>
      <c r="Y63" s="3"/>
      <c r="Z63" s="3"/>
      <c r="AA63" s="3"/>
      <c r="AB63" s="3"/>
      <c r="AC63" s="3" t="str">
        <f>IFERROR(__xludf.DUMMYFUNCTION("""COMPUTED_VALUE"""),"no")</f>
        <v>no</v>
      </c>
      <c r="AD63" s="3" t="str">
        <f>IFERROR(__xludf.DUMMYFUNCTION("""COMPUTED_VALUE"""),"no")</f>
        <v>no</v>
      </c>
      <c r="AE63" s="3"/>
      <c r="AF63" s="3" t="str">
        <f>IFERROR(__xludf.DUMMYFUNCTION("""COMPUTED_VALUE"""),"no")</f>
        <v>no</v>
      </c>
      <c r="AG63" s="3"/>
    </row>
    <row r="64" hidden="1">
      <c r="A64" s="3" t="str">
        <f>IFERROR(__xludf.DUMMYFUNCTION("""COMPUTED_VALUE"""),"1988705051591033046")</f>
        <v>1988705051591033046</v>
      </c>
      <c r="B64" s="3" t="str">
        <f>IFERROR(__xludf.DUMMYFUNCTION("""COMPUTED_VALUE"""),"1988705051591033046")</f>
        <v>1988705051591033046</v>
      </c>
      <c r="C64" s="10">
        <f>IFERROR(__xludf.DUMMYFUNCTION("""COMPUTED_VALUE"""),45973.85193287037)</f>
        <v>45973.85193</v>
      </c>
      <c r="D64" s="3">
        <f>IFERROR(__xludf.DUMMYFUNCTION("""COMPUTED_VALUE"""),1.762979207E9)</f>
        <v>1762979207</v>
      </c>
      <c r="E64" s="11" t="str">
        <f>IFERROR(__xludf.DUMMYFUNCTION("""COMPUTED_VALUE"""),"https://x.com/cielorvr/status/1988705051591033046")</f>
        <v>https://x.com/cielorvr/status/1988705051591033046</v>
      </c>
      <c r="F64" s="3" t="str">
        <f>IFERROR(__xludf.DUMMYFUNCTION("""COMPUTED_VALUE"""),"qué creen que necesito para saber si tengo TDAH un diagnóstico profesional de alguien especializado o que mi roomie me mande reels con tips para ser un adulto funcional teniendo TDAH")</f>
        <v>qué creen que necesito para saber si tengo TDAH un diagnóstico profesional de alguien especializado o que mi roomie me mande reels con tips para ser un adulto funcional teniendo TDAH</v>
      </c>
      <c r="G64" s="3" t="str">
        <f>IFERROR(__xludf.DUMMYFUNCTION("""COMPUTED_VALUE"""),"cielorvr")</f>
        <v>cielorvr</v>
      </c>
      <c r="H64" s="3" t="str">
        <f>IFERROR(__xludf.DUMMYFUNCTION("""COMPUTED_VALUE"""),"cielo")</f>
        <v>cielo</v>
      </c>
      <c r="I64" s="3" t="str">
        <f>IFERROR(__xludf.DUMMYFUNCTION("""COMPUTED_VALUE"""),"1018296742595448832")</f>
        <v>1018296742595448832</v>
      </c>
      <c r="J64" s="11" t="str">
        <f>IFERROR(__xludf.DUMMYFUNCTION("""COMPUTED_VALUE"""),"https://pbs.twimg.com/profile_images/1774640336301654016/C6z8O5Cp_normal.jpg")</f>
        <v>https://pbs.twimg.com/profile_images/1774640336301654016/C6z8O5Cp_normal.jpg</v>
      </c>
      <c r="K64" s="11" t="str">
        <f>IFERROR(__xludf.DUMMYFUNCTION("""COMPUTED_VALUE"""),"https://pbs.twimg.com/profile_banners/1018296742595448832/1711942427")</f>
        <v>https://pbs.twimg.com/profile_banners/1018296742595448832/1711942427</v>
      </c>
      <c r="L64" s="3" t="b">
        <f>IFERROR(__xludf.DUMMYFUNCTION("""COMPUTED_VALUE"""),FALSE)</f>
        <v>0</v>
      </c>
      <c r="M64" s="3" t="str">
        <f>IFERROR(__xludf.DUMMYFUNCTION("""COMPUTED_VALUE"""),"Twitter for Android")</f>
        <v>Twitter for Android</v>
      </c>
      <c r="N64" s="3" t="str">
        <f>IFERROR(__xludf.DUMMYFUNCTION("""COMPUTED_VALUE"""),"es")</f>
        <v>es</v>
      </c>
      <c r="O64" s="3" t="str">
        <f>IFERROR(__xludf.DUMMYFUNCTION("""COMPUTED_VALUE"""),"no")</f>
        <v>no</v>
      </c>
      <c r="P64" s="3">
        <f>IFERROR(__xludf.DUMMYFUNCTION("""COMPUTED_VALUE"""),0.0)</f>
        <v>0</v>
      </c>
      <c r="Q64" s="3">
        <f>IFERROR(__xludf.DUMMYFUNCTION("""COMPUTED_VALUE"""),1.0)</f>
        <v>1</v>
      </c>
      <c r="R64" s="3">
        <f>IFERROR(__xludf.DUMMYFUNCTION("""COMPUTED_VALUE"""),8.0)</f>
        <v>8</v>
      </c>
      <c r="S64" s="3">
        <f>IFERROR(__xludf.DUMMYFUNCTION("""COMPUTED_VALUE"""),0.0)</f>
        <v>0</v>
      </c>
      <c r="T64" s="3">
        <f>IFERROR(__xludf.DUMMYFUNCTION("""COMPUTED_VALUE"""),280.0)</f>
        <v>280</v>
      </c>
      <c r="U64" s="3" t="str">
        <f>IFERROR(__xludf.DUMMYFUNCTION("""COMPUTED_VALUE"""),"no")</f>
        <v>no</v>
      </c>
      <c r="V64" s="3"/>
      <c r="W64" s="3" t="str">
        <f>IFERROR(__xludf.DUMMYFUNCTION("""COMPUTED_VALUE"""),"no")</f>
        <v>no</v>
      </c>
      <c r="X64" s="3"/>
      <c r="Y64" s="3"/>
      <c r="Z64" s="3"/>
      <c r="AA64" s="3"/>
      <c r="AB64" s="3"/>
      <c r="AC64" s="3" t="str">
        <f>IFERROR(__xludf.DUMMYFUNCTION("""COMPUTED_VALUE"""),"no")</f>
        <v>no</v>
      </c>
      <c r="AD64" s="3" t="str">
        <f>IFERROR(__xludf.DUMMYFUNCTION("""COMPUTED_VALUE"""),"no")</f>
        <v>no</v>
      </c>
      <c r="AE64" s="3"/>
      <c r="AF64" s="3" t="str">
        <f>IFERROR(__xludf.DUMMYFUNCTION("""COMPUTED_VALUE"""),"no")</f>
        <v>no</v>
      </c>
      <c r="AG64" s="3"/>
    </row>
    <row r="65" hidden="1">
      <c r="A65" s="3" t="str">
        <f>IFERROR(__xludf.DUMMYFUNCTION("""COMPUTED_VALUE"""),"1936875661844717817")</f>
        <v>1936875661844717817</v>
      </c>
      <c r="B65" s="3" t="str">
        <f>IFERROR(__xludf.DUMMYFUNCTION("""COMPUTED_VALUE"""),"1936875661844717817")</f>
        <v>1936875661844717817</v>
      </c>
      <c r="C65" s="10">
        <f>IFERROR(__xludf.DUMMYFUNCTION("""COMPUTED_VALUE"""),45830.83005787037)</f>
        <v>45830.83006</v>
      </c>
      <c r="D65" s="3">
        <f>IFERROR(__xludf.DUMMYFUNCTION("""COMPUTED_VALUE"""),1.750622117E9)</f>
        <v>1750622117</v>
      </c>
      <c r="E65" s="11" t="str">
        <f>IFERROR(__xludf.DUMMYFUNCTION("""COMPUTED_VALUE"""),"https://x.com/AENSaludMental/status/1936875661844717817")</f>
        <v>https://x.com/AENSaludMental/status/1936875661844717817</v>
      </c>
      <c r="F65" s="3" t="str">
        <f>IFERROR(__xludf.DUMMYFUNCTION("""COMPUTED_VALUE"""),"🗺️ Novedades autonómicas en salud mental | AEN-PSM
📍Madrid: nuevo boletín de AMSM-AEN
📍Canarias: Lahera en el Congreso de la ACN
📍Andalucía: adenda crítica al protocolo de TDAH adulto
Una red viva, diversa y comprometida.
#SaludMental #AENPSM https:"&amp;"//t.co/Kh1ltBK1uB")</f>
        <v>🗺️ Novedades autonómicas en salud mental | AEN-PSM
📍Madrid: nuevo boletín de AMSM-AEN
📍Canarias: Lahera en el Congreso de la ACN
📍Andalucía: adenda crítica al protocolo de TDAH adulto
Una red viva, diversa y comprometida.
#SaludMental #AENPSM https://t.co/Kh1ltBK1uB</v>
      </c>
      <c r="G65" s="3" t="str">
        <f>IFERROR(__xludf.DUMMYFUNCTION("""COMPUTED_VALUE"""),"AENSaludMental")</f>
        <v>AENSaludMental</v>
      </c>
      <c r="H65" s="3" t="str">
        <f>IFERROR(__xludf.DUMMYFUNCTION("""COMPUTED_VALUE"""),"AEN Salud Mental")</f>
        <v>AEN Salud Mental</v>
      </c>
      <c r="I65" s="3">
        <f>IFERROR(__xludf.DUMMYFUNCTION("""COMPUTED_VALUE"""),1.400777557E9)</f>
        <v>1400777557</v>
      </c>
      <c r="J65" s="11" t="str">
        <f>IFERROR(__xludf.DUMMYFUNCTION("""COMPUTED_VALUE"""),"https://pbs.twimg.com/profile_images/1622600960273940482/xi_3j3O9_normal.jpg")</f>
        <v>https://pbs.twimg.com/profile_images/1622600960273940482/xi_3j3O9_normal.jpg</v>
      </c>
      <c r="K65" s="11" t="str">
        <f>IFERROR(__xludf.DUMMYFUNCTION("""COMPUTED_VALUE"""),"https://pbs.twimg.com/profile_banners/1400777557/1465037153")</f>
        <v>https://pbs.twimg.com/profile_banners/1400777557/1465037153</v>
      </c>
      <c r="L65" s="3" t="b">
        <f>IFERROR(__xludf.DUMMYFUNCTION("""COMPUTED_VALUE"""),FALSE)</f>
        <v>0</v>
      </c>
      <c r="M65" s="3" t="str">
        <f>IFERROR(__xludf.DUMMYFUNCTION("""COMPUTED_VALUE"""),"Twitter for iPhone")</f>
        <v>Twitter for iPhone</v>
      </c>
      <c r="N65" s="3" t="str">
        <f>IFERROR(__xludf.DUMMYFUNCTION("""COMPUTED_VALUE"""),"es")</f>
        <v>es</v>
      </c>
      <c r="O65" s="3" t="str">
        <f>IFERROR(__xludf.DUMMYFUNCTION("""COMPUTED_VALUE"""),"no")</f>
        <v>no</v>
      </c>
      <c r="P65" s="3">
        <f>IFERROR(__xludf.DUMMYFUNCTION("""COMPUTED_VALUE"""),1.0)</f>
        <v>1</v>
      </c>
      <c r="Q65" s="3">
        <f>IFERROR(__xludf.DUMMYFUNCTION("""COMPUTED_VALUE"""),0.0)</f>
        <v>0</v>
      </c>
      <c r="R65" s="3">
        <f>IFERROR(__xludf.DUMMYFUNCTION("""COMPUTED_VALUE"""),1.0)</f>
        <v>1</v>
      </c>
      <c r="S65" s="3">
        <f>IFERROR(__xludf.DUMMYFUNCTION("""COMPUTED_VALUE"""),0.0)</f>
        <v>0</v>
      </c>
      <c r="T65" s="3">
        <f>IFERROR(__xludf.DUMMYFUNCTION("""COMPUTED_VALUE"""),327.0)</f>
        <v>327</v>
      </c>
      <c r="U65" s="3" t="str">
        <f>IFERROR(__xludf.DUMMYFUNCTION("""COMPUTED_VALUE"""),"no")</f>
        <v>no</v>
      </c>
      <c r="V65" s="3"/>
      <c r="W65" s="3" t="str">
        <f>IFERROR(__xludf.DUMMYFUNCTION("""COMPUTED_VALUE"""),"no")</f>
        <v>no</v>
      </c>
      <c r="X65" s="3"/>
      <c r="Y65" s="3"/>
      <c r="Z65" s="3"/>
      <c r="AA65" s="3"/>
      <c r="AB65" s="3"/>
      <c r="AC65" s="3" t="str">
        <f>IFERROR(__xludf.DUMMYFUNCTION("""COMPUTED_VALUE"""),"no")</f>
        <v>no</v>
      </c>
      <c r="AD65" s="3" t="str">
        <f>IFERROR(__xludf.DUMMYFUNCTION("""COMPUTED_VALUE"""),"no")</f>
        <v>no</v>
      </c>
      <c r="AE65" s="3"/>
      <c r="AF65" s="3" t="str">
        <f>IFERROR(__xludf.DUMMYFUNCTION("""COMPUTED_VALUE"""),"no")</f>
        <v>no</v>
      </c>
      <c r="AG65" s="3" t="str">
        <f>IFERROR(__xludf.DUMMYFUNCTION("""COMPUTED_VALUE"""),"SaludMental,AENPSM")</f>
        <v>SaludMental,AENPSM</v>
      </c>
    </row>
    <row r="66" hidden="1">
      <c r="A66" s="3" t="str">
        <f>IFERROR(__xludf.DUMMYFUNCTION("""COMPUTED_VALUE"""),"1942346730110083106")</f>
        <v>1942346730110083106</v>
      </c>
      <c r="B66" s="3" t="str">
        <f>IFERROR(__xludf.DUMMYFUNCTION("""COMPUTED_VALUE"""),"1942346703618646267")</f>
        <v>1942346703618646267</v>
      </c>
      <c r="C66" s="10">
        <f>IFERROR(__xludf.DUMMYFUNCTION("""COMPUTED_VALUE"""),45845.92733796296)</f>
        <v>45845.92734</v>
      </c>
      <c r="D66" s="3">
        <f>IFERROR(__xludf.DUMMYFUNCTION("""COMPUTED_VALUE"""),1.751926522E9)</f>
        <v>1751926522</v>
      </c>
      <c r="E66" s="11" t="str">
        <f>IFERROR(__xludf.DUMMYFUNCTION("""COMPUTED_VALUE"""),"https://x.com/ElPaido/status/1942346730110083106")</f>
        <v>https://x.com/ElPaido/status/1942346730110083106</v>
      </c>
      <c r="F66" s="3" t="str">
        <f>IFERROR(__xludf.DUMMYFUNCTION("""COMPUTED_VALUE"""),"El TDAH adulto es real, pero su evaluación requiere método y escepticismo clínico.
No todo lo que parece TDAH lo es.
Y no todo TDAH requiere lo mismo.
👨‍⚕️ “Más psicopatología no equivale a más precisión diagnóstica”.")</f>
        <v>El TDAH adulto es real, pero su evaluación requiere método y escepticismo clínico.
No todo lo que parece TDAH lo es.
Y no todo TDAH requiere lo mismo.
👨‍⚕️ “Más psicopatología no equivale a más precisión diagnóstica”.</v>
      </c>
      <c r="G66" s="3" t="str">
        <f>IFERROR(__xludf.DUMMYFUNCTION("""COMPUTED_VALUE"""),"ElPaido")</f>
        <v>ElPaido</v>
      </c>
      <c r="H66" s="3" t="str">
        <f>IFERROR(__xludf.DUMMYFUNCTION("""COMPUTED_VALUE"""),"El Paido ®️")</f>
        <v>El Paido ®️</v>
      </c>
      <c r="I66" s="3">
        <f>IFERROR(__xludf.DUMMYFUNCTION("""COMPUTED_VALUE"""),2.36621586E8)</f>
        <v>236621586</v>
      </c>
      <c r="J66" s="11" t="str">
        <f>IFERROR(__xludf.DUMMYFUNCTION("""COMPUTED_VALUE"""),"https://pbs.twimg.com/profile_images/1540464860768731136/UM4JIXS3_normal.jpg")</f>
        <v>https://pbs.twimg.com/profile_images/1540464860768731136/UM4JIXS3_normal.jpg</v>
      </c>
      <c r="K66" s="11" t="str">
        <f>IFERROR(__xludf.DUMMYFUNCTION("""COMPUTED_VALUE"""),"https://pbs.twimg.com/profile_banners/236621586/1606877123")</f>
        <v>https://pbs.twimg.com/profile_banners/236621586/1606877123</v>
      </c>
      <c r="L66" s="3" t="b">
        <f>IFERROR(__xludf.DUMMYFUNCTION("""COMPUTED_VALUE"""),FALSE)</f>
        <v>0</v>
      </c>
      <c r="M66" s="3" t="str">
        <f>IFERROR(__xludf.DUMMYFUNCTION("""COMPUTED_VALUE"""),"Twitter Web App")</f>
        <v>Twitter Web App</v>
      </c>
      <c r="N66" s="3" t="str">
        <f>IFERROR(__xludf.DUMMYFUNCTION("""COMPUTED_VALUE"""),"es")</f>
        <v>es</v>
      </c>
      <c r="O66" s="3" t="str">
        <f>IFERROR(__xludf.DUMMYFUNCTION("""COMPUTED_VALUE"""),"no")</f>
        <v>no</v>
      </c>
      <c r="P66" s="3">
        <f>IFERROR(__xludf.DUMMYFUNCTION("""COMPUTED_VALUE"""),1.0)</f>
        <v>1</v>
      </c>
      <c r="Q66" s="3">
        <f>IFERROR(__xludf.DUMMYFUNCTION("""COMPUTED_VALUE"""),1.0)</f>
        <v>1</v>
      </c>
      <c r="R66" s="3">
        <f>IFERROR(__xludf.DUMMYFUNCTION("""COMPUTED_VALUE"""),10.0)</f>
        <v>10</v>
      </c>
      <c r="S66" s="3">
        <f>IFERROR(__xludf.DUMMYFUNCTION("""COMPUTED_VALUE"""),0.0)</f>
        <v>0</v>
      </c>
      <c r="T66" s="3">
        <f>IFERROR(__xludf.DUMMYFUNCTION("""COMPUTED_VALUE"""),541.0)</f>
        <v>541</v>
      </c>
      <c r="U66" s="3" t="str">
        <f>IFERROR(__xludf.DUMMYFUNCTION("""COMPUTED_VALUE"""),"no")</f>
        <v>no</v>
      </c>
      <c r="V66" s="3"/>
      <c r="W66" s="3" t="str">
        <f>IFERROR(__xludf.DUMMYFUNCTION("""COMPUTED_VALUE"""),"no")</f>
        <v>no</v>
      </c>
      <c r="X66" s="3"/>
      <c r="Y66" s="3"/>
      <c r="Z66" s="3"/>
      <c r="AA66" s="3"/>
      <c r="AB66" s="3"/>
      <c r="AC66" s="3" t="str">
        <f>IFERROR(__xludf.DUMMYFUNCTION("""COMPUTED_VALUE"""),"no")</f>
        <v>no</v>
      </c>
      <c r="AD66" s="3" t="str">
        <f>IFERROR(__xludf.DUMMYFUNCTION("""COMPUTED_VALUE"""),"yes")</f>
        <v>yes</v>
      </c>
      <c r="AE66" s="3" t="str">
        <f>IFERROR(__xludf.DUMMYFUNCTION("""COMPUTED_VALUE"""),"ElPaido")</f>
        <v>ElPaido</v>
      </c>
      <c r="AF66" s="3" t="str">
        <f>IFERROR(__xludf.DUMMYFUNCTION("""COMPUTED_VALUE"""),"no")</f>
        <v>no</v>
      </c>
      <c r="AG66" s="3"/>
    </row>
    <row r="67">
      <c r="A67" s="3" t="str">
        <f>IFERROR(__xludf.DUMMYFUNCTION("""COMPUTED_VALUE"""),"1987526147651907738")</f>
        <v>1987526147651907738</v>
      </c>
      <c r="B67" s="3" t="str">
        <f>IFERROR(__xludf.DUMMYFUNCTION("""COMPUTED_VALUE"""),"1987482186610552971")</f>
        <v>1987482186610552971</v>
      </c>
      <c r="C67" s="10">
        <f>IFERROR(__xludf.DUMMYFUNCTION("""COMPUTED_VALUE"""),45970.59877314815)</f>
        <v>45970.59877</v>
      </c>
      <c r="D67" s="3">
        <f>IFERROR(__xludf.DUMMYFUNCTION("""COMPUTED_VALUE"""),1.762698134E9)</f>
        <v>1762698134</v>
      </c>
      <c r="E67" s="11" t="str">
        <f>IFERROR(__xludf.DUMMYFUNCTION("""COMPUTED_VALUE"""),"https://x.com/MMALICK9/status/1987526147651907738")</f>
        <v>https://x.com/MMALICK9/status/1987526147651907738</v>
      </c>
      <c r="F67" s="3" t="str">
        <f>IFERROR(__xludf.DUMMYFUNCTION("""COMPUTED_VALUE"""),"@pimentatf @glauber_doc Po,eu só fui descobrir adulto pq minha ex me encheu o saco pra ir em médico.  Fui em vários,tive diagnóstico de tudo. Ai fui em um que me deu o diagnóstico de Tdah. So que nao tomo remédio todo dia mas vou perguntar pro médico se p"&amp;"ode mudar isso")</f>
        <v>@pimentatf @glauber_doc Po,eu só fui descobrir adulto pq minha ex me encheu o saco pra ir em médico.  Fui em vários,tive diagnóstico de tudo. Ai fui em um que me deu o diagnóstico de Tdah. So que nao tomo remédio todo dia mas vou perguntar pro médico se pode mudar isso</v>
      </c>
      <c r="G67" s="3" t="str">
        <f>IFERROR(__xludf.DUMMYFUNCTION("""COMPUTED_VALUE"""),"MMALICK9")</f>
        <v>MMALICK9</v>
      </c>
      <c r="H67" s="3" t="str">
        <f>IFERROR(__xludf.DUMMYFUNCTION("""COMPUTED_VALUE"""),"Jaku o Tirano")</f>
        <v>Jaku o Tirano</v>
      </c>
      <c r="I67" s="3" t="str">
        <f>IFERROR(__xludf.DUMMYFUNCTION("""COMPUTED_VALUE"""),"1382429041517547520")</f>
        <v>1382429041517547520</v>
      </c>
      <c r="J67" s="11" t="str">
        <f>IFERROR(__xludf.DUMMYFUNCTION("""COMPUTED_VALUE"""),"https://pbs.twimg.com/profile_images/1974835428449513472/dPrcxhPg_normal.jpg")</f>
        <v>https://pbs.twimg.com/profile_images/1974835428449513472/dPrcxhPg_normal.jpg</v>
      </c>
      <c r="K67" s="3"/>
      <c r="L67" s="3" t="b">
        <f>IFERROR(__xludf.DUMMYFUNCTION("""COMPUTED_VALUE"""),FALSE)</f>
        <v>0</v>
      </c>
      <c r="M67" s="3" t="str">
        <f>IFERROR(__xludf.DUMMYFUNCTION("""COMPUTED_VALUE"""),"Twitter for Android")</f>
        <v>Twitter for Android</v>
      </c>
      <c r="N67" s="3" t="str">
        <f>IFERROR(__xludf.DUMMYFUNCTION("""COMPUTED_VALUE"""),"pt")</f>
        <v>pt</v>
      </c>
      <c r="O67" s="3" t="str">
        <f>IFERROR(__xludf.DUMMYFUNCTION("""COMPUTED_VALUE"""),"no")</f>
        <v>no</v>
      </c>
      <c r="P67" s="3">
        <f>IFERROR(__xludf.DUMMYFUNCTION("""COMPUTED_VALUE"""),0.0)</f>
        <v>0</v>
      </c>
      <c r="Q67" s="3">
        <f>IFERROR(__xludf.DUMMYFUNCTION("""COMPUTED_VALUE"""),1.0)</f>
        <v>1</v>
      </c>
      <c r="R67" s="3">
        <f>IFERROR(__xludf.DUMMYFUNCTION("""COMPUTED_VALUE"""),0.0)</f>
        <v>0</v>
      </c>
      <c r="S67" s="3">
        <f>IFERROR(__xludf.DUMMYFUNCTION("""COMPUTED_VALUE"""),0.0)</f>
        <v>0</v>
      </c>
      <c r="T67" s="3">
        <f>IFERROR(__xludf.DUMMYFUNCTION("""COMPUTED_VALUE"""),17.0)</f>
        <v>17</v>
      </c>
      <c r="U67" s="3" t="str">
        <f>IFERROR(__xludf.DUMMYFUNCTION("""COMPUTED_VALUE"""),"no")</f>
        <v>no</v>
      </c>
      <c r="V67" s="3"/>
      <c r="W67" s="3" t="str">
        <f>IFERROR(__xludf.DUMMYFUNCTION("""COMPUTED_VALUE"""),"no")</f>
        <v>no</v>
      </c>
      <c r="X67" s="3"/>
      <c r="Y67" s="3"/>
      <c r="Z67" s="3"/>
      <c r="AA67" s="3"/>
      <c r="AB67" s="3"/>
      <c r="AC67" s="3" t="str">
        <f>IFERROR(__xludf.DUMMYFUNCTION("""COMPUTED_VALUE"""),"no")</f>
        <v>no</v>
      </c>
      <c r="AD67" s="3" t="str">
        <f>IFERROR(__xludf.DUMMYFUNCTION("""COMPUTED_VALUE"""),"yes")</f>
        <v>yes</v>
      </c>
      <c r="AE67" s="3" t="str">
        <f>IFERROR(__xludf.DUMMYFUNCTION("""COMPUTED_VALUE"""),"pimentatf")</f>
        <v>pimentatf</v>
      </c>
      <c r="AF67" s="3" t="str">
        <f>IFERROR(__xludf.DUMMYFUNCTION("""COMPUTED_VALUE"""),"no")</f>
        <v>no</v>
      </c>
      <c r="AG67" s="3"/>
    </row>
    <row r="68">
      <c r="A68" s="3" t="str">
        <f>IFERROR(__xludf.DUMMYFUNCTION("""COMPUTED_VALUE"""),"1925679304622416121")</f>
        <v>1925679304622416121</v>
      </c>
      <c r="B68" s="3" t="str">
        <f>IFERROR(__xludf.DUMMYFUNCTION("""COMPUTED_VALUE"""),"1925679304622416121")</f>
        <v>1925679304622416121</v>
      </c>
      <c r="C68" s="10">
        <f>IFERROR(__xludf.DUMMYFUNCTION("""COMPUTED_VALUE"""),45799.93400462963)</f>
        <v>45799.934</v>
      </c>
      <c r="D68" s="3">
        <f>IFERROR(__xludf.DUMMYFUNCTION("""COMPUTED_VALUE"""),1.747952698E9)</f>
        <v>1747952698</v>
      </c>
      <c r="E68" s="11" t="str">
        <f>IFERROR(__xludf.DUMMYFUNCTION("""COMPUTED_VALUE"""),"https://x.com/issbelinha/status/1925679304622416121")</f>
        <v>https://x.com/issbelinha/status/1925679304622416121</v>
      </c>
      <c r="F68" s="3" t="str">
        <f>IFERROR(__xludf.DUMMYFUNCTION("""COMPUTED_VALUE"""),"lembrei agora da professora falando que adulto não tinha tdah, que adulto com sintoma de tdah era criança que cresceu mimada e hoje virou um adulto sem recursos")</f>
        <v>lembrei agora da professora falando que adulto não tinha tdah, que adulto com sintoma de tdah era criança que cresceu mimada e hoje virou um adulto sem recursos</v>
      </c>
      <c r="G68" s="3" t="str">
        <f>IFERROR(__xludf.DUMMYFUNCTION("""COMPUTED_VALUE"""),"issbelinha")</f>
        <v>issbelinha</v>
      </c>
      <c r="H68" s="3" t="str">
        <f>IFERROR(__xludf.DUMMYFUNCTION("""COMPUTED_VALUE"""),"ؘ")</f>
        <v>ؘ</v>
      </c>
      <c r="I68" s="3">
        <f>IFERROR(__xludf.DUMMYFUNCTION("""COMPUTED_VALUE"""),2.831662233E9)</f>
        <v>2831662233</v>
      </c>
      <c r="J68" s="11" t="str">
        <f>IFERROR(__xludf.DUMMYFUNCTION("""COMPUTED_VALUE"""),"https://pbs.twimg.com/profile_images/1945604336404283392/Hnr7bWVo_normal.jpg")</f>
        <v>https://pbs.twimg.com/profile_images/1945604336404283392/Hnr7bWVo_normal.jpg</v>
      </c>
      <c r="K68" s="11" t="str">
        <f>IFERROR(__xludf.DUMMYFUNCTION("""COMPUTED_VALUE"""),"https://pbs.twimg.com/profile_banners/2831662233/1761602175")</f>
        <v>https://pbs.twimg.com/profile_banners/2831662233/1761602175</v>
      </c>
      <c r="L68" s="3" t="b">
        <f>IFERROR(__xludf.DUMMYFUNCTION("""COMPUTED_VALUE"""),FALSE)</f>
        <v>0</v>
      </c>
      <c r="M68" s="3" t="str">
        <f>IFERROR(__xludf.DUMMYFUNCTION("""COMPUTED_VALUE"""),"Twitter for Android")</f>
        <v>Twitter for Android</v>
      </c>
      <c r="N68" s="3" t="str">
        <f>IFERROR(__xludf.DUMMYFUNCTION("""COMPUTED_VALUE"""),"pt")</f>
        <v>pt</v>
      </c>
      <c r="O68" s="3" t="str">
        <f>IFERROR(__xludf.DUMMYFUNCTION("""COMPUTED_VALUE"""),"no")</f>
        <v>no</v>
      </c>
      <c r="P68" s="3">
        <f>IFERROR(__xludf.DUMMYFUNCTION("""COMPUTED_VALUE"""),0.0)</f>
        <v>0</v>
      </c>
      <c r="Q68" s="3">
        <f>IFERROR(__xludf.DUMMYFUNCTION("""COMPUTED_VALUE"""),1.0)</f>
        <v>1</v>
      </c>
      <c r="R68" s="3">
        <f>IFERROR(__xludf.DUMMYFUNCTION("""COMPUTED_VALUE"""),0.0)</f>
        <v>0</v>
      </c>
      <c r="S68" s="3">
        <f>IFERROR(__xludf.DUMMYFUNCTION("""COMPUTED_VALUE"""),0.0)</f>
        <v>0</v>
      </c>
      <c r="T68" s="3">
        <f>IFERROR(__xludf.DUMMYFUNCTION("""COMPUTED_VALUE"""),76.0)</f>
        <v>76</v>
      </c>
      <c r="U68" s="3" t="str">
        <f>IFERROR(__xludf.DUMMYFUNCTION("""COMPUTED_VALUE"""),"no")</f>
        <v>no</v>
      </c>
      <c r="V68" s="3"/>
      <c r="W68" s="3" t="str">
        <f>IFERROR(__xludf.DUMMYFUNCTION("""COMPUTED_VALUE"""),"no")</f>
        <v>no</v>
      </c>
      <c r="X68" s="3"/>
      <c r="Y68" s="3"/>
      <c r="Z68" s="3"/>
      <c r="AA68" s="3"/>
      <c r="AB68" s="3"/>
      <c r="AC68" s="3" t="str">
        <f>IFERROR(__xludf.DUMMYFUNCTION("""COMPUTED_VALUE"""),"no")</f>
        <v>no</v>
      </c>
      <c r="AD68" s="3" t="str">
        <f>IFERROR(__xludf.DUMMYFUNCTION("""COMPUTED_VALUE"""),"no")</f>
        <v>no</v>
      </c>
      <c r="AE68" s="3"/>
      <c r="AF68" s="3" t="str">
        <f>IFERROR(__xludf.DUMMYFUNCTION("""COMPUTED_VALUE"""),"no")</f>
        <v>no</v>
      </c>
      <c r="AG68" s="3"/>
    </row>
    <row r="69" hidden="1">
      <c r="A69" s="3" t="str">
        <f>IFERROR(__xludf.DUMMYFUNCTION("""COMPUTED_VALUE"""),"1942346706500370656")</f>
        <v>1942346706500370656</v>
      </c>
      <c r="B69" s="3" t="str">
        <f>IFERROR(__xludf.DUMMYFUNCTION("""COMPUTED_VALUE"""),"1942346703618646267")</f>
        <v>1942346703618646267</v>
      </c>
      <c r="C69" s="10">
        <f>IFERROR(__xludf.DUMMYFUNCTION("""COMPUTED_VALUE"""),45845.92726851852)</f>
        <v>45845.92727</v>
      </c>
      <c r="D69" s="3">
        <f>IFERROR(__xludf.DUMMYFUNCTION("""COMPUTED_VALUE"""),1.751926516E9)</f>
        <v>1751926516</v>
      </c>
      <c r="E69" s="11" t="str">
        <f>IFERROR(__xludf.DUMMYFUNCTION("""COMPUTED_VALUE"""),"https://x.com/ElPaido/status/1942346706500370656")</f>
        <v>https://x.com/ElPaido/status/1942346706500370656</v>
      </c>
      <c r="F69" s="3" t="str">
        <f>IFERROR(__xludf.DUMMYFUNCTION("""COMPUTED_VALUE"""),"🔍 Evaluar TDAH en adultos es más complejo que solo aplicar un cuestionario:
Los síntomas son inespecíficos
Puede haber exageración consciente o inconsciente
Muchas veces no se verifica la aparición en infancia
Sí, el TDAH adulto existe. Pero su diagn"&amp;"óstico exige cautela.")</f>
        <v>🔍 Evaluar TDAH en adultos es más complejo que solo aplicar un cuestionario:
Los síntomas son inespecíficos
Puede haber exageración consciente o inconsciente
Muchas veces no se verifica la aparición en infancia
Sí, el TDAH adulto existe. Pero su diagnóstico exige cautela.</v>
      </c>
      <c r="G69" s="3" t="str">
        <f>IFERROR(__xludf.DUMMYFUNCTION("""COMPUTED_VALUE"""),"ElPaido")</f>
        <v>ElPaido</v>
      </c>
      <c r="H69" s="3" t="str">
        <f>IFERROR(__xludf.DUMMYFUNCTION("""COMPUTED_VALUE"""),"El Paido ®️")</f>
        <v>El Paido ®️</v>
      </c>
      <c r="I69" s="3">
        <f>IFERROR(__xludf.DUMMYFUNCTION("""COMPUTED_VALUE"""),2.36621586E8)</f>
        <v>236621586</v>
      </c>
      <c r="J69" s="11" t="str">
        <f>IFERROR(__xludf.DUMMYFUNCTION("""COMPUTED_VALUE"""),"https://pbs.twimg.com/profile_images/1540464860768731136/UM4JIXS3_normal.jpg")</f>
        <v>https://pbs.twimg.com/profile_images/1540464860768731136/UM4JIXS3_normal.jpg</v>
      </c>
      <c r="K69" s="11" t="str">
        <f>IFERROR(__xludf.DUMMYFUNCTION("""COMPUTED_VALUE"""),"https://pbs.twimg.com/profile_banners/236621586/1606877123")</f>
        <v>https://pbs.twimg.com/profile_banners/236621586/1606877123</v>
      </c>
      <c r="L69" s="3" t="b">
        <f>IFERROR(__xludf.DUMMYFUNCTION("""COMPUTED_VALUE"""),FALSE)</f>
        <v>0</v>
      </c>
      <c r="M69" s="3" t="str">
        <f>IFERROR(__xludf.DUMMYFUNCTION("""COMPUTED_VALUE"""),"Twitter Web App")</f>
        <v>Twitter Web App</v>
      </c>
      <c r="N69" s="3" t="str">
        <f>IFERROR(__xludf.DUMMYFUNCTION("""COMPUTED_VALUE"""),"es")</f>
        <v>es</v>
      </c>
      <c r="O69" s="3" t="str">
        <f>IFERROR(__xludf.DUMMYFUNCTION("""COMPUTED_VALUE"""),"no")</f>
        <v>no</v>
      </c>
      <c r="P69" s="3">
        <f>IFERROR(__xludf.DUMMYFUNCTION("""COMPUTED_VALUE"""),1.0)</f>
        <v>1</v>
      </c>
      <c r="Q69" s="3">
        <f>IFERROR(__xludf.DUMMYFUNCTION("""COMPUTED_VALUE"""),1.0)</f>
        <v>1</v>
      </c>
      <c r="R69" s="3">
        <f>IFERROR(__xludf.DUMMYFUNCTION("""COMPUTED_VALUE"""),7.0)</f>
        <v>7</v>
      </c>
      <c r="S69" s="3">
        <f>IFERROR(__xludf.DUMMYFUNCTION("""COMPUTED_VALUE"""),1.0)</f>
        <v>1</v>
      </c>
      <c r="T69" s="3">
        <f>IFERROR(__xludf.DUMMYFUNCTION("""COMPUTED_VALUE"""),578.0)</f>
        <v>578</v>
      </c>
      <c r="U69" s="3" t="str">
        <f>IFERROR(__xludf.DUMMYFUNCTION("""COMPUTED_VALUE"""),"no")</f>
        <v>no</v>
      </c>
      <c r="V69" s="3"/>
      <c r="W69" s="3" t="str">
        <f>IFERROR(__xludf.DUMMYFUNCTION("""COMPUTED_VALUE"""),"no")</f>
        <v>no</v>
      </c>
      <c r="X69" s="3"/>
      <c r="Y69" s="3"/>
      <c r="Z69" s="3"/>
      <c r="AA69" s="3"/>
      <c r="AB69" s="3"/>
      <c r="AC69" s="3" t="str">
        <f>IFERROR(__xludf.DUMMYFUNCTION("""COMPUTED_VALUE"""),"no")</f>
        <v>no</v>
      </c>
      <c r="AD69" s="3" t="str">
        <f>IFERROR(__xludf.DUMMYFUNCTION("""COMPUTED_VALUE"""),"yes")</f>
        <v>yes</v>
      </c>
      <c r="AE69" s="3" t="str">
        <f>IFERROR(__xludf.DUMMYFUNCTION("""COMPUTED_VALUE"""),"ElPaido")</f>
        <v>ElPaido</v>
      </c>
      <c r="AF69" s="3" t="str">
        <f>IFERROR(__xludf.DUMMYFUNCTION("""COMPUTED_VALUE"""),"no")</f>
        <v>no</v>
      </c>
      <c r="AG69" s="3"/>
    </row>
    <row r="70" hidden="1">
      <c r="A70" s="3" t="str">
        <f>IFERROR(__xludf.DUMMYFUNCTION("""COMPUTED_VALUE"""),"1961442007944962325")</f>
        <v>1961442007944962325</v>
      </c>
      <c r="B70" s="3" t="str">
        <f>IFERROR(__xludf.DUMMYFUNCTION("""COMPUTED_VALUE"""),"1961442007944962325")</f>
        <v>1961442007944962325</v>
      </c>
      <c r="C70" s="10">
        <f>IFERROR(__xludf.DUMMYFUNCTION("""COMPUTED_VALUE"""),45898.6202662037)</f>
        <v>45898.62027</v>
      </c>
      <c r="D70" s="3">
        <f>IFERROR(__xludf.DUMMYFUNCTION("""COMPUTED_VALUE"""),1.756479191E9)</f>
        <v>1756479191</v>
      </c>
      <c r="E70" s="11" t="str">
        <f>IFERROR(__xludf.DUMMYFUNCTION("""COMPUTED_VALUE"""),"https://x.com/henssnunkv/status/1961442007944962325")</f>
        <v>https://x.com/henssnunkv/status/1961442007944962325</v>
      </c>
      <c r="F70" s="3" t="str">
        <f>IFERROR(__xludf.DUMMYFUNCTION("""COMPUTED_VALUE"""),"nos pessoas com tdah entendemos seu tdah adulto jungkook")</f>
        <v>nos pessoas com tdah entendemos seu tdah adulto jungkook</v>
      </c>
      <c r="G70" s="3" t="str">
        <f>IFERROR(__xludf.DUMMYFUNCTION("""COMPUTED_VALUE"""),"henssnunkv")</f>
        <v>henssnunkv</v>
      </c>
      <c r="H70" s="3" t="str">
        <f>IFERROR(__xludf.DUMMYFUNCTION("""COMPUTED_VALUE"""),"namie")</f>
        <v>namie</v>
      </c>
      <c r="I70" s="3" t="str">
        <f>IFERROR(__xludf.DUMMYFUNCTION("""COMPUTED_VALUE"""),"1926405016492871680")</f>
        <v>1926405016492871680</v>
      </c>
      <c r="J70" s="11" t="str">
        <f>IFERROR(__xludf.DUMMYFUNCTION("""COMPUTED_VALUE"""),"https://pbs.twimg.com/profile_images/1986092336804200448/XZ8WDvUN_normal.jpg")</f>
        <v>https://pbs.twimg.com/profile_images/1986092336804200448/XZ8WDvUN_normal.jpg</v>
      </c>
      <c r="K70" s="11" t="str">
        <f>IFERROR(__xludf.DUMMYFUNCTION("""COMPUTED_VALUE"""),"https://pbs.twimg.com/profile_banners/1926405016492871680/1762356368")</f>
        <v>https://pbs.twimg.com/profile_banners/1926405016492871680/1762356368</v>
      </c>
      <c r="L70" s="3" t="b">
        <f>IFERROR(__xludf.DUMMYFUNCTION("""COMPUTED_VALUE"""),FALSE)</f>
        <v>0</v>
      </c>
      <c r="M70" s="3" t="str">
        <f>IFERROR(__xludf.DUMMYFUNCTION("""COMPUTED_VALUE"""),"Twitter for Android")</f>
        <v>Twitter for Android</v>
      </c>
      <c r="N70" s="3" t="str">
        <f>IFERROR(__xludf.DUMMYFUNCTION("""COMPUTED_VALUE"""),"in")</f>
        <v>in</v>
      </c>
      <c r="O70" s="3" t="str">
        <f>IFERROR(__xludf.DUMMYFUNCTION("""COMPUTED_VALUE"""),"no")</f>
        <v>no</v>
      </c>
      <c r="P70" s="3">
        <f>IFERROR(__xludf.DUMMYFUNCTION("""COMPUTED_VALUE"""),0.0)</f>
        <v>0</v>
      </c>
      <c r="Q70" s="3">
        <f>IFERROR(__xludf.DUMMYFUNCTION("""COMPUTED_VALUE"""),0.0)</f>
        <v>0</v>
      </c>
      <c r="R70" s="3">
        <f>IFERROR(__xludf.DUMMYFUNCTION("""COMPUTED_VALUE"""),1.0)</f>
        <v>1</v>
      </c>
      <c r="S70" s="3">
        <f>IFERROR(__xludf.DUMMYFUNCTION("""COMPUTED_VALUE"""),0.0)</f>
        <v>0</v>
      </c>
      <c r="T70" s="3">
        <f>IFERROR(__xludf.DUMMYFUNCTION("""COMPUTED_VALUE"""),193.0)</f>
        <v>193</v>
      </c>
      <c r="U70" s="3" t="str">
        <f>IFERROR(__xludf.DUMMYFUNCTION("""COMPUTED_VALUE"""),"no")</f>
        <v>no</v>
      </c>
      <c r="V70" s="3"/>
      <c r="W70" s="3" t="str">
        <f>IFERROR(__xludf.DUMMYFUNCTION("""COMPUTED_VALUE"""),"no")</f>
        <v>no</v>
      </c>
      <c r="X70" s="3"/>
      <c r="Y70" s="3"/>
      <c r="Z70" s="3"/>
      <c r="AA70" s="3"/>
      <c r="AB70" s="3"/>
      <c r="AC70" s="3" t="str">
        <f>IFERROR(__xludf.DUMMYFUNCTION("""COMPUTED_VALUE"""),"no")</f>
        <v>no</v>
      </c>
      <c r="AD70" s="3" t="str">
        <f>IFERROR(__xludf.DUMMYFUNCTION("""COMPUTED_VALUE"""),"no")</f>
        <v>no</v>
      </c>
      <c r="AE70" s="3"/>
      <c r="AF70" s="3" t="str">
        <f>IFERROR(__xludf.DUMMYFUNCTION("""COMPUTED_VALUE"""),"no")</f>
        <v>no</v>
      </c>
      <c r="AG70" s="3"/>
    </row>
    <row r="71" hidden="1">
      <c r="A71" s="3" t="str">
        <f>IFERROR(__xludf.DUMMYFUNCTION("""COMPUTED_VALUE"""),"1988750705360851300")</f>
        <v>1988750705360851300</v>
      </c>
      <c r="B71" s="3" t="str">
        <f>IFERROR(__xludf.DUMMYFUNCTION("""COMPUTED_VALUE"""),"1988710842763018507")</f>
        <v>1988710842763018507</v>
      </c>
      <c r="C71" s="10">
        <f>IFERROR(__xludf.DUMMYFUNCTION("""COMPUTED_VALUE"""),45973.97791666666)</f>
        <v>45973.97792</v>
      </c>
      <c r="D71" s="3">
        <f>IFERROR(__xludf.DUMMYFUNCTION("""COMPUTED_VALUE"""),1.762990092E9)</f>
        <v>1762990092</v>
      </c>
      <c r="E71" s="11" t="str">
        <f>IFERROR(__xludf.DUMMYFUNCTION("""COMPUTED_VALUE"""),"https://x.com/ionlylovemyjuli/status/1988750705360851300")</f>
        <v>https://x.com/ionlylovemyjuli/status/1988750705360851300</v>
      </c>
      <c r="F71" s="3" t="str">
        <f>IFERROR(__xludf.DUMMYFUNCTION("""COMPUTED_VALUE"""),"@dream_kel Super offtopic pero meda la impresion que tu sabes, que profesional es el que evalua  tdah en adulto?")</f>
        <v>@dream_kel Super offtopic pero meda la impresion que tu sabes, que profesional es el que evalua  tdah en adulto?</v>
      </c>
      <c r="G71" s="3" t="str">
        <f>IFERROR(__xludf.DUMMYFUNCTION("""COMPUTED_VALUE"""),"ionlylovemyjuli")</f>
        <v>ionlylovemyjuli</v>
      </c>
      <c r="H71" s="3" t="str">
        <f>IFERROR(__xludf.DUMMYFUNCTION("""COMPUTED_VALUE"""),"Julieta")</f>
        <v>Julieta</v>
      </c>
      <c r="I71" s="3">
        <f>IFERROR(__xludf.DUMMYFUNCTION("""COMPUTED_VALUE"""),1.66666615E8)</f>
        <v>166666615</v>
      </c>
      <c r="J71" s="11" t="str">
        <f>IFERROR(__xludf.DUMMYFUNCTION("""COMPUTED_VALUE"""),"https://pbs.twimg.com/profile_images/1692443415420497920/BJOTxUeH_normal.jpg")</f>
        <v>https://pbs.twimg.com/profile_images/1692443415420497920/BJOTxUeH_normal.jpg</v>
      </c>
      <c r="K71" s="11" t="str">
        <f>IFERROR(__xludf.DUMMYFUNCTION("""COMPUTED_VALUE"""),"https://pbs.twimg.com/profile_banners/166666615/1718764372")</f>
        <v>https://pbs.twimg.com/profile_banners/166666615/1718764372</v>
      </c>
      <c r="L71" s="3" t="b">
        <f>IFERROR(__xludf.DUMMYFUNCTION("""COMPUTED_VALUE"""),FALSE)</f>
        <v>0</v>
      </c>
      <c r="M71" s="3" t="str">
        <f>IFERROR(__xludf.DUMMYFUNCTION("""COMPUTED_VALUE"""),"Twitter for iPhone")</f>
        <v>Twitter for iPhone</v>
      </c>
      <c r="N71" s="3" t="str">
        <f>IFERROR(__xludf.DUMMYFUNCTION("""COMPUTED_VALUE"""),"es")</f>
        <v>es</v>
      </c>
      <c r="O71" s="3" t="str">
        <f>IFERROR(__xludf.DUMMYFUNCTION("""COMPUTED_VALUE"""),"no")</f>
        <v>no</v>
      </c>
      <c r="P71" s="3">
        <f>IFERROR(__xludf.DUMMYFUNCTION("""COMPUTED_VALUE"""),0.0)</f>
        <v>0</v>
      </c>
      <c r="Q71" s="3">
        <f>IFERROR(__xludf.DUMMYFUNCTION("""COMPUTED_VALUE"""),0.0)</f>
        <v>0</v>
      </c>
      <c r="R71" s="3">
        <f>IFERROR(__xludf.DUMMYFUNCTION("""COMPUTED_VALUE"""),1.0)</f>
        <v>1</v>
      </c>
      <c r="S71" s="3">
        <f>IFERROR(__xludf.DUMMYFUNCTION("""COMPUTED_VALUE"""),0.0)</f>
        <v>0</v>
      </c>
      <c r="T71" s="3">
        <f>IFERROR(__xludf.DUMMYFUNCTION("""COMPUTED_VALUE"""),36.0)</f>
        <v>36</v>
      </c>
      <c r="U71" s="3" t="str">
        <f>IFERROR(__xludf.DUMMYFUNCTION("""COMPUTED_VALUE"""),"no")</f>
        <v>no</v>
      </c>
      <c r="V71" s="3"/>
      <c r="W71" s="3" t="str">
        <f>IFERROR(__xludf.DUMMYFUNCTION("""COMPUTED_VALUE"""),"no")</f>
        <v>no</v>
      </c>
      <c r="X71" s="3"/>
      <c r="Y71" s="3"/>
      <c r="Z71" s="3"/>
      <c r="AA71" s="3"/>
      <c r="AB71" s="3"/>
      <c r="AC71" s="3" t="str">
        <f>IFERROR(__xludf.DUMMYFUNCTION("""COMPUTED_VALUE"""),"no")</f>
        <v>no</v>
      </c>
      <c r="AD71" s="3" t="str">
        <f>IFERROR(__xludf.DUMMYFUNCTION("""COMPUTED_VALUE"""),"yes")</f>
        <v>yes</v>
      </c>
      <c r="AE71" s="3" t="str">
        <f>IFERROR(__xludf.DUMMYFUNCTION("""COMPUTED_VALUE"""),"dream_kel")</f>
        <v>dream_kel</v>
      </c>
      <c r="AF71" s="3" t="str">
        <f>IFERROR(__xludf.DUMMYFUNCTION("""COMPUTED_VALUE"""),"no")</f>
        <v>no</v>
      </c>
      <c r="AG71" s="3"/>
    </row>
    <row r="72" hidden="1">
      <c r="A72" s="3" t="str">
        <f>IFERROR(__xludf.DUMMYFUNCTION("""COMPUTED_VALUE"""),"1954513578922283113")</f>
        <v>1954513578922283113</v>
      </c>
      <c r="B72" s="3" t="str">
        <f>IFERROR(__xludf.DUMMYFUNCTION("""COMPUTED_VALUE"""),"1954513578922283113")</f>
        <v>1954513578922283113</v>
      </c>
      <c r="C72" s="10">
        <f>IFERROR(__xludf.DUMMYFUNCTION("""COMPUTED_VALUE"""),45879.501435185186)</f>
        <v>45879.50144</v>
      </c>
      <c r="D72" s="3">
        <f>IFERROR(__xludf.DUMMYFUNCTION("""COMPUTED_VALUE"""),1.754827324E9)</f>
        <v>1754827324</v>
      </c>
      <c r="E72" s="11" t="str">
        <f>IFERROR(__xludf.DUMMYFUNCTION("""COMPUTED_VALUE"""),"https://x.com/MauricioLeija/status/1954513578922283113")</f>
        <v>https://x.com/MauricioLeija/status/1954513578922283113</v>
      </c>
      <c r="F72" s="3" t="str">
        <f>IFERROR(__xludf.DUMMYFUNCTION("""COMPUTED_VALUE"""),"La seguridad de un niño en un vehículo puede estar en juego si quien va al volante es un adulto con TDAH. A pesar de esto, existe una tendencia muy fuerte a medicar primero a los niños cuando los padres también tienen TDAH. 
#TDAHdelAdulto #TDAH #Hablemo"&amp;"sDelTDAH #Neurodiversidad https://t.co/dhG2j0eHgC")</f>
        <v>La seguridad de un niño en un vehículo puede estar en juego si quien va al volante es un adulto con TDAH. A pesar de esto, existe una tendencia muy fuerte a medicar primero a los niños cuando los padres también tienen TDAH. 
#TDAHdelAdulto #TDAH #HablemosDelTDAH #Neurodiversidad https://t.co/dhG2j0eHgC</v>
      </c>
      <c r="G72" s="3" t="str">
        <f>IFERROR(__xludf.DUMMYFUNCTION("""COMPUTED_VALUE"""),"MauricioLeija")</f>
        <v>MauricioLeija</v>
      </c>
      <c r="H72" s="3" t="str">
        <f>IFERROR(__xludf.DUMMYFUNCTION("""COMPUTED_VALUE"""),"Dr. Mauricio Leija")</f>
        <v>Dr. Mauricio Leija</v>
      </c>
      <c r="I72" s="3">
        <f>IFERROR(__xludf.DUMMYFUNCTION("""COMPUTED_VALUE"""),2.825615947E9)</f>
        <v>2825615947</v>
      </c>
      <c r="J72" s="11" t="str">
        <f>IFERROR(__xludf.DUMMYFUNCTION("""COMPUTED_VALUE"""),"https://pbs.twimg.com/profile_images/1988347861507952640/MmBWSSun_normal.jpg")</f>
        <v>https://pbs.twimg.com/profile_images/1988347861507952640/MmBWSSun_normal.jpg</v>
      </c>
      <c r="K72" s="11" t="str">
        <f>IFERROR(__xludf.DUMMYFUNCTION("""COMPUTED_VALUE"""),"https://pbs.twimg.com/profile_banners/2825615947/1674793295")</f>
        <v>https://pbs.twimg.com/profile_banners/2825615947/1674793295</v>
      </c>
      <c r="L72" s="3" t="b">
        <f>IFERROR(__xludf.DUMMYFUNCTION("""COMPUTED_VALUE"""),TRUE)</f>
        <v>1</v>
      </c>
      <c r="M72" s="3" t="str">
        <f>IFERROR(__xludf.DUMMYFUNCTION("""COMPUTED_VALUE"""),"Twitter Web App")</f>
        <v>Twitter Web App</v>
      </c>
      <c r="N72" s="3" t="str">
        <f>IFERROR(__xludf.DUMMYFUNCTION("""COMPUTED_VALUE"""),"es")</f>
        <v>es</v>
      </c>
      <c r="O72" s="3" t="str">
        <f>IFERROR(__xludf.DUMMYFUNCTION("""COMPUTED_VALUE"""),"no")</f>
        <v>no</v>
      </c>
      <c r="P72" s="3">
        <f>IFERROR(__xludf.DUMMYFUNCTION("""COMPUTED_VALUE"""),2.0)</f>
        <v>2</v>
      </c>
      <c r="Q72" s="3">
        <f>IFERROR(__xludf.DUMMYFUNCTION("""COMPUTED_VALUE"""),0.0)</f>
        <v>0</v>
      </c>
      <c r="R72" s="3">
        <f>IFERROR(__xludf.DUMMYFUNCTION("""COMPUTED_VALUE"""),6.0)</f>
        <v>6</v>
      </c>
      <c r="S72" s="3">
        <f>IFERROR(__xludf.DUMMYFUNCTION("""COMPUTED_VALUE"""),0.0)</f>
        <v>0</v>
      </c>
      <c r="T72" s="3">
        <f>IFERROR(__xludf.DUMMYFUNCTION("""COMPUTED_VALUE"""),300.0)</f>
        <v>300</v>
      </c>
      <c r="U72" s="3" t="str">
        <f>IFERROR(__xludf.DUMMYFUNCTION("""COMPUTED_VALUE"""),"no")</f>
        <v>no</v>
      </c>
      <c r="V72" s="3"/>
      <c r="W72" s="3" t="str">
        <f>IFERROR(__xludf.DUMMYFUNCTION("""COMPUTED_VALUE"""),"no")</f>
        <v>no</v>
      </c>
      <c r="X72" s="3"/>
      <c r="Y72" s="3"/>
      <c r="Z72" s="3"/>
      <c r="AA72" s="3"/>
      <c r="AB72" s="3"/>
      <c r="AC72" s="3" t="str">
        <f>IFERROR(__xludf.DUMMYFUNCTION("""COMPUTED_VALUE"""),"no")</f>
        <v>no</v>
      </c>
      <c r="AD72" s="3" t="str">
        <f>IFERROR(__xludf.DUMMYFUNCTION("""COMPUTED_VALUE"""),"no")</f>
        <v>no</v>
      </c>
      <c r="AE72" s="3"/>
      <c r="AF72" s="3" t="str">
        <f>IFERROR(__xludf.DUMMYFUNCTION("""COMPUTED_VALUE"""),"no")</f>
        <v>no</v>
      </c>
      <c r="AG72" s="3" t="str">
        <f>IFERROR(__xludf.DUMMYFUNCTION("""COMPUTED_VALUE"""),"TDAHdelAdulto,TDAH,HablemosDelTDAH,Neurodiversidad")</f>
        <v>TDAHdelAdulto,TDAH,HablemosDelTDAH,Neurodiversidad</v>
      </c>
    </row>
    <row r="73">
      <c r="A73" s="3" t="str">
        <f>IFERROR(__xludf.DUMMYFUNCTION("""COMPUTED_VALUE"""),"1930326354152522125")</f>
        <v>1930326354152522125</v>
      </c>
      <c r="B73" s="3" t="str">
        <f>IFERROR(__xludf.DUMMYFUNCTION("""COMPUTED_VALUE"""),"1930326354152522125")</f>
        <v>1930326354152522125</v>
      </c>
      <c r="C73" s="10">
        <f>IFERROR(__xludf.DUMMYFUNCTION("""COMPUTED_VALUE"""),45812.757418981484)</f>
        <v>45812.75742</v>
      </c>
      <c r="D73" s="3">
        <f>IFERROR(__xludf.DUMMYFUNCTION("""COMPUTED_VALUE"""),1.749060641E9)</f>
        <v>1749060641</v>
      </c>
      <c r="E73" s="11" t="str">
        <f>IFERROR(__xludf.DUMMYFUNCTION("""COMPUTED_VALUE"""),"https://x.com/noadiateixeira/status/1930326354152522125")</f>
        <v>https://x.com/noadiateixeira/status/1930326354152522125</v>
      </c>
      <c r="F73" s="3" t="str">
        <f>IFERROR(__xludf.DUMMYFUNCTION("""COMPUTED_VALUE"""),"O TDAH é mais comum na infância ou adolescência, no entanto, os sintomas podem persistir na vida adulta de forma mais branda ou surgir em adultos que não tiveram TDAH na infância. 
FONTE: Tua Saúde 
#tdah 
#adulto
#crianca 
#saude https://t.co/vF56dENs9"&amp;"1")</f>
        <v>O TDAH é mais comum na infância ou adolescência, no entanto, os sintomas podem persistir na vida adulta de forma mais branda ou surgir em adultos que não tiveram TDAH na infância. 
FONTE: Tua Saúde 
#tdah 
#adulto
#crianca 
#saude https://t.co/vF56dENs91</v>
      </c>
      <c r="G73" s="3" t="str">
        <f>IFERROR(__xludf.DUMMYFUNCTION("""COMPUTED_VALUE"""),"noadiateixeira")</f>
        <v>noadiateixeira</v>
      </c>
      <c r="H73" s="3" t="str">
        <f>IFERROR(__xludf.DUMMYFUNCTION("""COMPUTED_VALUE"""),"Noadia Teixeira")</f>
        <v>Noadia Teixeira</v>
      </c>
      <c r="I73" s="3">
        <f>IFERROR(__xludf.DUMMYFUNCTION("""COMPUTED_VALUE"""),2.20106733E8)</f>
        <v>220106733</v>
      </c>
      <c r="J73" s="11" t="str">
        <f>IFERROR(__xludf.DUMMYFUNCTION("""COMPUTED_VALUE"""),"https://pbs.twimg.com/profile_images/1964005246570528768/v00RfbRW_normal.jpg")</f>
        <v>https://pbs.twimg.com/profile_images/1964005246570528768/v00RfbRW_normal.jpg</v>
      </c>
      <c r="K73" s="11" t="str">
        <f>IFERROR(__xludf.DUMMYFUNCTION("""COMPUTED_VALUE"""),"https://pbs.twimg.com/profile_banners/220106733/1757090234")</f>
        <v>https://pbs.twimg.com/profile_banners/220106733/1757090234</v>
      </c>
      <c r="L73" s="3" t="b">
        <f>IFERROR(__xludf.DUMMYFUNCTION("""COMPUTED_VALUE"""),FALSE)</f>
        <v>0</v>
      </c>
      <c r="M73" s="3" t="str">
        <f>IFERROR(__xludf.DUMMYFUNCTION("""COMPUTED_VALUE"""),"Twitter for Android")</f>
        <v>Twitter for Android</v>
      </c>
      <c r="N73" s="3" t="str">
        <f>IFERROR(__xludf.DUMMYFUNCTION("""COMPUTED_VALUE"""),"pt")</f>
        <v>pt</v>
      </c>
      <c r="O73" s="3" t="str">
        <f>IFERROR(__xludf.DUMMYFUNCTION("""COMPUTED_VALUE"""),"no")</f>
        <v>no</v>
      </c>
      <c r="P73" s="3">
        <f>IFERROR(__xludf.DUMMYFUNCTION("""COMPUTED_VALUE"""),0.0)</f>
        <v>0</v>
      </c>
      <c r="Q73" s="3">
        <f>IFERROR(__xludf.DUMMYFUNCTION("""COMPUTED_VALUE"""),0.0)</f>
        <v>0</v>
      </c>
      <c r="R73" s="3">
        <f>IFERROR(__xludf.DUMMYFUNCTION("""COMPUTED_VALUE"""),0.0)</f>
        <v>0</v>
      </c>
      <c r="S73" s="3">
        <f>IFERROR(__xludf.DUMMYFUNCTION("""COMPUTED_VALUE"""),0.0)</f>
        <v>0</v>
      </c>
      <c r="T73" s="3">
        <f>IFERROR(__xludf.DUMMYFUNCTION("""COMPUTED_VALUE"""),39.0)</f>
        <v>39</v>
      </c>
      <c r="U73" s="3" t="str">
        <f>IFERROR(__xludf.DUMMYFUNCTION("""COMPUTED_VALUE"""),"no")</f>
        <v>no</v>
      </c>
      <c r="V73" s="3"/>
      <c r="W73" s="3" t="str">
        <f>IFERROR(__xludf.DUMMYFUNCTION("""COMPUTED_VALUE"""),"no")</f>
        <v>no</v>
      </c>
      <c r="X73" s="3"/>
      <c r="Y73" s="3"/>
      <c r="Z73" s="3"/>
      <c r="AA73" s="3"/>
      <c r="AB73" s="3"/>
      <c r="AC73" s="3" t="str">
        <f>IFERROR(__xludf.DUMMYFUNCTION("""COMPUTED_VALUE"""),"no")</f>
        <v>no</v>
      </c>
      <c r="AD73" s="3" t="str">
        <f>IFERROR(__xludf.DUMMYFUNCTION("""COMPUTED_VALUE"""),"no")</f>
        <v>no</v>
      </c>
      <c r="AE73" s="3"/>
      <c r="AF73" s="3" t="str">
        <f>IFERROR(__xludf.DUMMYFUNCTION("""COMPUTED_VALUE"""),"no")</f>
        <v>no</v>
      </c>
      <c r="AG73" s="3" t="str">
        <f>IFERROR(__xludf.DUMMYFUNCTION("""COMPUTED_VALUE"""),"tdah,adulto,crianca,saude")</f>
        <v>tdah,adulto,crianca,saude</v>
      </c>
    </row>
    <row r="74" hidden="1">
      <c r="A74" s="3" t="str">
        <f>IFERROR(__xludf.DUMMYFUNCTION("""COMPUTED_VALUE"""),"1965073650824163725")</f>
        <v>1965073650824163725</v>
      </c>
      <c r="B74" s="3" t="str">
        <f>IFERROR(__xludf.DUMMYFUNCTION("""COMPUTED_VALUE"""),"1965073650824163725")</f>
        <v>1965073650824163725</v>
      </c>
      <c r="C74" s="10">
        <f>IFERROR(__xludf.DUMMYFUNCTION("""COMPUTED_VALUE"""),45908.641689814816)</f>
        <v>45908.64169</v>
      </c>
      <c r="D74" s="3">
        <f>IFERROR(__xludf.DUMMYFUNCTION("""COMPUTED_VALUE"""),1.757345042E9)</f>
        <v>1757345042</v>
      </c>
      <c r="E74" s="11" t="str">
        <f>IFERROR(__xludf.DUMMYFUNCTION("""COMPUTED_VALUE"""),"https://x.com/PsicoterapiaMSC/status/1965073650824163725")</f>
        <v>https://x.com/PsicoterapiaMSC/status/1965073650824163725</v>
      </c>
      <c r="F74" s="3" t="str">
        <f>IFERROR(__xludf.DUMMYFUNCTION("""COMPUTED_VALUE"""),"Un adulto con TDAH se puede ver así:
-Distraído en detalles pequeños
-Olvidadizo de lo importante
-Impulsivo en palabras y acciones
-Inquieto, siempre en movimiento.
-Comiéndose uñas
-Golpeando el volante al conducir con música.
- Moviendo piernas inquiet"&amp;"as sin parar.")</f>
        <v>Un adulto con TDAH se puede ver así:
-Distraído en detalles pequeños
-Olvidadizo de lo importante
-Impulsivo en palabras y acciones
-Inquieto, siempre en movimiento.
-Comiéndose uñas
-Golpeando el volante al conducir con música.
- Moviendo piernas inquietas sin parar.</v>
      </c>
      <c r="G74" s="3" t="str">
        <f>IFERROR(__xludf.DUMMYFUNCTION("""COMPUTED_VALUE"""),"PsicoterapiaMSC")</f>
        <v>PsicoterapiaMSC</v>
      </c>
      <c r="H74" s="3" t="str">
        <f>IFERROR(__xludf.DUMMYFUNCTION("""COMPUTED_VALUE"""),"Marisol SALINAS |")</f>
        <v>Marisol SALINAS |</v>
      </c>
      <c r="I74" s="3">
        <f>IFERROR(__xludf.DUMMYFUNCTION("""COMPUTED_VALUE"""),6.03257566E8)</f>
        <v>603257566</v>
      </c>
      <c r="J74" s="11" t="str">
        <f>IFERROR(__xludf.DUMMYFUNCTION("""COMPUTED_VALUE"""),"https://pbs.twimg.com/profile_images/1973189112141152256/Z0ArSqBM_normal.jpg")</f>
        <v>https://pbs.twimg.com/profile_images/1973189112141152256/Z0ArSqBM_normal.jpg</v>
      </c>
      <c r="K74" s="11" t="str">
        <f>IFERROR(__xludf.DUMMYFUNCTION("""COMPUTED_VALUE"""),"https://pbs.twimg.com/profile_banners/603257566/1762136474")</f>
        <v>https://pbs.twimg.com/profile_banners/603257566/1762136474</v>
      </c>
      <c r="L74" s="3" t="b">
        <f>IFERROR(__xludf.DUMMYFUNCTION("""COMPUTED_VALUE"""),FALSE)</f>
        <v>0</v>
      </c>
      <c r="M74" s="3" t="str">
        <f>IFERROR(__xludf.DUMMYFUNCTION("""COMPUTED_VALUE"""),"Twitter for Android")</f>
        <v>Twitter for Android</v>
      </c>
      <c r="N74" s="3" t="str">
        <f>IFERROR(__xludf.DUMMYFUNCTION("""COMPUTED_VALUE"""),"es")</f>
        <v>es</v>
      </c>
      <c r="O74" s="3" t="str">
        <f>IFERROR(__xludf.DUMMYFUNCTION("""COMPUTED_VALUE"""),"no")</f>
        <v>no</v>
      </c>
      <c r="P74" s="3">
        <f>IFERROR(__xludf.DUMMYFUNCTION("""COMPUTED_VALUE"""),0.0)</f>
        <v>0</v>
      </c>
      <c r="Q74" s="3">
        <f>IFERROR(__xludf.DUMMYFUNCTION("""COMPUTED_VALUE"""),0.0)</f>
        <v>0</v>
      </c>
      <c r="R74" s="3">
        <f>IFERROR(__xludf.DUMMYFUNCTION("""COMPUTED_VALUE"""),3.0)</f>
        <v>3</v>
      </c>
      <c r="S74" s="3">
        <f>IFERROR(__xludf.DUMMYFUNCTION("""COMPUTED_VALUE"""),0.0)</f>
        <v>0</v>
      </c>
      <c r="T74" s="3">
        <f>IFERROR(__xludf.DUMMYFUNCTION("""COMPUTED_VALUE"""),74.0)</f>
        <v>74</v>
      </c>
      <c r="U74" s="3" t="str">
        <f>IFERROR(__xludf.DUMMYFUNCTION("""COMPUTED_VALUE"""),"no")</f>
        <v>no</v>
      </c>
      <c r="V74" s="3"/>
      <c r="W74" s="3" t="str">
        <f>IFERROR(__xludf.DUMMYFUNCTION("""COMPUTED_VALUE"""),"no")</f>
        <v>no</v>
      </c>
      <c r="X74" s="3"/>
      <c r="Y74" s="3"/>
      <c r="Z74" s="3"/>
      <c r="AA74" s="3"/>
      <c r="AB74" s="3"/>
      <c r="AC74" s="3" t="str">
        <f>IFERROR(__xludf.DUMMYFUNCTION("""COMPUTED_VALUE"""),"no")</f>
        <v>no</v>
      </c>
      <c r="AD74" s="3" t="str">
        <f>IFERROR(__xludf.DUMMYFUNCTION("""COMPUTED_VALUE"""),"no")</f>
        <v>no</v>
      </c>
      <c r="AE74" s="3"/>
      <c r="AF74" s="3" t="str">
        <f>IFERROR(__xludf.DUMMYFUNCTION("""COMPUTED_VALUE"""),"no")</f>
        <v>no</v>
      </c>
      <c r="AG74" s="3"/>
    </row>
    <row r="75" hidden="1">
      <c r="A75" s="3" t="str">
        <f>IFERROR(__xludf.DUMMYFUNCTION("""COMPUTED_VALUE"""),"1938451902527611187")</f>
        <v>1938451902527611187</v>
      </c>
      <c r="B75" s="3" t="str">
        <f>IFERROR(__xludf.DUMMYFUNCTION("""COMPUTED_VALUE"""),"1938451902527611187")</f>
        <v>1938451902527611187</v>
      </c>
      <c r="C75" s="10">
        <f>IFERROR(__xludf.DUMMYFUNCTION("""COMPUTED_VALUE"""),45835.17965277778)</f>
        <v>45835.17965</v>
      </c>
      <c r="D75" s="3">
        <f>IFERROR(__xludf.DUMMYFUNCTION("""COMPUTED_VALUE"""),1.750997922E9)</f>
        <v>1750997922</v>
      </c>
      <c r="E75" s="11" t="str">
        <f>IFERROR(__xludf.DUMMYFUNCTION("""COMPUTED_VALUE"""),"https://x.com/MauricioLeija/status/1938451902527611187")</f>
        <v>https://x.com/MauricioLeija/status/1938451902527611187</v>
      </c>
      <c r="F75" s="3" t="str">
        <f>IFERROR(__xludf.DUMMYFUNCTION("""COMPUTED_VALUE"""),"TDAH del adulto: ¿Por qué cada caso es único? 2da parte. Este será el tema que discutiremos este viernes en la transmisión en vivo de #MiDiarioDeTDAH Los esperamos a la 1 p.m. tiempo del Centro de México.
#TDAHdelAdulto #TDAH #HablemosDelTDAH #HablemosDe"&amp;"SaludMental https://t.co/fITl8tupdP")</f>
        <v>TDAH del adulto: ¿Por qué cada caso es único? 2da parte. Este será el tema que discutiremos este viernes en la transmisión en vivo de #MiDiarioDeTDAH Los esperamos a la 1 p.m. tiempo del Centro de México.
#TDAHdelAdulto #TDAH #HablemosDelTDAH #HablemosDeSaludMental https://t.co/fITl8tupdP</v>
      </c>
      <c r="G75" s="3" t="str">
        <f>IFERROR(__xludf.DUMMYFUNCTION("""COMPUTED_VALUE"""),"MauricioLeija")</f>
        <v>MauricioLeija</v>
      </c>
      <c r="H75" s="3" t="str">
        <f>IFERROR(__xludf.DUMMYFUNCTION("""COMPUTED_VALUE"""),"Dr. Mauricio Leija")</f>
        <v>Dr. Mauricio Leija</v>
      </c>
      <c r="I75" s="3">
        <f>IFERROR(__xludf.DUMMYFUNCTION("""COMPUTED_VALUE"""),2.825615947E9)</f>
        <v>2825615947</v>
      </c>
      <c r="J75" s="11" t="str">
        <f>IFERROR(__xludf.DUMMYFUNCTION("""COMPUTED_VALUE"""),"https://pbs.twimg.com/profile_images/1988347861507952640/MmBWSSun_normal.jpg")</f>
        <v>https://pbs.twimg.com/profile_images/1988347861507952640/MmBWSSun_normal.jpg</v>
      </c>
      <c r="K75" s="11" t="str">
        <f>IFERROR(__xludf.DUMMYFUNCTION("""COMPUTED_VALUE"""),"https://pbs.twimg.com/profile_banners/2825615947/1674793295")</f>
        <v>https://pbs.twimg.com/profile_banners/2825615947/1674793295</v>
      </c>
      <c r="L75" s="3" t="b">
        <f>IFERROR(__xludf.DUMMYFUNCTION("""COMPUTED_VALUE"""),TRUE)</f>
        <v>1</v>
      </c>
      <c r="M75" s="3" t="str">
        <f>IFERROR(__xludf.DUMMYFUNCTION("""COMPUTED_VALUE"""),"Twitter for Android")</f>
        <v>Twitter for Android</v>
      </c>
      <c r="N75" s="3" t="str">
        <f>IFERROR(__xludf.DUMMYFUNCTION("""COMPUTED_VALUE"""),"es")</f>
        <v>es</v>
      </c>
      <c r="O75" s="3" t="str">
        <f>IFERROR(__xludf.DUMMYFUNCTION("""COMPUTED_VALUE"""),"no")</f>
        <v>no</v>
      </c>
      <c r="P75" s="3">
        <f>IFERROR(__xludf.DUMMYFUNCTION("""COMPUTED_VALUE"""),0.0)</f>
        <v>0</v>
      </c>
      <c r="Q75" s="3">
        <f>IFERROR(__xludf.DUMMYFUNCTION("""COMPUTED_VALUE"""),0.0)</f>
        <v>0</v>
      </c>
      <c r="R75" s="3">
        <f>IFERROR(__xludf.DUMMYFUNCTION("""COMPUTED_VALUE"""),1.0)</f>
        <v>1</v>
      </c>
      <c r="S75" s="3">
        <f>IFERROR(__xludf.DUMMYFUNCTION("""COMPUTED_VALUE"""),0.0)</f>
        <v>0</v>
      </c>
      <c r="T75" s="3">
        <f>IFERROR(__xludf.DUMMYFUNCTION("""COMPUTED_VALUE"""),146.0)</f>
        <v>146</v>
      </c>
      <c r="U75" s="3" t="str">
        <f>IFERROR(__xludf.DUMMYFUNCTION("""COMPUTED_VALUE"""),"no")</f>
        <v>no</v>
      </c>
      <c r="V75" s="3"/>
      <c r="W75" s="3" t="str">
        <f>IFERROR(__xludf.DUMMYFUNCTION("""COMPUTED_VALUE"""),"no")</f>
        <v>no</v>
      </c>
      <c r="X75" s="3"/>
      <c r="Y75" s="3"/>
      <c r="Z75" s="3"/>
      <c r="AA75" s="3"/>
      <c r="AB75" s="3"/>
      <c r="AC75" s="3" t="str">
        <f>IFERROR(__xludf.DUMMYFUNCTION("""COMPUTED_VALUE"""),"no")</f>
        <v>no</v>
      </c>
      <c r="AD75" s="3" t="str">
        <f>IFERROR(__xludf.DUMMYFUNCTION("""COMPUTED_VALUE"""),"no")</f>
        <v>no</v>
      </c>
      <c r="AE75" s="3"/>
      <c r="AF75" s="3" t="str">
        <f>IFERROR(__xludf.DUMMYFUNCTION("""COMPUTED_VALUE"""),"no")</f>
        <v>no</v>
      </c>
      <c r="AG75" s="3" t="str">
        <f>IFERROR(__xludf.DUMMYFUNCTION("""COMPUTED_VALUE"""),"MiDiarioDeTDAH,TDAHdelAdulto,TDAH,HablemosDelTDAH,HablemosDeSaludMental")</f>
        <v>MiDiarioDeTDAH,TDAHdelAdulto,TDAH,HablemosDelTDAH,HablemosDeSaludMental</v>
      </c>
    </row>
    <row r="76" hidden="1">
      <c r="A76" s="3" t="str">
        <f>IFERROR(__xludf.DUMMYFUNCTION("""COMPUTED_VALUE"""),"1931627536573677689")</f>
        <v>1931627536573677689</v>
      </c>
      <c r="B76" s="3" t="str">
        <f>IFERROR(__xludf.DUMMYFUNCTION("""COMPUTED_VALUE"""),"1931627536573677689")</f>
        <v>1931627536573677689</v>
      </c>
      <c r="C76" s="10">
        <f>IFERROR(__xludf.DUMMYFUNCTION("""COMPUTED_VALUE"""),45816.34799768519)</f>
        <v>45816.348</v>
      </c>
      <c r="D76" s="3">
        <f>IFERROR(__xludf.DUMMYFUNCTION("""COMPUTED_VALUE"""),1.749370867E9)</f>
        <v>1749370867</v>
      </c>
      <c r="E76" s="11" t="str">
        <f>IFERROR(__xludf.DUMMYFUNCTION("""COMPUTED_VALUE"""),"https://x.com/SEMERGENap/status/1931627536573677689")</f>
        <v>https://x.com/SEMERGENap/status/1931627536573677689</v>
      </c>
      <c r="F76" s="3" t="str">
        <f>IFERROR(__xludf.DUMMYFUNCTION("""COMPUTED_VALUE"""),"🧠 ¿Cómo abordar el TDAH en adultos desde Atención Primaria? Hablamos sobre el diagnóstico y el tratamiento del trastorno por déficit de atención e hiperactividad (TDAH) en el adulto.
📺 Nuevo VIDEO UPDATE de SEMERGEN con la Dra. Ana Tchang y el Dr. Sergi"&amp;"o Benavente.
¡Disponible https://t.co/PVgcm4sFZT")</f>
        <v>🧠 ¿Cómo abordar el TDAH en adultos desde Atención Primaria? Hablamos sobre el diagnóstico y el tratamiento del trastorno por déficit de atención e hiperactividad (TDAH) en el adulto.
📺 Nuevo VIDEO UPDATE de SEMERGEN con la Dra. Ana Tchang y el Dr. Sergio Benavente.
¡Disponible https://t.co/PVgcm4sFZT</v>
      </c>
      <c r="G76" s="3" t="str">
        <f>IFERROR(__xludf.DUMMYFUNCTION("""COMPUTED_VALUE"""),"SEMERGENap")</f>
        <v>SEMERGENap</v>
      </c>
      <c r="H76" s="3" t="str">
        <f>IFERROR(__xludf.DUMMYFUNCTION("""COMPUTED_VALUE"""),"SEMERGEN | Médicos de AP")</f>
        <v>SEMERGEN | Médicos de AP</v>
      </c>
      <c r="I76" s="3">
        <f>IFERROR(__xludf.DUMMYFUNCTION("""COMPUTED_VALUE"""),6.01113942E8)</f>
        <v>601113942</v>
      </c>
      <c r="J76" s="11" t="str">
        <f>IFERROR(__xludf.DUMMYFUNCTION("""COMPUTED_VALUE"""),"https://pbs.twimg.com/profile_images/1975688429212954624/Iv_i81XJ_normal.jpg")</f>
        <v>https://pbs.twimg.com/profile_images/1975688429212954624/Iv_i81XJ_normal.jpg</v>
      </c>
      <c r="K76" s="11" t="str">
        <f>IFERROR(__xludf.DUMMYFUNCTION("""COMPUTED_VALUE"""),"https://pbs.twimg.com/profile_banners/601113942/1761843178")</f>
        <v>https://pbs.twimg.com/profile_banners/601113942/1761843178</v>
      </c>
      <c r="L76" s="3" t="b">
        <f>IFERROR(__xludf.DUMMYFUNCTION("""COMPUTED_VALUE"""),TRUE)</f>
        <v>1</v>
      </c>
      <c r="M76" s="3" t="str">
        <f>IFERROR(__xludf.DUMMYFUNCTION("""COMPUTED_VALUE"""),"Metricool")</f>
        <v>Metricool</v>
      </c>
      <c r="N76" s="3" t="str">
        <f>IFERROR(__xludf.DUMMYFUNCTION("""COMPUTED_VALUE"""),"es")</f>
        <v>es</v>
      </c>
      <c r="O76" s="3" t="str">
        <f>IFERROR(__xludf.DUMMYFUNCTION("""COMPUTED_VALUE"""),"no")</f>
        <v>no</v>
      </c>
      <c r="P76" s="3">
        <f>IFERROR(__xludf.DUMMYFUNCTION("""COMPUTED_VALUE"""),1.0)</f>
        <v>1</v>
      </c>
      <c r="Q76" s="3">
        <f>IFERROR(__xludf.DUMMYFUNCTION("""COMPUTED_VALUE"""),0.0)</f>
        <v>0</v>
      </c>
      <c r="R76" s="3">
        <f>IFERROR(__xludf.DUMMYFUNCTION("""COMPUTED_VALUE"""),1.0)</f>
        <v>1</v>
      </c>
      <c r="S76" s="3">
        <f>IFERROR(__xludf.DUMMYFUNCTION("""COMPUTED_VALUE"""),0.0)</f>
        <v>0</v>
      </c>
      <c r="T76" s="3">
        <f>IFERROR(__xludf.DUMMYFUNCTION("""COMPUTED_VALUE"""),318.0)</f>
        <v>318</v>
      </c>
      <c r="U76" s="3" t="str">
        <f>IFERROR(__xludf.DUMMYFUNCTION("""COMPUTED_VALUE"""),"no")</f>
        <v>no</v>
      </c>
      <c r="V76" s="3"/>
      <c r="W76" s="3" t="str">
        <f>IFERROR(__xludf.DUMMYFUNCTION("""COMPUTED_VALUE"""),"no")</f>
        <v>no</v>
      </c>
      <c r="X76" s="3"/>
      <c r="Y76" s="3"/>
      <c r="Z76" s="3"/>
      <c r="AA76" s="3"/>
      <c r="AB76" s="3"/>
      <c r="AC76" s="3" t="str">
        <f>IFERROR(__xludf.DUMMYFUNCTION("""COMPUTED_VALUE"""),"no")</f>
        <v>no</v>
      </c>
      <c r="AD76" s="3" t="str">
        <f>IFERROR(__xludf.DUMMYFUNCTION("""COMPUTED_VALUE"""),"no")</f>
        <v>no</v>
      </c>
      <c r="AE76" s="3"/>
      <c r="AF76" s="3" t="str">
        <f>IFERROR(__xludf.DUMMYFUNCTION("""COMPUTED_VALUE"""),"no")</f>
        <v>no</v>
      </c>
      <c r="AG76" s="3"/>
    </row>
    <row r="77" hidden="1">
      <c r="A77" s="3" t="str">
        <f>IFERROR(__xludf.DUMMYFUNCTION("""COMPUTED_VALUE"""),"1960722102446661667")</f>
        <v>1960722102446661667</v>
      </c>
      <c r="B77" s="3" t="str">
        <f>IFERROR(__xludf.DUMMYFUNCTION("""COMPUTED_VALUE"""),"1960722102446661667")</f>
        <v>1960722102446661667</v>
      </c>
      <c r="C77" s="10">
        <f>IFERROR(__xludf.DUMMYFUNCTION("""COMPUTED_VALUE"""),45896.6337037037)</f>
        <v>45896.6337</v>
      </c>
      <c r="D77" s="3">
        <f>IFERROR(__xludf.DUMMYFUNCTION("""COMPUTED_VALUE"""),1.756307552E9)</f>
        <v>1756307552</v>
      </c>
      <c r="E77" s="11" t="str">
        <f>IFERROR(__xludf.DUMMYFUNCTION("""COMPUTED_VALUE"""),"https://x.com/nabiunkula/status/1960722102446661667")</f>
        <v>https://x.com/nabiunkula/status/1960722102446661667</v>
      </c>
      <c r="F77" s="3" t="str">
        <f>IFERROR(__xludf.DUMMYFUNCTION("""COMPUTED_VALUE"""),"No era TDAH del adulto: estoy «frontalizado».")</f>
        <v>No era TDAH del adulto: estoy «frontalizado».</v>
      </c>
      <c r="G77" s="3" t="str">
        <f>IFERROR(__xludf.DUMMYFUNCTION("""COMPUTED_VALUE"""),"nabiunkula")</f>
        <v>nabiunkula</v>
      </c>
      <c r="H77" s="3" t="str">
        <f>IFERROR(__xludf.DUMMYFUNCTION("""COMPUTED_VALUE"""),"Sebastián®")</f>
        <v>Sebastián®</v>
      </c>
      <c r="I77" s="3">
        <f>IFERROR(__xludf.DUMMYFUNCTION("""COMPUTED_VALUE"""),4.8185021E7)</f>
        <v>48185021</v>
      </c>
      <c r="J77" s="11" t="str">
        <f>IFERROR(__xludf.DUMMYFUNCTION("""COMPUTED_VALUE"""),"https://pbs.twimg.com/profile_images/1983167910626353152/TKit1fes_normal.jpg")</f>
        <v>https://pbs.twimg.com/profile_images/1983167910626353152/TKit1fes_normal.jpg</v>
      </c>
      <c r="K77" s="11" t="str">
        <f>IFERROR(__xludf.DUMMYFUNCTION("""COMPUTED_VALUE"""),"https://pbs.twimg.com/profile_banners/48185021/1761655418")</f>
        <v>https://pbs.twimg.com/profile_banners/48185021/1761655418</v>
      </c>
      <c r="L77" s="3" t="b">
        <f>IFERROR(__xludf.DUMMYFUNCTION("""COMPUTED_VALUE"""),FALSE)</f>
        <v>0</v>
      </c>
      <c r="M77" s="3" t="str">
        <f>IFERROR(__xludf.DUMMYFUNCTION("""COMPUTED_VALUE"""),"Twitter Web App")</f>
        <v>Twitter Web App</v>
      </c>
      <c r="N77" s="3" t="str">
        <f>IFERROR(__xludf.DUMMYFUNCTION("""COMPUTED_VALUE"""),"es")</f>
        <v>es</v>
      </c>
      <c r="O77" s="3" t="str">
        <f>IFERROR(__xludf.DUMMYFUNCTION("""COMPUTED_VALUE"""),"no")</f>
        <v>no</v>
      </c>
      <c r="P77" s="3">
        <f>IFERROR(__xludf.DUMMYFUNCTION("""COMPUTED_VALUE"""),0.0)</f>
        <v>0</v>
      </c>
      <c r="Q77" s="3">
        <f>IFERROR(__xludf.DUMMYFUNCTION("""COMPUTED_VALUE"""),0.0)</f>
        <v>0</v>
      </c>
      <c r="R77" s="3">
        <f>IFERROR(__xludf.DUMMYFUNCTION("""COMPUTED_VALUE"""),0.0)</f>
        <v>0</v>
      </c>
      <c r="S77" s="3">
        <f>IFERROR(__xludf.DUMMYFUNCTION("""COMPUTED_VALUE"""),0.0)</f>
        <v>0</v>
      </c>
      <c r="T77" s="3">
        <f>IFERROR(__xludf.DUMMYFUNCTION("""COMPUTED_VALUE"""),32.0)</f>
        <v>32</v>
      </c>
      <c r="U77" s="3" t="str">
        <f>IFERROR(__xludf.DUMMYFUNCTION("""COMPUTED_VALUE"""),"no")</f>
        <v>no</v>
      </c>
      <c r="V77" s="3"/>
      <c r="W77" s="3" t="str">
        <f>IFERROR(__xludf.DUMMYFUNCTION("""COMPUTED_VALUE"""),"no")</f>
        <v>no</v>
      </c>
      <c r="X77" s="3"/>
      <c r="Y77" s="3"/>
      <c r="Z77" s="3"/>
      <c r="AA77" s="3"/>
      <c r="AB77" s="3"/>
      <c r="AC77" s="3" t="str">
        <f>IFERROR(__xludf.DUMMYFUNCTION("""COMPUTED_VALUE"""),"no")</f>
        <v>no</v>
      </c>
      <c r="AD77" s="3" t="str">
        <f>IFERROR(__xludf.DUMMYFUNCTION("""COMPUTED_VALUE"""),"no")</f>
        <v>no</v>
      </c>
      <c r="AE77" s="3"/>
      <c r="AF77" s="3" t="str">
        <f>IFERROR(__xludf.DUMMYFUNCTION("""COMPUTED_VALUE"""),"no")</f>
        <v>no</v>
      </c>
      <c r="AG77" s="3"/>
    </row>
    <row r="78">
      <c r="A78" s="3" t="str">
        <f>IFERROR(__xludf.DUMMYFUNCTION("""COMPUTED_VALUE"""),"1938767741311164641")</f>
        <v>1938767741311164641</v>
      </c>
      <c r="B78" s="3" t="str">
        <f>IFERROR(__xludf.DUMMYFUNCTION("""COMPUTED_VALUE"""),"1938767741311164641")</f>
        <v>1938767741311164641</v>
      </c>
      <c r="C78" s="10">
        <f>IFERROR(__xludf.DUMMYFUNCTION("""COMPUTED_VALUE"""),45836.051203703704)</f>
        <v>45836.0512</v>
      </c>
      <c r="D78" s="3">
        <f>IFERROR(__xludf.DUMMYFUNCTION("""COMPUTED_VALUE"""),1.751073224E9)</f>
        <v>1751073224</v>
      </c>
      <c r="E78" s="11" t="str">
        <f>IFERROR(__xludf.DUMMYFUNCTION("""COMPUTED_VALUE"""),"https://x.com/gonchrv/status/1938767741311164641")</f>
        <v>https://x.com/gonchrv/status/1938767741311164641</v>
      </c>
      <c r="F78" s="3" t="str">
        <f>IFERROR(__xludf.DUMMYFUNCTION("""COMPUTED_VALUE"""),"tá explicado essa explosão de TDAH em adulto 
medico não conhece o paciente
não faz acompanhamento 
15 min de conversa")</f>
        <v>tá explicado essa explosão de TDAH em adulto 
medico não conhece o paciente
não faz acompanhamento 
15 min de conversa</v>
      </c>
      <c r="G78" s="3" t="str">
        <f>IFERROR(__xludf.DUMMYFUNCTION("""COMPUTED_VALUE"""),"gonchrv")</f>
        <v>gonchrv</v>
      </c>
      <c r="H78" s="3" t="str">
        <f>IFERROR(__xludf.DUMMYFUNCTION("""COMPUTED_VALUE"""),"BEAttorney for luigi mangione")</f>
        <v>BEAttorney for luigi mangione</v>
      </c>
      <c r="I78" s="3" t="str">
        <f>IFERROR(__xludf.DUMMYFUNCTION("""COMPUTED_VALUE"""),"1109138263841878017")</f>
        <v>1109138263841878017</v>
      </c>
      <c r="J78" s="11" t="str">
        <f>IFERROR(__xludf.DUMMYFUNCTION("""COMPUTED_VALUE"""),"https://pbs.twimg.com/profile_images/1978857104233377792/TEadPn73_normal.jpg")</f>
        <v>https://pbs.twimg.com/profile_images/1978857104233377792/TEadPn73_normal.jpg</v>
      </c>
      <c r="K78" s="11" t="str">
        <f>IFERROR(__xludf.DUMMYFUNCTION("""COMPUTED_VALUE"""),"https://pbs.twimg.com/profile_banners/1109138263841878017/1749935715")</f>
        <v>https://pbs.twimg.com/profile_banners/1109138263841878017/1749935715</v>
      </c>
      <c r="L78" s="3" t="b">
        <f>IFERROR(__xludf.DUMMYFUNCTION("""COMPUTED_VALUE"""),FALSE)</f>
        <v>0</v>
      </c>
      <c r="M78" s="3" t="str">
        <f>IFERROR(__xludf.DUMMYFUNCTION("""COMPUTED_VALUE"""),"Twitter for Android")</f>
        <v>Twitter for Android</v>
      </c>
      <c r="N78" s="3" t="str">
        <f>IFERROR(__xludf.DUMMYFUNCTION("""COMPUTED_VALUE"""),"pt")</f>
        <v>pt</v>
      </c>
      <c r="O78" s="3" t="str">
        <f>IFERROR(__xludf.DUMMYFUNCTION("""COMPUTED_VALUE"""),"no")</f>
        <v>no</v>
      </c>
      <c r="P78" s="3">
        <f>IFERROR(__xludf.DUMMYFUNCTION("""COMPUTED_VALUE"""),0.0)</f>
        <v>0</v>
      </c>
      <c r="Q78" s="3">
        <f>IFERROR(__xludf.DUMMYFUNCTION("""COMPUTED_VALUE"""),0.0)</f>
        <v>0</v>
      </c>
      <c r="R78" s="3">
        <f>IFERROR(__xludf.DUMMYFUNCTION("""COMPUTED_VALUE"""),0.0)</f>
        <v>0</v>
      </c>
      <c r="S78" s="3">
        <f>IFERROR(__xludf.DUMMYFUNCTION("""COMPUTED_VALUE"""),0.0)</f>
        <v>0</v>
      </c>
      <c r="T78" s="3">
        <f>IFERROR(__xludf.DUMMYFUNCTION("""COMPUTED_VALUE"""),81.0)</f>
        <v>81</v>
      </c>
      <c r="U78" s="3" t="str">
        <f>IFERROR(__xludf.DUMMYFUNCTION("""COMPUTED_VALUE"""),"no")</f>
        <v>no</v>
      </c>
      <c r="V78" s="3"/>
      <c r="W78" s="3" t="str">
        <f>IFERROR(__xludf.DUMMYFUNCTION("""COMPUTED_VALUE"""),"yes")</f>
        <v>yes</v>
      </c>
      <c r="X78" s="3" t="str">
        <f>IFERROR(__xludf.DUMMYFUNCTION("""COMPUTED_VALUE"""),"1938711916022768067")</f>
        <v>1938711916022768067</v>
      </c>
      <c r="Y78" s="3" t="str">
        <f>IFERROR(__xludf.DUMMYFUNCTION("""COMPUTED_VALUE"""),"lunaperegrinaa")</f>
        <v>lunaperegrinaa</v>
      </c>
      <c r="Z78" s="3" t="str">
        <f>IFERROR(__xludf.DUMMYFUNCTION("""COMPUTED_VALUE"""),"@Teu_Reiz nem fui la e foi online")</f>
        <v>@Teu_Reiz nem fui la e foi online</v>
      </c>
      <c r="AA78" s="3"/>
      <c r="AB78" s="3"/>
      <c r="AC78" s="3" t="str">
        <f>IFERROR(__xludf.DUMMYFUNCTION("""COMPUTED_VALUE"""),"no")</f>
        <v>no</v>
      </c>
      <c r="AD78" s="3" t="str">
        <f>IFERROR(__xludf.DUMMYFUNCTION("""COMPUTED_VALUE"""),"no")</f>
        <v>no</v>
      </c>
      <c r="AE78" s="3"/>
      <c r="AF78" s="3" t="str">
        <f>IFERROR(__xludf.DUMMYFUNCTION("""COMPUTED_VALUE"""),"no")</f>
        <v>no</v>
      </c>
      <c r="AG78" s="3"/>
    </row>
    <row r="79">
      <c r="A79" s="3" t="str">
        <f>IFERROR(__xludf.DUMMYFUNCTION("""COMPUTED_VALUE"""),"1930270871844765940")</f>
        <v>1930270871844765940</v>
      </c>
      <c r="B79" s="3" t="str">
        <f>IFERROR(__xludf.DUMMYFUNCTION("""COMPUTED_VALUE"""),"1930270871844765940")</f>
        <v>1930270871844765940</v>
      </c>
      <c r="C79" s="10">
        <f>IFERROR(__xludf.DUMMYFUNCTION("""COMPUTED_VALUE"""),45812.604317129626)</f>
        <v>45812.60432</v>
      </c>
      <c r="D79" s="3">
        <f>IFERROR(__xludf.DUMMYFUNCTION("""COMPUTED_VALUE"""),1.749047413E9)</f>
        <v>1749047413</v>
      </c>
      <c r="E79" s="11" t="str">
        <f>IFERROR(__xludf.DUMMYFUNCTION("""COMPUTED_VALUE"""),"https://x.com/3lenit/status/1930270871844765940")</f>
        <v>https://x.com/3lenit/status/1930270871844765940</v>
      </c>
      <c r="F79" s="3" t="str">
        <f>IFERROR(__xludf.DUMMYFUNCTION("""COMPUTED_VALUE"""),"Primeira informação que eu li sobre o venvanse foi que era um tipo de anfetamina e que se você tem ou já teve problemas com bebida ou droga, não era indicado por ser um psicoestimulante. Mas a pessoas estava falando sobre TDAH adulto, criança deveria ser "&amp;"outra abordagem.")</f>
        <v>Primeira informação que eu li sobre o venvanse foi que era um tipo de anfetamina e que se você tem ou já teve problemas com bebida ou droga, não era indicado por ser um psicoestimulante. Mas a pessoas estava falando sobre TDAH adulto, criança deveria ser outra abordagem.</v>
      </c>
      <c r="G79" s="3" t="str">
        <f>IFERROR(__xludf.DUMMYFUNCTION("""COMPUTED_VALUE"""),"3lenit")</f>
        <v>3lenit</v>
      </c>
      <c r="H79" s="3" t="str">
        <f>IFERROR(__xludf.DUMMYFUNCTION("""COMPUTED_VALUE"""),"ele+nita")</f>
        <v>ele+nita</v>
      </c>
      <c r="I79" s="3">
        <f>IFERROR(__xludf.DUMMYFUNCTION("""COMPUTED_VALUE"""),1.64058065E8)</f>
        <v>164058065</v>
      </c>
      <c r="J79" s="11" t="str">
        <f>IFERROR(__xludf.DUMMYFUNCTION("""COMPUTED_VALUE"""),"https://pbs.twimg.com/profile_images/1985876936690671616/WiSs9vZD_normal.jpg")</f>
        <v>https://pbs.twimg.com/profile_images/1985876936690671616/WiSs9vZD_normal.jpg</v>
      </c>
      <c r="K79" s="11" t="str">
        <f>IFERROR(__xludf.DUMMYFUNCTION("""COMPUTED_VALUE"""),"https://pbs.twimg.com/profile_banners/164058065/1738305227")</f>
        <v>https://pbs.twimg.com/profile_banners/164058065/1738305227</v>
      </c>
      <c r="L79" s="3" t="b">
        <f>IFERROR(__xludf.DUMMYFUNCTION("""COMPUTED_VALUE"""),FALSE)</f>
        <v>0</v>
      </c>
      <c r="M79" s="3" t="str">
        <f>IFERROR(__xludf.DUMMYFUNCTION("""COMPUTED_VALUE"""),"Twitter for iPhone")</f>
        <v>Twitter for iPhone</v>
      </c>
      <c r="N79" s="3" t="str">
        <f>IFERROR(__xludf.DUMMYFUNCTION("""COMPUTED_VALUE"""),"pt")</f>
        <v>pt</v>
      </c>
      <c r="O79" s="3" t="str">
        <f>IFERROR(__xludf.DUMMYFUNCTION("""COMPUTED_VALUE"""),"no")</f>
        <v>no</v>
      </c>
      <c r="P79" s="3">
        <f>IFERROR(__xludf.DUMMYFUNCTION("""COMPUTED_VALUE"""),0.0)</f>
        <v>0</v>
      </c>
      <c r="Q79" s="3">
        <f>IFERROR(__xludf.DUMMYFUNCTION("""COMPUTED_VALUE"""),0.0)</f>
        <v>0</v>
      </c>
      <c r="R79" s="3">
        <f>IFERROR(__xludf.DUMMYFUNCTION("""COMPUTED_VALUE"""),0.0)</f>
        <v>0</v>
      </c>
      <c r="S79" s="3">
        <f>IFERROR(__xludf.DUMMYFUNCTION("""COMPUTED_VALUE"""),0.0)</f>
        <v>0</v>
      </c>
      <c r="T79" s="3">
        <f>IFERROR(__xludf.DUMMYFUNCTION("""COMPUTED_VALUE"""),233.0)</f>
        <v>233</v>
      </c>
      <c r="U79" s="3" t="str">
        <f>IFERROR(__xludf.DUMMYFUNCTION("""COMPUTED_VALUE"""),"no")</f>
        <v>no</v>
      </c>
      <c r="V79" s="3"/>
      <c r="W79" s="3" t="str">
        <f>IFERROR(__xludf.DUMMYFUNCTION("""COMPUTED_VALUE"""),"yes")</f>
        <v>yes</v>
      </c>
      <c r="X79" s="3" t="str">
        <f>IFERROR(__xludf.DUMMYFUNCTION("""COMPUTED_VALUE"""),"1929904375054365144")</f>
        <v>1929904375054365144</v>
      </c>
      <c r="Y79" s="3" t="str">
        <f>IFERROR(__xludf.DUMMYFUNCTION("""COMPUTED_VALUE"""),"Psiquiatripa")</f>
        <v>Psiquiatripa</v>
      </c>
      <c r="Z79" s="3" t="str">
        <f>IFERROR(__xludf.DUMMYFUNCTION("""COMPUTED_VALUE"""),"O diabo dessa psiquiatra foi inventar de falar nas redes que “o Venvanse é que nem cocaína” e agora to tendo que aguentar pai e mãe perturbando achando que eu passei cocaína pros filhos deles.
Vai se lascar desgraçada.")</f>
        <v>O diabo dessa psiquiatra foi inventar de falar nas redes que “o Venvanse é que nem cocaína” e agora to tendo que aguentar pai e mãe perturbando achando que eu passei cocaína pros filhos deles.
Vai se lascar desgraçada.</v>
      </c>
      <c r="AA79" s="3"/>
      <c r="AB79" s="3"/>
      <c r="AC79" s="3" t="str">
        <f>IFERROR(__xludf.DUMMYFUNCTION("""COMPUTED_VALUE"""),"no")</f>
        <v>no</v>
      </c>
      <c r="AD79" s="3" t="str">
        <f>IFERROR(__xludf.DUMMYFUNCTION("""COMPUTED_VALUE"""),"no")</f>
        <v>no</v>
      </c>
      <c r="AE79" s="3"/>
      <c r="AF79" s="3" t="str">
        <f>IFERROR(__xludf.DUMMYFUNCTION("""COMPUTED_VALUE"""),"no")</f>
        <v>no</v>
      </c>
      <c r="AG79" s="3"/>
    </row>
    <row r="80" hidden="1">
      <c r="A80" s="3" t="str">
        <f>IFERROR(__xludf.DUMMYFUNCTION("""COMPUTED_VALUE"""),"1980317816957083798")</f>
        <v>1980317816957083798</v>
      </c>
      <c r="B80" s="3" t="str">
        <f>IFERROR(__xludf.DUMMYFUNCTION("""COMPUTED_VALUE"""),"1980317816957083798")</f>
        <v>1980317816957083798</v>
      </c>
      <c r="C80" s="10">
        <f>IFERROR(__xludf.DUMMYFUNCTION("""COMPUTED_VALUE"""),45950.70756944444)</f>
        <v>45950.70757</v>
      </c>
      <c r="D80" s="3">
        <f>IFERROR(__xludf.DUMMYFUNCTION("""COMPUTED_VALUE"""),1.760979534E9)</f>
        <v>1760979534</v>
      </c>
      <c r="E80" s="11" t="str">
        <f>IFERROR(__xludf.DUMMYFUNCTION("""COMPUTED_VALUE"""),"https://x.com/DuganVonda1986/status/1980317816957083798")</f>
        <v>https://x.com/DuganVonda1986/status/1980317816957083798</v>
      </c>
      <c r="F80" s="3" t="str">
        <f>IFERROR(__xludf.DUMMYFUNCTION("""COMPUTED_VALUE"""),"Libro TDAH EN EL ADULTO Descargar PDF - Dra. Juncal Sevilla
➡ https://t.co/LuMXBMXhij
Descargar o leer en línea TDAH EN EL ADULTO Libro gratuito (PDF ePub Mobi) de Dra. Juncal Sevilla.
TDAH EN EL ADULTO Dra. Juncal Sevilla PDF, TDAH EN EL ADULTO https:/"&amp;"/t.co/IVWuYyCGfY")</f>
        <v>Libro TDAH EN EL ADULTO Descargar PDF - Dra. Juncal Sevilla
➡ https://t.co/LuMXBMXhij
Descargar o leer en línea TDAH EN EL ADULTO Libro gratuito (PDF ePub Mobi) de Dra. Juncal Sevilla.
TDAH EN EL ADULTO Dra. Juncal Sevilla PDF, TDAH EN EL ADULTO https://t.co/IVWuYyCGfY</v>
      </c>
      <c r="G80" s="3" t="str">
        <f>IFERROR(__xludf.DUMMYFUNCTION("""COMPUTED_VALUE"""),"DuganVonda1986")</f>
        <v>DuganVonda1986</v>
      </c>
      <c r="H80" s="3" t="str">
        <f>IFERROR(__xludf.DUMMYFUNCTION("""COMPUTED_VALUE"""),"Vonda Dugan")</f>
        <v>Vonda Dugan</v>
      </c>
      <c r="I80" s="3" t="str">
        <f>IFERROR(__xludf.DUMMYFUNCTION("""COMPUTED_VALUE"""),"1651539640954810371")</f>
        <v>1651539640954810371</v>
      </c>
      <c r="J80" s="11" t="str">
        <f>IFERROR(__xludf.DUMMYFUNCTION("""COMPUTED_VALUE"""),"https://pbs.twimg.com/profile_images/1943249874239262723/PHiS0Snq_normal.jpg")</f>
        <v>https://pbs.twimg.com/profile_images/1943249874239262723/PHiS0Snq_normal.jpg</v>
      </c>
      <c r="K80" s="3"/>
      <c r="L80" s="3" t="b">
        <f>IFERROR(__xludf.DUMMYFUNCTION("""COMPUTED_VALUE"""),FALSE)</f>
        <v>0</v>
      </c>
      <c r="M80" s="3" t="str">
        <f>IFERROR(__xludf.DUMMYFUNCTION("""COMPUTED_VALUE"""),"Twitter Web App")</f>
        <v>Twitter Web App</v>
      </c>
      <c r="N80" s="3" t="str">
        <f>IFERROR(__xludf.DUMMYFUNCTION("""COMPUTED_VALUE"""),"es")</f>
        <v>es</v>
      </c>
      <c r="O80" s="3" t="str">
        <f>IFERROR(__xludf.DUMMYFUNCTION("""COMPUTED_VALUE"""),"no")</f>
        <v>no</v>
      </c>
      <c r="P80" s="3">
        <f>IFERROR(__xludf.DUMMYFUNCTION("""COMPUTED_VALUE"""),0.0)</f>
        <v>0</v>
      </c>
      <c r="Q80" s="3">
        <f>IFERROR(__xludf.DUMMYFUNCTION("""COMPUTED_VALUE"""),0.0)</f>
        <v>0</v>
      </c>
      <c r="R80" s="3">
        <f>IFERROR(__xludf.DUMMYFUNCTION("""COMPUTED_VALUE"""),0.0)</f>
        <v>0</v>
      </c>
      <c r="S80" s="3">
        <f>IFERROR(__xludf.DUMMYFUNCTION("""COMPUTED_VALUE"""),0.0)</f>
        <v>0</v>
      </c>
      <c r="T80" s="3">
        <f>IFERROR(__xludf.DUMMYFUNCTION("""COMPUTED_VALUE"""),13.0)</f>
        <v>13</v>
      </c>
      <c r="U80" s="3" t="str">
        <f>IFERROR(__xludf.DUMMYFUNCTION("""COMPUTED_VALUE"""),"no")</f>
        <v>no</v>
      </c>
      <c r="V80" s="3"/>
      <c r="W80" s="3" t="str">
        <f>IFERROR(__xludf.DUMMYFUNCTION("""COMPUTED_VALUE"""),"no")</f>
        <v>no</v>
      </c>
      <c r="X80" s="3"/>
      <c r="Y80" s="3"/>
      <c r="Z80" s="3"/>
      <c r="AA80" s="3"/>
      <c r="AB80" s="3"/>
      <c r="AC80" s="3" t="str">
        <f>IFERROR(__xludf.DUMMYFUNCTION("""COMPUTED_VALUE"""),"no")</f>
        <v>no</v>
      </c>
      <c r="AD80" s="3" t="str">
        <f>IFERROR(__xludf.DUMMYFUNCTION("""COMPUTED_VALUE"""),"no")</f>
        <v>no</v>
      </c>
      <c r="AE80" s="3"/>
      <c r="AF80" s="3" t="str">
        <f>IFERROR(__xludf.DUMMYFUNCTION("""COMPUTED_VALUE"""),"no")</f>
        <v>no</v>
      </c>
      <c r="AG80" s="3"/>
    </row>
    <row r="81">
      <c r="A81" s="3" t="str">
        <f>IFERROR(__xludf.DUMMYFUNCTION("""COMPUTED_VALUE"""),"1986787112167817369")</f>
        <v>1986787112167817369</v>
      </c>
      <c r="B81" s="3" t="str">
        <f>IFERROR(__xludf.DUMMYFUNCTION("""COMPUTED_VALUE"""),"1986549282367750563")</f>
        <v>1986549282367750563</v>
      </c>
      <c r="C81" s="10">
        <f>IFERROR(__xludf.DUMMYFUNCTION("""COMPUTED_VALUE"""),45968.5594212963)</f>
        <v>45968.55942</v>
      </c>
      <c r="D81" s="3">
        <f>IFERROR(__xludf.DUMMYFUNCTION("""COMPUTED_VALUE"""),1.762521934E9)</f>
        <v>1762521934</v>
      </c>
      <c r="E81" s="11" t="str">
        <f>IFERROR(__xludf.DUMMYFUNCTION("""COMPUTED_VALUE"""),"https://x.com/and_julianas/status/1986787112167817369")</f>
        <v>https://x.com/and_julianas/status/1986787112167817369</v>
      </c>
      <c r="F81" s="3" t="str">
        <f>IFERROR(__xludf.DUMMYFUNCTION("""COMPUTED_VALUE"""),"@madeinbajor Mulher, meu filho de 15 aos com TDAH laudado a dois, tem as tarefas dele e concretiza, algumas passa mais de duas horas para fazer, se distraindo? Passa, mas faz. Sabe pq? Pq ele precisa ser um adulto funcional, para não fazer de outra mulher"&amp;" uma cuidadora, que nem teu (...)")</f>
        <v>@madeinbajor Mulher, meu filho de 15 aos com TDAH laudado a dois, tem as tarefas dele e concretiza, algumas passa mais de duas horas para fazer, se distraindo? Passa, mas faz. Sabe pq? Pq ele precisa ser um adulto funcional, para não fazer de outra mulher uma cuidadora, que nem teu (...)</v>
      </c>
      <c r="G81" s="3" t="str">
        <f>IFERROR(__xludf.DUMMYFUNCTION("""COMPUTED_VALUE"""),"and_julianas")</f>
        <v>and_julianas</v>
      </c>
      <c r="H81" s="3" t="str">
        <f>IFERROR(__xludf.DUMMYFUNCTION("""COMPUTED_VALUE"""),"🏳️‍🌈⃤")</f>
        <v>🏳️‍🌈⃤</v>
      </c>
      <c r="I81" s="3" t="str">
        <f>IFERROR(__xludf.DUMMYFUNCTION("""COMPUTED_VALUE"""),"1132418770696396801")</f>
        <v>1132418770696396801</v>
      </c>
      <c r="J81" s="11" t="str">
        <f>IFERROR(__xludf.DUMMYFUNCTION("""COMPUTED_VALUE"""),"https://pbs.twimg.com/profile_images/1416916148654858240/xFr4xLrK_normal.jpg")</f>
        <v>https://pbs.twimg.com/profile_images/1416916148654858240/xFr4xLrK_normal.jpg</v>
      </c>
      <c r="K81" s="11" t="str">
        <f>IFERROR(__xludf.DUMMYFUNCTION("""COMPUTED_VALUE"""),"https://pbs.twimg.com/profile_banners/1132418770696396801/1701787577")</f>
        <v>https://pbs.twimg.com/profile_banners/1132418770696396801/1701787577</v>
      </c>
      <c r="L81" s="3" t="b">
        <f>IFERROR(__xludf.DUMMYFUNCTION("""COMPUTED_VALUE"""),FALSE)</f>
        <v>0</v>
      </c>
      <c r="M81" s="3" t="str">
        <f>IFERROR(__xludf.DUMMYFUNCTION("""COMPUTED_VALUE"""),"Twitter for Android")</f>
        <v>Twitter for Android</v>
      </c>
      <c r="N81" s="3" t="str">
        <f>IFERROR(__xludf.DUMMYFUNCTION("""COMPUTED_VALUE"""),"pt")</f>
        <v>pt</v>
      </c>
      <c r="O81" s="3" t="str">
        <f>IFERROR(__xludf.DUMMYFUNCTION("""COMPUTED_VALUE"""),"no")</f>
        <v>no</v>
      </c>
      <c r="P81" s="3">
        <f>IFERROR(__xludf.DUMMYFUNCTION("""COMPUTED_VALUE"""),0.0)</f>
        <v>0</v>
      </c>
      <c r="Q81" s="3">
        <f>IFERROR(__xludf.DUMMYFUNCTION("""COMPUTED_VALUE"""),1.0)</f>
        <v>1</v>
      </c>
      <c r="R81" s="3">
        <f>IFERROR(__xludf.DUMMYFUNCTION("""COMPUTED_VALUE"""),5.0)</f>
        <v>5</v>
      </c>
      <c r="S81" s="3">
        <f>IFERROR(__xludf.DUMMYFUNCTION("""COMPUTED_VALUE"""),0.0)</f>
        <v>0</v>
      </c>
      <c r="T81" s="3">
        <f>IFERROR(__xludf.DUMMYFUNCTION("""COMPUTED_VALUE"""),94.0)</f>
        <v>94</v>
      </c>
      <c r="U81" s="3" t="str">
        <f>IFERROR(__xludf.DUMMYFUNCTION("""COMPUTED_VALUE"""),"no")</f>
        <v>no</v>
      </c>
      <c r="V81" s="3"/>
      <c r="W81" s="3" t="str">
        <f>IFERROR(__xludf.DUMMYFUNCTION("""COMPUTED_VALUE"""),"no")</f>
        <v>no</v>
      </c>
      <c r="X81" s="3"/>
      <c r="Y81" s="3"/>
      <c r="Z81" s="3"/>
      <c r="AA81" s="3"/>
      <c r="AB81" s="3"/>
      <c r="AC81" s="3" t="str">
        <f>IFERROR(__xludf.DUMMYFUNCTION("""COMPUTED_VALUE"""),"no")</f>
        <v>no</v>
      </c>
      <c r="AD81" s="3" t="str">
        <f>IFERROR(__xludf.DUMMYFUNCTION("""COMPUTED_VALUE"""),"yes")</f>
        <v>yes</v>
      </c>
      <c r="AE81" s="3" t="str">
        <f>IFERROR(__xludf.DUMMYFUNCTION("""COMPUTED_VALUE"""),"madeinbajor")</f>
        <v>madeinbajor</v>
      </c>
      <c r="AF81" s="3" t="str">
        <f>IFERROR(__xludf.DUMMYFUNCTION("""COMPUTED_VALUE"""),"no")</f>
        <v>no</v>
      </c>
      <c r="AG81" s="3"/>
    </row>
    <row r="82" hidden="1">
      <c r="A82" s="3" t="str">
        <f>IFERROR(__xludf.DUMMYFUNCTION("""COMPUTED_VALUE"""),"1941487874853269649")</f>
        <v>1941487874853269649</v>
      </c>
      <c r="B82" s="3" t="str">
        <f>IFERROR(__xludf.DUMMYFUNCTION("""COMPUTED_VALUE"""),"1941487874853269649")</f>
        <v>1941487874853269649</v>
      </c>
      <c r="C82" s="10">
        <f>IFERROR(__xludf.DUMMYFUNCTION("""COMPUTED_VALUE"""),45843.55734953703)</f>
        <v>45843.55735</v>
      </c>
      <c r="D82" s="3">
        <f>IFERROR(__xludf.DUMMYFUNCTION("""COMPUTED_VALUE"""),1.751721755E9)</f>
        <v>1751721755</v>
      </c>
      <c r="E82" s="11" t="str">
        <f>IFERROR(__xludf.DUMMYFUNCTION("""COMPUTED_VALUE"""),"https://x.com/lacapital/status/1941487874853269649")</f>
        <v>https://x.com/lacapital/status/1941487874853269649</v>
      </c>
      <c r="F82" s="3" t="str">
        <f>IFERROR(__xludf.DUMMYFUNCTION("""COMPUTED_VALUE"""),"Cómo saber si un adulto tiene TDAH: los síntomas que no hay que pasar por alto https://t.co/qfRPsVWBUB")</f>
        <v>Cómo saber si un adulto tiene TDAH: los síntomas que no hay que pasar por alto https://t.co/qfRPsVWBUB</v>
      </c>
      <c r="G82" s="3" t="str">
        <f>IFERROR(__xludf.DUMMYFUNCTION("""COMPUTED_VALUE"""),"lacapital")</f>
        <v>lacapital</v>
      </c>
      <c r="H82" s="3" t="str">
        <f>IFERROR(__xludf.DUMMYFUNCTION("""COMPUTED_VALUE"""),"Diario La Capital")</f>
        <v>Diario La Capital</v>
      </c>
      <c r="I82" s="3">
        <f>IFERROR(__xludf.DUMMYFUNCTION("""COMPUTED_VALUE"""),1.79990537E8)</f>
        <v>179990537</v>
      </c>
      <c r="J82" s="11" t="str">
        <f>IFERROR(__xludf.DUMMYFUNCTION("""COMPUTED_VALUE"""),"https://pbs.twimg.com/profile_images/1694155721724538880/B6lUZpHj_normal.jpg")</f>
        <v>https://pbs.twimg.com/profile_images/1694155721724538880/B6lUZpHj_normal.jpg</v>
      </c>
      <c r="K82" s="11" t="str">
        <f>IFERROR(__xludf.DUMMYFUNCTION("""COMPUTED_VALUE"""),"https://pbs.twimg.com/profile_banners/179990537/1718105118")</f>
        <v>https://pbs.twimg.com/profile_banners/179990537/1718105118</v>
      </c>
      <c r="L82" s="3" t="b">
        <f>IFERROR(__xludf.DUMMYFUNCTION("""COMPUTED_VALUE"""),TRUE)</f>
        <v>1</v>
      </c>
      <c r="M82" s="11" t="str">
        <f>IFERROR(__xludf.DUMMYFUNCTION("""COMPUTED_VALUE"""),"dlvr.it")</f>
        <v>dlvr.it</v>
      </c>
      <c r="N82" s="3" t="str">
        <f>IFERROR(__xludf.DUMMYFUNCTION("""COMPUTED_VALUE"""),"es")</f>
        <v>es</v>
      </c>
      <c r="O82" s="3" t="str">
        <f>IFERROR(__xludf.DUMMYFUNCTION("""COMPUTED_VALUE"""),"no")</f>
        <v>no</v>
      </c>
      <c r="P82" s="3">
        <f>IFERROR(__xludf.DUMMYFUNCTION("""COMPUTED_VALUE"""),1.0)</f>
        <v>1</v>
      </c>
      <c r="Q82" s="3">
        <f>IFERROR(__xludf.DUMMYFUNCTION("""COMPUTED_VALUE"""),0.0)</f>
        <v>0</v>
      </c>
      <c r="R82" s="3">
        <f>IFERROR(__xludf.DUMMYFUNCTION("""COMPUTED_VALUE"""),3.0)</f>
        <v>3</v>
      </c>
      <c r="S82" s="3">
        <f>IFERROR(__xludf.DUMMYFUNCTION("""COMPUTED_VALUE"""),1.0)</f>
        <v>1</v>
      </c>
      <c r="T82" s="3">
        <f>IFERROR(__xludf.DUMMYFUNCTION("""COMPUTED_VALUE"""),1007.0)</f>
        <v>1007</v>
      </c>
      <c r="U82" s="3" t="str">
        <f>IFERROR(__xludf.DUMMYFUNCTION("""COMPUTED_VALUE"""),"no")</f>
        <v>no</v>
      </c>
      <c r="V82" s="3"/>
      <c r="W82" s="3" t="str">
        <f>IFERROR(__xludf.DUMMYFUNCTION("""COMPUTED_VALUE"""),"no")</f>
        <v>no</v>
      </c>
      <c r="X82" s="3"/>
      <c r="Y82" s="3"/>
      <c r="Z82" s="3"/>
      <c r="AA82" s="3"/>
      <c r="AB82" s="3"/>
      <c r="AC82" s="3" t="str">
        <f>IFERROR(__xludf.DUMMYFUNCTION("""COMPUTED_VALUE"""),"no")</f>
        <v>no</v>
      </c>
      <c r="AD82" s="3" t="str">
        <f>IFERROR(__xludf.DUMMYFUNCTION("""COMPUTED_VALUE"""),"no")</f>
        <v>no</v>
      </c>
      <c r="AE82" s="3"/>
      <c r="AF82" s="3" t="str">
        <f>IFERROR(__xludf.DUMMYFUNCTION("""COMPUTED_VALUE"""),"no")</f>
        <v>no</v>
      </c>
      <c r="AG82" s="3"/>
    </row>
    <row r="83">
      <c r="A83" s="3" t="str">
        <f>IFERROR(__xludf.DUMMYFUNCTION("""COMPUTED_VALUE"""),"1917631948199190561")</f>
        <v>1917631948199190561</v>
      </c>
      <c r="B83" s="3" t="str">
        <f>IFERROR(__xludf.DUMMYFUNCTION("""COMPUTED_VALUE"""),"1917631948199190561")</f>
        <v>1917631948199190561</v>
      </c>
      <c r="C83" s="10">
        <f>IFERROR(__xludf.DUMMYFUNCTION("""COMPUTED_VALUE"""),45777.72752314815)</f>
        <v>45777.72752</v>
      </c>
      <c r="D83" s="3">
        <f>IFERROR(__xludf.DUMMYFUNCTION("""COMPUTED_VALUE"""),1.746034058E9)</f>
        <v>1746034058</v>
      </c>
      <c r="E83" s="11" t="str">
        <f>IFERROR(__xludf.DUMMYFUNCTION("""COMPUTED_VALUE"""),"https://x.com/paularosiska/status/1917631948199190561")</f>
        <v>https://x.com/paularosiska/status/1917631948199190561</v>
      </c>
      <c r="F83" s="3" t="str">
        <f>IFERROR(__xludf.DUMMYFUNCTION("""COMPUTED_VALUE"""),"Eu precisava fazer 2 baldeações no metrô (linha vermelha &amp;gt; azul &amp;gt; lilás). Já fiz esse trajeto várias vezes. Na ida, ok. Na volta consegui vir sentada, curtindo o solzinho na janela. Aí lembrei que meu trajeto era subterrâneo. Tinha esquecido de desc"&amp;"er na Sé. TDAH adulto é top!")</f>
        <v>Eu precisava fazer 2 baldeações no metrô (linha vermelha &amp;gt; azul &amp;gt; lilás). Já fiz esse trajeto várias vezes. Na ida, ok. Na volta consegui vir sentada, curtindo o solzinho na janela. Aí lembrei que meu trajeto era subterrâneo. Tinha esquecido de descer na Sé. TDAH adulto é top!</v>
      </c>
      <c r="G83" s="3" t="str">
        <f>IFERROR(__xludf.DUMMYFUNCTION("""COMPUTED_VALUE"""),"paularosiska")</f>
        <v>paularosiska</v>
      </c>
      <c r="H83" s="3" t="str">
        <f>IFERROR(__xludf.DUMMYFUNCTION("""COMPUTED_VALUE"""),"Paula Rosiska")</f>
        <v>Paula Rosiska</v>
      </c>
      <c r="I83" s="3">
        <f>IFERROR(__xludf.DUMMYFUNCTION("""COMPUTED_VALUE"""),5.444037E7)</f>
        <v>54440370</v>
      </c>
      <c r="J83" s="11" t="str">
        <f>IFERROR(__xludf.DUMMYFUNCTION("""COMPUTED_VALUE"""),"https://pbs.twimg.com/profile_images/1931157312443461632/MIg5UmoV_normal.jpg")</f>
        <v>https://pbs.twimg.com/profile_images/1931157312443461632/MIg5UmoV_normal.jpg</v>
      </c>
      <c r="K83" s="11" t="str">
        <f>IFERROR(__xludf.DUMMYFUNCTION("""COMPUTED_VALUE"""),"https://pbs.twimg.com/profile_banners/54440370/1727452281")</f>
        <v>https://pbs.twimg.com/profile_banners/54440370/1727452281</v>
      </c>
      <c r="L83" s="3" t="b">
        <f>IFERROR(__xludf.DUMMYFUNCTION("""COMPUTED_VALUE"""),FALSE)</f>
        <v>0</v>
      </c>
      <c r="M83" s="3" t="str">
        <f>IFERROR(__xludf.DUMMYFUNCTION("""COMPUTED_VALUE"""),"Twitter Web App")</f>
        <v>Twitter Web App</v>
      </c>
      <c r="N83" s="3" t="str">
        <f>IFERROR(__xludf.DUMMYFUNCTION("""COMPUTED_VALUE"""),"pt")</f>
        <v>pt</v>
      </c>
      <c r="O83" s="3" t="str">
        <f>IFERROR(__xludf.DUMMYFUNCTION("""COMPUTED_VALUE"""),"no")</f>
        <v>no</v>
      </c>
      <c r="P83" s="3">
        <f>IFERROR(__xludf.DUMMYFUNCTION("""COMPUTED_VALUE"""),0.0)</f>
        <v>0</v>
      </c>
      <c r="Q83" s="3">
        <f>IFERROR(__xludf.DUMMYFUNCTION("""COMPUTED_VALUE"""),0.0)</f>
        <v>0</v>
      </c>
      <c r="R83" s="3">
        <f>IFERROR(__xludf.DUMMYFUNCTION("""COMPUTED_VALUE"""),1.0)</f>
        <v>1</v>
      </c>
      <c r="S83" s="3">
        <f>IFERROR(__xludf.DUMMYFUNCTION("""COMPUTED_VALUE"""),0.0)</f>
        <v>0</v>
      </c>
      <c r="T83" s="3">
        <f>IFERROR(__xludf.DUMMYFUNCTION("""COMPUTED_VALUE"""),318.0)</f>
        <v>318</v>
      </c>
      <c r="U83" s="3" t="str">
        <f>IFERROR(__xludf.DUMMYFUNCTION("""COMPUTED_VALUE"""),"no")</f>
        <v>no</v>
      </c>
      <c r="V83" s="3"/>
      <c r="W83" s="3" t="str">
        <f>IFERROR(__xludf.DUMMYFUNCTION("""COMPUTED_VALUE"""),"no")</f>
        <v>no</v>
      </c>
      <c r="X83" s="3"/>
      <c r="Y83" s="3"/>
      <c r="Z83" s="3"/>
      <c r="AA83" s="3"/>
      <c r="AB83" s="3"/>
      <c r="AC83" s="3" t="str">
        <f>IFERROR(__xludf.DUMMYFUNCTION("""COMPUTED_VALUE"""),"no")</f>
        <v>no</v>
      </c>
      <c r="AD83" s="3" t="str">
        <f>IFERROR(__xludf.DUMMYFUNCTION("""COMPUTED_VALUE"""),"no")</f>
        <v>no</v>
      </c>
      <c r="AE83" s="3"/>
      <c r="AF83" s="3" t="str">
        <f>IFERROR(__xludf.DUMMYFUNCTION("""COMPUTED_VALUE"""),"no")</f>
        <v>no</v>
      </c>
      <c r="AG83" s="3"/>
    </row>
    <row r="84" hidden="1">
      <c r="A84" s="3" t="str">
        <f>IFERROR(__xludf.DUMMYFUNCTION("""COMPUTED_VALUE"""),"1949844628850504064")</f>
        <v>1949844628850504064</v>
      </c>
      <c r="B84" s="3" t="str">
        <f>IFERROR(__xludf.DUMMYFUNCTION("""COMPUTED_VALUE"""),"1949844628850504064")</f>
        <v>1949844628850504064</v>
      </c>
      <c r="C84" s="10">
        <f>IFERROR(__xludf.DUMMYFUNCTION("""COMPUTED_VALUE"""),45866.61759259259)</f>
        <v>45866.61759</v>
      </c>
      <c r="D84" s="3">
        <f>IFERROR(__xludf.DUMMYFUNCTION("""COMPUTED_VALUE"""),1.75371416E9)</f>
        <v>1753714160</v>
      </c>
      <c r="E84" s="11" t="str">
        <f>IFERROR(__xludf.DUMMYFUNCTION("""COMPUTED_VALUE"""),"https://x.com/JustLils/status/1949844628850504064")</f>
        <v>https://x.com/JustLils/status/1949844628850504064</v>
      </c>
      <c r="F84" s="3" t="str">
        <f>IFERROR(__xludf.DUMMYFUNCTION("""COMPUTED_VALUE"""),"Excelente post. Fui diagnosticada con TDAH el año pasado, mientras tanto sufrí las consecuencias de dos o tres diagnósticos equivocados, porque los psiquiatras y médicos no consideran que un adulto pueda ser TDAH. GRACIAS por difundir y acompañar.")</f>
        <v>Excelente post. Fui diagnosticada con TDAH el año pasado, mientras tanto sufrí las consecuencias de dos o tres diagnósticos equivocados, porque los psiquiatras y médicos no consideran que un adulto pueda ser TDAH. GRACIAS por difundir y acompañar.</v>
      </c>
      <c r="G84" s="3" t="str">
        <f>IFERROR(__xludf.DUMMYFUNCTION("""COMPUTED_VALUE"""),"JustLils")</f>
        <v>JustLils</v>
      </c>
      <c r="H84" s="3" t="str">
        <f>IFERROR(__xludf.DUMMYFUNCTION("""COMPUTED_VALUE"""),"Lils 🐉")</f>
        <v>Lils 🐉</v>
      </c>
      <c r="I84" s="3">
        <f>IFERROR(__xludf.DUMMYFUNCTION("""COMPUTED_VALUE"""),2.06776127E8)</f>
        <v>206776127</v>
      </c>
      <c r="J84" s="11" t="str">
        <f>IFERROR(__xludf.DUMMYFUNCTION("""COMPUTED_VALUE"""),"https://pbs.twimg.com/profile_images/1292993707373993992/qnyOsXJY_normal.jpg")</f>
        <v>https://pbs.twimg.com/profile_images/1292993707373993992/qnyOsXJY_normal.jpg</v>
      </c>
      <c r="K84" s="11" t="str">
        <f>IFERROR(__xludf.DUMMYFUNCTION("""COMPUTED_VALUE"""),"https://pbs.twimg.com/profile_banners/206776127/1761915300")</f>
        <v>https://pbs.twimg.com/profile_banners/206776127/1761915300</v>
      </c>
      <c r="L84" s="3" t="b">
        <f>IFERROR(__xludf.DUMMYFUNCTION("""COMPUTED_VALUE"""),FALSE)</f>
        <v>0</v>
      </c>
      <c r="M84" s="3" t="str">
        <f>IFERROR(__xludf.DUMMYFUNCTION("""COMPUTED_VALUE"""),"Twitter for iPad")</f>
        <v>Twitter for iPad</v>
      </c>
      <c r="N84" s="3" t="str">
        <f>IFERROR(__xludf.DUMMYFUNCTION("""COMPUTED_VALUE"""),"es")</f>
        <v>es</v>
      </c>
      <c r="O84" s="3" t="str">
        <f>IFERROR(__xludf.DUMMYFUNCTION("""COMPUTED_VALUE"""),"no")</f>
        <v>no</v>
      </c>
      <c r="P84" s="3">
        <f>IFERROR(__xludf.DUMMYFUNCTION("""COMPUTED_VALUE"""),0.0)</f>
        <v>0</v>
      </c>
      <c r="Q84" s="3">
        <f>IFERROR(__xludf.DUMMYFUNCTION("""COMPUTED_VALUE"""),1.0)</f>
        <v>1</v>
      </c>
      <c r="R84" s="3">
        <f>IFERROR(__xludf.DUMMYFUNCTION("""COMPUTED_VALUE"""),6.0)</f>
        <v>6</v>
      </c>
      <c r="S84" s="3">
        <f>IFERROR(__xludf.DUMMYFUNCTION("""COMPUTED_VALUE"""),0.0)</f>
        <v>0</v>
      </c>
      <c r="T84" s="3">
        <f>IFERROR(__xludf.DUMMYFUNCTION("""COMPUTED_VALUE"""),148.0)</f>
        <v>148</v>
      </c>
      <c r="U84" s="3" t="str">
        <f>IFERROR(__xludf.DUMMYFUNCTION("""COMPUTED_VALUE"""),"no")</f>
        <v>no</v>
      </c>
      <c r="V84" s="3"/>
      <c r="W84" s="3" t="str">
        <f>IFERROR(__xludf.DUMMYFUNCTION("""COMPUTED_VALUE"""),"yes")</f>
        <v>yes</v>
      </c>
      <c r="X84" s="3" t="str">
        <f>IFERROR(__xludf.DUMMYFUNCTION("""COMPUTED_VALUE"""),"1949818987014918482")</f>
        <v>1949818987014918482</v>
      </c>
      <c r="Y84" s="3" t="str">
        <f>IFERROR(__xludf.DUMMYFUNCTION("""COMPUTED_VALUE"""),"AndiCanepa")</f>
        <v>AndiCanepa</v>
      </c>
      <c r="Z84" s="3" t="str">
        <f>IFERROR(__xludf.DUMMYFUNCTION("""COMPUTED_VALUE"""),"🧡Hoy es el Día de Concientización sobre el TDAH. El Trastorno de Déficit de Atención e Hiperactividad es uno de los más habituales en niños y también en adultos, aunque muchas veces tenemos que escuchar prejuicios o desprestigios.
La falta de formación "&amp;"en nuestros médicos y")</f>
        <v>🧡Hoy es el Día de Concientización sobre el TDAH. El Trastorno de Déficit de Atención e Hiperactividad es uno de los más habituales en niños y también en adultos, aunque muchas veces tenemos que escuchar prejuicios o desprestigios.
La falta de formación en nuestros médicos y</v>
      </c>
      <c r="AA84" s="3"/>
      <c r="AB84" s="3"/>
      <c r="AC84" s="3" t="str">
        <f>IFERROR(__xludf.DUMMYFUNCTION("""COMPUTED_VALUE"""),"no")</f>
        <v>no</v>
      </c>
      <c r="AD84" s="3" t="str">
        <f>IFERROR(__xludf.DUMMYFUNCTION("""COMPUTED_VALUE"""),"no")</f>
        <v>no</v>
      </c>
      <c r="AE84" s="3"/>
      <c r="AF84" s="3" t="str">
        <f>IFERROR(__xludf.DUMMYFUNCTION("""COMPUTED_VALUE"""),"no")</f>
        <v>no</v>
      </c>
      <c r="AG84" s="3"/>
    </row>
    <row r="85" hidden="1">
      <c r="A85" s="3" t="str">
        <f>IFERROR(__xludf.DUMMYFUNCTION("""COMPUTED_VALUE"""),"1969715444287521091")</f>
        <v>1969715444287521091</v>
      </c>
      <c r="B85" s="3" t="str">
        <f>IFERROR(__xludf.DUMMYFUNCTION("""COMPUTED_VALUE"""),"1969715440986509817")</f>
        <v>1969715440986509817</v>
      </c>
      <c r="C85" s="10">
        <f>IFERROR(__xludf.DUMMYFUNCTION("""COMPUTED_VALUE"""),45921.45060185185)</f>
        <v>45921.4506</v>
      </c>
      <c r="D85" s="3">
        <f>IFERROR(__xludf.DUMMYFUNCTION("""COMPUTED_VALUE"""),1.758451732E9)</f>
        <v>1758451732</v>
      </c>
      <c r="E85" s="11" t="str">
        <f>IFERROR(__xludf.DUMMYFUNCTION("""COMPUTED_VALUE"""),"https://x.com/TenemosTDAHSBD/status/1969715444287521091")</f>
        <v>https://x.com/TenemosTDAHSBD/status/1969715444287521091</v>
      </c>
      <c r="F85" s="3" t="str">
        <f>IFERROR(__xludf.DUMMYFUNCTION("""COMPUTED_VALUE"""),"📢I entre els participants que completin les 4 etapes sortejarem un lot de llibres de @tdahvalles .
""El niño Incomprendido.""
""La vida con TDAH.A vista de pájaro.""
""¿Eres tu, soy yo o es el TDAH adulto?""
Inscriu-te 👇👇👇
https://t.co/SLiBZXeR7c ht"&amp;"tps://t.co/Yhx3sNuieI")</f>
        <v>📢I entre els participants que completin les 4 etapes sortejarem un lot de llibres de @tdahvalles .
"El niño Incomprendido."
"La vida con TDAH.A vista de pájaro."
"¿Eres tu, soy yo o es el TDAH adulto?"
Inscriu-te 👇👇👇
https://t.co/SLiBZXeR7c https://t.co/Yhx3sNuieI</v>
      </c>
      <c r="G85" s="3" t="str">
        <f>IFERROR(__xludf.DUMMYFUNCTION("""COMPUTED_VALUE"""),"TenemosTDAHSBD")</f>
        <v>TenemosTDAHSBD</v>
      </c>
      <c r="H85" s="3" t="str">
        <f>IFERROR(__xludf.DUMMYFUNCTION("""COMPUTED_VALUE"""),"Tenemos TDAH SBD")</f>
        <v>Tenemos TDAH SBD</v>
      </c>
      <c r="I85" s="3">
        <f>IFERROR(__xludf.DUMMYFUNCTION("""COMPUTED_VALUE"""),1.32699884E9)</f>
        <v>1326998840</v>
      </c>
      <c r="J85" s="11" t="str">
        <f>IFERROR(__xludf.DUMMYFUNCTION("""COMPUTED_VALUE"""),"https://pbs.twimg.com/profile_images/1880563923532873728/NAV97Jw9_normal.jpg")</f>
        <v>https://pbs.twimg.com/profile_images/1880563923532873728/NAV97Jw9_normal.jpg</v>
      </c>
      <c r="K85" s="11" t="str">
        <f>IFERROR(__xludf.DUMMYFUNCTION("""COMPUTED_VALUE"""),"https://pbs.twimg.com/profile_banners/1326998840/1737196190")</f>
        <v>https://pbs.twimg.com/profile_banners/1326998840/1737196190</v>
      </c>
      <c r="L85" s="3" t="b">
        <f>IFERROR(__xludf.DUMMYFUNCTION("""COMPUTED_VALUE"""),FALSE)</f>
        <v>0</v>
      </c>
      <c r="M85" s="3" t="str">
        <f>IFERROR(__xludf.DUMMYFUNCTION("""COMPUTED_VALUE"""),"Twitter Web App")</f>
        <v>Twitter Web App</v>
      </c>
      <c r="N85" s="3" t="str">
        <f>IFERROR(__xludf.DUMMYFUNCTION("""COMPUTED_VALUE"""),"es")</f>
        <v>es</v>
      </c>
      <c r="O85" s="3" t="str">
        <f>IFERROR(__xludf.DUMMYFUNCTION("""COMPUTED_VALUE"""),"no")</f>
        <v>no</v>
      </c>
      <c r="P85" s="3">
        <f>IFERROR(__xludf.DUMMYFUNCTION("""COMPUTED_VALUE"""),1.0)</f>
        <v>1</v>
      </c>
      <c r="Q85" s="3">
        <f>IFERROR(__xludf.DUMMYFUNCTION("""COMPUTED_VALUE"""),0.0)</f>
        <v>0</v>
      </c>
      <c r="R85" s="3">
        <f>IFERROR(__xludf.DUMMYFUNCTION("""COMPUTED_VALUE"""),1.0)</f>
        <v>1</v>
      </c>
      <c r="S85" s="3">
        <f>IFERROR(__xludf.DUMMYFUNCTION("""COMPUTED_VALUE"""),0.0)</f>
        <v>0</v>
      </c>
      <c r="T85" s="3">
        <f>IFERROR(__xludf.DUMMYFUNCTION("""COMPUTED_VALUE"""),26.0)</f>
        <v>26</v>
      </c>
      <c r="U85" s="3" t="str">
        <f>IFERROR(__xludf.DUMMYFUNCTION("""COMPUTED_VALUE"""),"no")</f>
        <v>no</v>
      </c>
      <c r="V85" s="3"/>
      <c r="W85" s="3" t="str">
        <f>IFERROR(__xludf.DUMMYFUNCTION("""COMPUTED_VALUE"""),"no")</f>
        <v>no</v>
      </c>
      <c r="X85" s="3"/>
      <c r="Y85" s="3"/>
      <c r="Z85" s="3"/>
      <c r="AA85" s="3"/>
      <c r="AB85" s="3"/>
      <c r="AC85" s="3" t="str">
        <f>IFERROR(__xludf.DUMMYFUNCTION("""COMPUTED_VALUE"""),"no")</f>
        <v>no</v>
      </c>
      <c r="AD85" s="3" t="str">
        <f>IFERROR(__xludf.DUMMYFUNCTION("""COMPUTED_VALUE"""),"yes")</f>
        <v>yes</v>
      </c>
      <c r="AE85" s="3" t="str">
        <f>IFERROR(__xludf.DUMMYFUNCTION("""COMPUTED_VALUE"""),"TenemosTDAHSBD")</f>
        <v>TenemosTDAHSBD</v>
      </c>
      <c r="AF85" s="3" t="str">
        <f>IFERROR(__xludf.DUMMYFUNCTION("""COMPUTED_VALUE"""),"no")</f>
        <v>no</v>
      </c>
      <c r="AG85" s="3"/>
    </row>
    <row r="86" hidden="1">
      <c r="A86" s="3" t="str">
        <f>IFERROR(__xludf.DUMMYFUNCTION("""COMPUTED_VALUE"""),"1983614814682599537")</f>
        <v>1983614814682599537</v>
      </c>
      <c r="B86" s="3" t="str">
        <f>IFERROR(__xludf.DUMMYFUNCTION("""COMPUTED_VALUE"""),"1983614814682599537")</f>
        <v>1983614814682599537</v>
      </c>
      <c r="C86" s="10">
        <f>IFERROR(__xludf.DUMMYFUNCTION("""COMPUTED_VALUE"""),45959.805555555555)</f>
        <v>45959.80556</v>
      </c>
      <c r="D86" s="3">
        <f>IFERROR(__xludf.DUMMYFUNCTION("""COMPUTED_VALUE"""),1.7617656E9)</f>
        <v>1761765600</v>
      </c>
      <c r="E86" s="11" t="str">
        <f>IFERROR(__xludf.DUMMYFUNCTION("""COMPUTED_VALUE"""),"https://x.com/DiarioPresente/status/1983614814682599537")</f>
        <v>https://x.com/DiarioPresente/status/1983614814682599537</v>
      </c>
      <c r="F86" s="3" t="str">
        <f>IFERROR(__xludf.DUMMYFUNCTION("""COMPUTED_VALUE"""),"✍️#ColumnaDigital| Tips para el adulto con TDAH. 
Escrito por: Dr. Emmanuel Osorio Rosales.
➡ https://t.co/gajctswrW0 
|#Noticia |#ColumnaDigital |#DiarioPresente https://t.co/lYchvSISCn")</f>
        <v>✍️#ColumnaDigital| Tips para el adulto con TDAH. 
Escrito por: Dr. Emmanuel Osorio Rosales.
➡ https://t.co/gajctswrW0 
|#Noticia |#ColumnaDigital |#DiarioPresente https://t.co/lYchvSISCn</v>
      </c>
      <c r="G86" s="3" t="str">
        <f>IFERROR(__xludf.DUMMYFUNCTION("""COMPUTED_VALUE"""),"DiarioPresente")</f>
        <v>DiarioPresente</v>
      </c>
      <c r="H86" s="3" t="str">
        <f>IFERROR(__xludf.DUMMYFUNCTION("""COMPUTED_VALUE"""),"Diario Presente")</f>
        <v>Diario Presente</v>
      </c>
      <c r="I86" s="3">
        <f>IFERROR(__xludf.DUMMYFUNCTION("""COMPUTED_VALUE"""),8.2608449E7)</f>
        <v>82608449</v>
      </c>
      <c r="J86" s="11" t="str">
        <f>IFERROR(__xludf.DUMMYFUNCTION("""COMPUTED_VALUE"""),"https://pbs.twimg.com/profile_images/1787920497663201280/f5adixpO_normal.jpg")</f>
        <v>https://pbs.twimg.com/profile_images/1787920497663201280/f5adixpO_normal.jpg</v>
      </c>
      <c r="K86" s="11" t="str">
        <f>IFERROR(__xludf.DUMMYFUNCTION("""COMPUTED_VALUE"""),"https://pbs.twimg.com/profile_banners/82608449/1715111412")</f>
        <v>https://pbs.twimg.com/profile_banners/82608449/1715111412</v>
      </c>
      <c r="L86" s="3" t="b">
        <f>IFERROR(__xludf.DUMMYFUNCTION("""COMPUTED_VALUE"""),FALSE)</f>
        <v>0</v>
      </c>
      <c r="M86" s="3" t="str">
        <f>IFERROR(__xludf.DUMMYFUNCTION("""COMPUTED_VALUE"""),"Twitter Web App")</f>
        <v>Twitter Web App</v>
      </c>
      <c r="N86" s="3" t="str">
        <f>IFERROR(__xludf.DUMMYFUNCTION("""COMPUTED_VALUE"""),"es")</f>
        <v>es</v>
      </c>
      <c r="O86" s="3" t="str">
        <f>IFERROR(__xludf.DUMMYFUNCTION("""COMPUTED_VALUE"""),"no")</f>
        <v>no</v>
      </c>
      <c r="P86" s="3">
        <f>IFERROR(__xludf.DUMMYFUNCTION("""COMPUTED_VALUE"""),1.0)</f>
        <v>1</v>
      </c>
      <c r="Q86" s="3">
        <f>IFERROR(__xludf.DUMMYFUNCTION("""COMPUTED_VALUE"""),0.0)</f>
        <v>0</v>
      </c>
      <c r="R86" s="3">
        <f>IFERROR(__xludf.DUMMYFUNCTION("""COMPUTED_VALUE"""),0.0)</f>
        <v>0</v>
      </c>
      <c r="S86" s="3">
        <f>IFERROR(__xludf.DUMMYFUNCTION("""COMPUTED_VALUE"""),0.0)</f>
        <v>0</v>
      </c>
      <c r="T86" s="3">
        <f>IFERROR(__xludf.DUMMYFUNCTION("""COMPUTED_VALUE"""),170.0)</f>
        <v>170</v>
      </c>
      <c r="U86" s="3" t="str">
        <f>IFERROR(__xludf.DUMMYFUNCTION("""COMPUTED_VALUE"""),"no")</f>
        <v>no</v>
      </c>
      <c r="V86" s="3"/>
      <c r="W86" s="3" t="str">
        <f>IFERROR(__xludf.DUMMYFUNCTION("""COMPUTED_VALUE"""),"no")</f>
        <v>no</v>
      </c>
      <c r="X86" s="3"/>
      <c r="Y86" s="3"/>
      <c r="Z86" s="3"/>
      <c r="AA86" s="3"/>
      <c r="AB86" s="3"/>
      <c r="AC86" s="3" t="str">
        <f>IFERROR(__xludf.DUMMYFUNCTION("""COMPUTED_VALUE"""),"no")</f>
        <v>no</v>
      </c>
      <c r="AD86" s="3" t="str">
        <f>IFERROR(__xludf.DUMMYFUNCTION("""COMPUTED_VALUE"""),"no")</f>
        <v>no</v>
      </c>
      <c r="AE86" s="3"/>
      <c r="AF86" s="3" t="str">
        <f>IFERROR(__xludf.DUMMYFUNCTION("""COMPUTED_VALUE"""),"no")</f>
        <v>no</v>
      </c>
      <c r="AG86" s="3" t="str">
        <f>IFERROR(__xludf.DUMMYFUNCTION("""COMPUTED_VALUE"""),"ColumnaDigital,Noticia,ColumnaDigital,DiarioPresente")</f>
        <v>ColumnaDigital,Noticia,ColumnaDigital,DiarioPresente</v>
      </c>
    </row>
    <row r="87" hidden="1">
      <c r="A87" s="3" t="str">
        <f>IFERROR(__xludf.DUMMYFUNCTION("""COMPUTED_VALUE"""),"1977958391969415301")</f>
        <v>1977958391969415301</v>
      </c>
      <c r="B87" s="3" t="str">
        <f>IFERROR(__xludf.DUMMYFUNCTION("""COMPUTED_VALUE"""),"1977958391969415301")</f>
        <v>1977958391969415301</v>
      </c>
      <c r="C87" s="10">
        <f>IFERROR(__xludf.DUMMYFUNCTION("""COMPUTED_VALUE"""),45944.19679398148)</f>
        <v>45944.19679</v>
      </c>
      <c r="D87" s="3">
        <f>IFERROR(__xludf.DUMMYFUNCTION("""COMPUTED_VALUE"""),1.760417003E9)</f>
        <v>1760417003</v>
      </c>
      <c r="E87" s="11" t="str">
        <f>IFERROR(__xludf.DUMMYFUNCTION("""COMPUTED_VALUE"""),"https://x.com/viadescapetv/status/1977958391969415301")</f>
        <v>https://x.com/viadescapetv/status/1977958391969415301</v>
      </c>
      <c r="F87" s="3" t="str">
        <f>IFERROR(__xludf.DUMMYFUNCTION("""COMPUTED_VALUE"""),"El #TDAH adulto: por qué ser mujer implica un mayor impacto https://t.co/z8hiDKHx3f")</f>
        <v>El #TDAH adulto: por qué ser mujer implica un mayor impacto https://t.co/z8hiDKHx3f</v>
      </c>
      <c r="G87" s="3" t="str">
        <f>IFERROR(__xludf.DUMMYFUNCTION("""COMPUTED_VALUE"""),"viadescapetv")</f>
        <v>viadescapetv</v>
      </c>
      <c r="H87" s="3" t="str">
        <f>IFERROR(__xludf.DUMMYFUNCTION("""COMPUTED_VALUE"""),"ViadescapeTV")</f>
        <v>ViadescapeTV</v>
      </c>
      <c r="I87" s="3">
        <f>IFERROR(__xludf.DUMMYFUNCTION("""COMPUTED_VALUE"""),1.4121418E8)</f>
        <v>141214180</v>
      </c>
      <c r="J87" s="11" t="str">
        <f>IFERROR(__xludf.DUMMYFUNCTION("""COMPUTED_VALUE"""),"https://pbs.twimg.com/profile_images/1232378473651539968/O1Ihu2EC_normal.jpg")</f>
        <v>https://pbs.twimg.com/profile_images/1232378473651539968/O1Ihu2EC_normal.jpg</v>
      </c>
      <c r="K87" s="11" t="str">
        <f>IFERROR(__xludf.DUMMYFUNCTION("""COMPUTED_VALUE"""),"https://pbs.twimg.com/profile_banners/141214180/1583003072")</f>
        <v>https://pbs.twimg.com/profile_banners/141214180/1583003072</v>
      </c>
      <c r="L87" s="3" t="b">
        <f>IFERROR(__xludf.DUMMYFUNCTION("""COMPUTED_VALUE"""),FALSE)</f>
        <v>0</v>
      </c>
      <c r="M87" s="3" t="str">
        <f>IFERROR(__xludf.DUMMYFUNCTION("""COMPUTED_VALUE"""),"Twitter Web App")</f>
        <v>Twitter Web App</v>
      </c>
      <c r="N87" s="3" t="str">
        <f>IFERROR(__xludf.DUMMYFUNCTION("""COMPUTED_VALUE"""),"es")</f>
        <v>es</v>
      </c>
      <c r="O87" s="3" t="str">
        <f>IFERROR(__xludf.DUMMYFUNCTION("""COMPUTED_VALUE"""),"no")</f>
        <v>no</v>
      </c>
      <c r="P87" s="3">
        <f>IFERROR(__xludf.DUMMYFUNCTION("""COMPUTED_VALUE"""),0.0)</f>
        <v>0</v>
      </c>
      <c r="Q87" s="3">
        <f>IFERROR(__xludf.DUMMYFUNCTION("""COMPUTED_VALUE"""),0.0)</f>
        <v>0</v>
      </c>
      <c r="R87" s="3">
        <f>IFERROR(__xludf.DUMMYFUNCTION("""COMPUTED_VALUE"""),0.0)</f>
        <v>0</v>
      </c>
      <c r="S87" s="3">
        <f>IFERROR(__xludf.DUMMYFUNCTION("""COMPUTED_VALUE"""),0.0)</f>
        <v>0</v>
      </c>
      <c r="T87" s="3">
        <f>IFERROR(__xludf.DUMMYFUNCTION("""COMPUTED_VALUE"""),7.0)</f>
        <v>7</v>
      </c>
      <c r="U87" s="3" t="str">
        <f>IFERROR(__xludf.DUMMYFUNCTION("""COMPUTED_VALUE"""),"no")</f>
        <v>no</v>
      </c>
      <c r="V87" s="3"/>
      <c r="W87" s="3" t="str">
        <f>IFERROR(__xludf.DUMMYFUNCTION("""COMPUTED_VALUE"""),"no")</f>
        <v>no</v>
      </c>
      <c r="X87" s="3"/>
      <c r="Y87" s="3"/>
      <c r="Z87" s="3"/>
      <c r="AA87" s="3"/>
      <c r="AB87" s="3"/>
      <c r="AC87" s="3" t="str">
        <f>IFERROR(__xludf.DUMMYFUNCTION("""COMPUTED_VALUE"""),"no")</f>
        <v>no</v>
      </c>
      <c r="AD87" s="3" t="str">
        <f>IFERROR(__xludf.DUMMYFUNCTION("""COMPUTED_VALUE"""),"no")</f>
        <v>no</v>
      </c>
      <c r="AE87" s="3"/>
      <c r="AF87" s="3" t="str">
        <f>IFERROR(__xludf.DUMMYFUNCTION("""COMPUTED_VALUE"""),"no")</f>
        <v>no</v>
      </c>
      <c r="AG87" s="3" t="str">
        <f>IFERROR(__xludf.DUMMYFUNCTION("""COMPUTED_VALUE"""),"TDAH")</f>
        <v>TDAH</v>
      </c>
    </row>
    <row r="88" hidden="1">
      <c r="A88" s="3" t="str">
        <f>IFERROR(__xludf.DUMMYFUNCTION("""COMPUTED_VALUE"""),"1970181565071376777")</f>
        <v>1970181565071376777</v>
      </c>
      <c r="B88" s="3" t="str">
        <f>IFERROR(__xludf.DUMMYFUNCTION("""COMPUTED_VALUE"""),"1970181565071376777")</f>
        <v>1970181565071376777</v>
      </c>
      <c r="C88" s="10">
        <f>IFERROR(__xludf.DUMMYFUNCTION("""COMPUTED_VALUE"""),45922.73684027778)</f>
        <v>45922.73684</v>
      </c>
      <c r="D88" s="3">
        <f>IFERROR(__xludf.DUMMYFUNCTION("""COMPUTED_VALUE"""),1.758562863E9)</f>
        <v>1758562863</v>
      </c>
      <c r="E88" s="11" t="str">
        <f>IFERROR(__xludf.DUMMYFUNCTION("""COMPUTED_VALUE"""),"https://x.com/RussellTor40786/status/1970181565071376777")</f>
        <v>https://x.com/RussellTor40786/status/1970181565071376777</v>
      </c>
      <c r="F88" s="3" t="str">
        <f>IFERROR(__xludf.DUMMYFUNCTION("""COMPUTED_VALUE"""),"Libro TDAH EN EL ADULTO Descargar PDF - Dra. Juncal Sevilla
➡ https://t.co/61CoTkW2yy
Descargar o leer en línea TDAH EN EL ADULTO Libro gratuito (PDF ePub Mobi) de Dra. Juncal Sevilla.
TDAH EN EL ADULTO Dra. Juncal Sevilla PDF, TDAH EN EL ADULTO https:/"&amp;"/t.co/N1GAf9zQUm")</f>
        <v>Libro TDAH EN EL ADULTO Descargar PDF - Dra. Juncal Sevilla
➡ https://t.co/61CoTkW2yy
Descargar o leer en línea TDAH EN EL ADULTO Libro gratuito (PDF ePub Mobi) de Dra. Juncal Sevilla.
TDAH EN EL ADULTO Dra. Juncal Sevilla PDF, TDAH EN EL ADULTO https://t.co/N1GAf9zQUm</v>
      </c>
      <c r="G88" s="3" t="str">
        <f>IFERROR(__xludf.DUMMYFUNCTION("""COMPUTED_VALUE"""),"RussellTor40786")</f>
        <v>RussellTor40786</v>
      </c>
      <c r="H88" s="3" t="str">
        <f>IFERROR(__xludf.DUMMYFUNCTION("""COMPUTED_VALUE"""),"Russell Torres")</f>
        <v>Russell Torres</v>
      </c>
      <c r="I88" s="3" t="str">
        <f>IFERROR(__xludf.DUMMYFUNCTION("""COMPUTED_VALUE"""),"1773174991934091264")</f>
        <v>1773174991934091264</v>
      </c>
      <c r="J88" s="11" t="str">
        <f>IFERROR(__xludf.DUMMYFUNCTION("""COMPUTED_VALUE"""),"https://pbs.twimg.com/profile_images/1787763812550242304/rNeoqV9U_normal.jpg")</f>
        <v>https://pbs.twimg.com/profile_images/1787763812550242304/rNeoqV9U_normal.jpg</v>
      </c>
      <c r="K88" s="3"/>
      <c r="L88" s="3" t="b">
        <f>IFERROR(__xludf.DUMMYFUNCTION("""COMPUTED_VALUE"""),FALSE)</f>
        <v>0</v>
      </c>
      <c r="M88" s="3" t="str">
        <f>IFERROR(__xludf.DUMMYFUNCTION("""COMPUTED_VALUE"""),"Twitter Web App")</f>
        <v>Twitter Web App</v>
      </c>
      <c r="N88" s="3" t="str">
        <f>IFERROR(__xludf.DUMMYFUNCTION("""COMPUTED_VALUE"""),"es")</f>
        <v>es</v>
      </c>
      <c r="O88" s="3" t="str">
        <f>IFERROR(__xludf.DUMMYFUNCTION("""COMPUTED_VALUE"""),"no")</f>
        <v>no</v>
      </c>
      <c r="P88" s="3">
        <f>IFERROR(__xludf.DUMMYFUNCTION("""COMPUTED_VALUE"""),0.0)</f>
        <v>0</v>
      </c>
      <c r="Q88" s="3">
        <f>IFERROR(__xludf.DUMMYFUNCTION("""COMPUTED_VALUE"""),0.0)</f>
        <v>0</v>
      </c>
      <c r="R88" s="3">
        <f>IFERROR(__xludf.DUMMYFUNCTION("""COMPUTED_VALUE"""),0.0)</f>
        <v>0</v>
      </c>
      <c r="S88" s="3">
        <f>IFERROR(__xludf.DUMMYFUNCTION("""COMPUTED_VALUE"""),0.0)</f>
        <v>0</v>
      </c>
      <c r="T88" s="3">
        <f>IFERROR(__xludf.DUMMYFUNCTION("""COMPUTED_VALUE"""),16.0)</f>
        <v>16</v>
      </c>
      <c r="U88" s="3" t="str">
        <f>IFERROR(__xludf.DUMMYFUNCTION("""COMPUTED_VALUE"""),"no")</f>
        <v>no</v>
      </c>
      <c r="V88" s="3"/>
      <c r="W88" s="3" t="str">
        <f>IFERROR(__xludf.DUMMYFUNCTION("""COMPUTED_VALUE"""),"no")</f>
        <v>no</v>
      </c>
      <c r="X88" s="3"/>
      <c r="Y88" s="3"/>
      <c r="Z88" s="3"/>
      <c r="AA88" s="3"/>
      <c r="AB88" s="3"/>
      <c r="AC88" s="3" t="str">
        <f>IFERROR(__xludf.DUMMYFUNCTION("""COMPUTED_VALUE"""),"no")</f>
        <v>no</v>
      </c>
      <c r="AD88" s="3" t="str">
        <f>IFERROR(__xludf.DUMMYFUNCTION("""COMPUTED_VALUE"""),"no")</f>
        <v>no</v>
      </c>
      <c r="AE88" s="3"/>
      <c r="AF88" s="3" t="str">
        <f>IFERROR(__xludf.DUMMYFUNCTION("""COMPUTED_VALUE"""),"no")</f>
        <v>no</v>
      </c>
      <c r="AG88" s="3"/>
    </row>
    <row r="89" hidden="1">
      <c r="A89" s="3" t="str">
        <f>IFERROR(__xludf.DUMMYFUNCTION("""COMPUTED_VALUE"""),"1970517428099506408")</f>
        <v>1970517428099506408</v>
      </c>
      <c r="B89" s="3" t="str">
        <f>IFERROR(__xludf.DUMMYFUNCTION("""COMPUTED_VALUE"""),"1970517428099506408")</f>
        <v>1970517428099506408</v>
      </c>
      <c r="C89" s="10">
        <f>IFERROR(__xludf.DUMMYFUNCTION("""COMPUTED_VALUE"""),45923.66364583333)</f>
        <v>45923.66365</v>
      </c>
      <c r="D89" s="3">
        <f>IFERROR(__xludf.DUMMYFUNCTION("""COMPUTED_VALUE"""),1.758642939E9)</f>
        <v>1758642939</v>
      </c>
      <c r="E89" s="11" t="str">
        <f>IFERROR(__xludf.DUMMYFUNCTION("""COMPUTED_VALUE"""),"https://x.com/LaTardeCOPE/status/1970517428099506408")</f>
        <v>https://x.com/LaTardeCOPE/status/1970517428099506408</v>
      </c>
      <c r="F89" s="3" t="str">
        <f>IFERROR(__xludf.DUMMYFUNCTION("""COMPUTED_VALUE"""),"🎧Alberto Soler, psicólogo: “Un adulto con TDAH trabaja rápido y se equivoca con frecuencia” 👇 https://t.co/uKwt4SNw6x")</f>
        <v>🎧Alberto Soler, psicólogo: “Un adulto con TDAH trabaja rápido y se equivoca con frecuencia” 👇 https://t.co/uKwt4SNw6x</v>
      </c>
      <c r="G89" s="3" t="str">
        <f>IFERROR(__xludf.DUMMYFUNCTION("""COMPUTED_VALUE"""),"LaTardeCOPE")</f>
        <v>LaTardeCOPE</v>
      </c>
      <c r="H89" s="3" t="str">
        <f>IFERROR(__xludf.DUMMYFUNCTION("""COMPUTED_VALUE"""),"La Tarde COPE")</f>
        <v>La Tarde COPE</v>
      </c>
      <c r="I89" s="3" t="str">
        <f>IFERROR(__xludf.DUMMYFUNCTION("""COMPUTED_VALUE"""),"755692362890903552")</f>
        <v>755692362890903552</v>
      </c>
      <c r="J89" s="11" t="str">
        <f>IFERROR(__xludf.DUMMYFUNCTION("""COMPUTED_VALUE"""),"https://pbs.twimg.com/profile_images/1710312105088335872/Q9lwGVLI_normal.jpg")</f>
        <v>https://pbs.twimg.com/profile_images/1710312105088335872/Q9lwGVLI_normal.jpg</v>
      </c>
      <c r="K89" s="11" t="str">
        <f>IFERROR(__xludf.DUMMYFUNCTION("""COMPUTED_VALUE"""),"https://pbs.twimg.com/profile_banners/755692362890903552/1725258866")</f>
        <v>https://pbs.twimg.com/profile_banners/755692362890903552/1725258866</v>
      </c>
      <c r="L89" s="3" t="b">
        <f>IFERROR(__xludf.DUMMYFUNCTION("""COMPUTED_VALUE"""),FALSE)</f>
        <v>0</v>
      </c>
      <c r="M89" s="3" t="str">
        <f>IFERROR(__xludf.DUMMYFUNCTION("""COMPUTED_VALUE"""),"App X connect 25 s")</f>
        <v>App X connect 25 s</v>
      </c>
      <c r="N89" s="3" t="str">
        <f>IFERROR(__xludf.DUMMYFUNCTION("""COMPUTED_VALUE"""),"es")</f>
        <v>es</v>
      </c>
      <c r="O89" s="3" t="str">
        <f>IFERROR(__xludf.DUMMYFUNCTION("""COMPUTED_VALUE"""),"no")</f>
        <v>no</v>
      </c>
      <c r="P89" s="3">
        <f>IFERROR(__xludf.DUMMYFUNCTION("""COMPUTED_VALUE"""),0.0)</f>
        <v>0</v>
      </c>
      <c r="Q89" s="3">
        <f>IFERROR(__xludf.DUMMYFUNCTION("""COMPUTED_VALUE"""),0.0)</f>
        <v>0</v>
      </c>
      <c r="R89" s="3">
        <f>IFERROR(__xludf.DUMMYFUNCTION("""COMPUTED_VALUE"""),1.0)</f>
        <v>1</v>
      </c>
      <c r="S89" s="3">
        <f>IFERROR(__xludf.DUMMYFUNCTION("""COMPUTED_VALUE"""),0.0)</f>
        <v>0</v>
      </c>
      <c r="T89" s="3">
        <f>IFERROR(__xludf.DUMMYFUNCTION("""COMPUTED_VALUE"""),48.0)</f>
        <v>48</v>
      </c>
      <c r="U89" s="3" t="str">
        <f>IFERROR(__xludf.DUMMYFUNCTION("""COMPUTED_VALUE"""),"no")</f>
        <v>no</v>
      </c>
      <c r="V89" s="3"/>
      <c r="W89" s="3" t="str">
        <f>IFERROR(__xludf.DUMMYFUNCTION("""COMPUTED_VALUE"""),"no")</f>
        <v>no</v>
      </c>
      <c r="X89" s="3"/>
      <c r="Y89" s="3"/>
      <c r="Z89" s="3"/>
      <c r="AA89" s="3"/>
      <c r="AB89" s="3"/>
      <c r="AC89" s="3" t="str">
        <f>IFERROR(__xludf.DUMMYFUNCTION("""COMPUTED_VALUE"""),"no")</f>
        <v>no</v>
      </c>
      <c r="AD89" s="3" t="str">
        <f>IFERROR(__xludf.DUMMYFUNCTION("""COMPUTED_VALUE"""),"no")</f>
        <v>no</v>
      </c>
      <c r="AE89" s="3"/>
      <c r="AF89" s="3" t="str">
        <f>IFERROR(__xludf.DUMMYFUNCTION("""COMPUTED_VALUE"""),"no")</f>
        <v>no</v>
      </c>
      <c r="AG89" s="3"/>
    </row>
    <row r="90">
      <c r="A90" s="3" t="str">
        <f>IFERROR(__xludf.DUMMYFUNCTION("""COMPUTED_VALUE"""),"1974672399036727526")</f>
        <v>1974672399036727526</v>
      </c>
      <c r="B90" s="3" t="str">
        <f>IFERROR(__xludf.DUMMYFUNCTION("""COMPUTED_VALUE"""),"1974672399036727526")</f>
        <v>1974672399036727526</v>
      </c>
      <c r="C90" s="10">
        <f>IFERROR(__xludf.DUMMYFUNCTION("""COMPUTED_VALUE"""),45935.12918981481)</f>
        <v>45935.12919</v>
      </c>
      <c r="D90" s="3">
        <f>IFERROR(__xludf.DUMMYFUNCTION("""COMPUTED_VALUE"""),1.759633562E9)</f>
        <v>1759633562</v>
      </c>
      <c r="E90" s="11" t="str">
        <f>IFERROR(__xludf.DUMMYFUNCTION("""COMPUTED_VALUE"""),"https://x.com/manucaralho_/status/1974672399036727526")</f>
        <v>https://x.com/manucaralho_/status/1974672399036727526</v>
      </c>
      <c r="F90" s="3" t="str">
        <f>IFERROR(__xludf.DUMMYFUNCTION("""COMPUTED_VALUE"""),"Véi, tô lendo o livro vencendo o TDAH adulto do Barkley e tipo, é muito tenso ter uma dimensão real e visual dos problemas causados pelos sintomas
Ao mesmo tempo, dá uma esperança poder montar as estratégias necessárias tendo o cenário completo disponível"&amp;" para ser analisado")</f>
        <v>Véi, tô lendo o livro vencendo o TDAH adulto do Barkley e tipo, é muito tenso ter uma dimensão real e visual dos problemas causados pelos sintomas
Ao mesmo tempo, dá uma esperança poder montar as estratégias necessárias tendo o cenário completo disponível para ser analisado</v>
      </c>
      <c r="G90" s="3" t="str">
        <f>IFERROR(__xludf.DUMMYFUNCTION("""COMPUTED_VALUE"""),"manucaralho_")</f>
        <v>manucaralho_</v>
      </c>
      <c r="H90" s="3" t="str">
        <f>IFERROR(__xludf.DUMMYFUNCTION("""COMPUTED_VALUE"""),"Emanuel Querelhown (ele/dele)")</f>
        <v>Emanuel Querelhown (ele/dele)</v>
      </c>
      <c r="I90" s="3" t="str">
        <f>IFERROR(__xludf.DUMMYFUNCTION("""COMPUTED_VALUE"""),"1656851066825191424")</f>
        <v>1656851066825191424</v>
      </c>
      <c r="J90" s="11" t="str">
        <f>IFERROR(__xludf.DUMMYFUNCTION("""COMPUTED_VALUE"""),"https://pbs.twimg.com/profile_images/1962524049155756033/I-slbMrx_normal.jpg")</f>
        <v>https://pbs.twimg.com/profile_images/1962524049155756033/I-slbMrx_normal.jpg</v>
      </c>
      <c r="K90" s="11" t="str">
        <f>IFERROR(__xludf.DUMMYFUNCTION("""COMPUTED_VALUE"""),"https://pbs.twimg.com/profile_banners/1656851066825191424/1698518585")</f>
        <v>https://pbs.twimg.com/profile_banners/1656851066825191424/1698518585</v>
      </c>
      <c r="L90" s="3" t="b">
        <f>IFERROR(__xludf.DUMMYFUNCTION("""COMPUTED_VALUE"""),FALSE)</f>
        <v>0</v>
      </c>
      <c r="M90" s="3" t="str">
        <f>IFERROR(__xludf.DUMMYFUNCTION("""COMPUTED_VALUE"""),"Twitter for Android")</f>
        <v>Twitter for Android</v>
      </c>
      <c r="N90" s="3" t="str">
        <f>IFERROR(__xludf.DUMMYFUNCTION("""COMPUTED_VALUE"""),"pt")</f>
        <v>pt</v>
      </c>
      <c r="O90" s="3" t="str">
        <f>IFERROR(__xludf.DUMMYFUNCTION("""COMPUTED_VALUE"""),"no")</f>
        <v>no</v>
      </c>
      <c r="P90" s="3">
        <f>IFERROR(__xludf.DUMMYFUNCTION("""COMPUTED_VALUE"""),0.0)</f>
        <v>0</v>
      </c>
      <c r="Q90" s="3">
        <f>IFERROR(__xludf.DUMMYFUNCTION("""COMPUTED_VALUE"""),0.0)</f>
        <v>0</v>
      </c>
      <c r="R90" s="3">
        <f>IFERROR(__xludf.DUMMYFUNCTION("""COMPUTED_VALUE"""),0.0)</f>
        <v>0</v>
      </c>
      <c r="S90" s="3">
        <f>IFERROR(__xludf.DUMMYFUNCTION("""COMPUTED_VALUE"""),0.0)</f>
        <v>0</v>
      </c>
      <c r="T90" s="3">
        <f>IFERROR(__xludf.DUMMYFUNCTION("""COMPUTED_VALUE"""),19.0)</f>
        <v>19</v>
      </c>
      <c r="U90" s="3" t="str">
        <f>IFERROR(__xludf.DUMMYFUNCTION("""COMPUTED_VALUE"""),"no")</f>
        <v>no</v>
      </c>
      <c r="V90" s="3"/>
      <c r="W90" s="3" t="str">
        <f>IFERROR(__xludf.DUMMYFUNCTION("""COMPUTED_VALUE"""),"no")</f>
        <v>no</v>
      </c>
      <c r="X90" s="3"/>
      <c r="Y90" s="3"/>
      <c r="Z90" s="3"/>
      <c r="AA90" s="3"/>
      <c r="AB90" s="3"/>
      <c r="AC90" s="3" t="str">
        <f>IFERROR(__xludf.DUMMYFUNCTION("""COMPUTED_VALUE"""),"no")</f>
        <v>no</v>
      </c>
      <c r="AD90" s="3" t="str">
        <f>IFERROR(__xludf.DUMMYFUNCTION("""COMPUTED_VALUE"""),"no")</f>
        <v>no</v>
      </c>
      <c r="AE90" s="3"/>
      <c r="AF90" s="3" t="str">
        <f>IFERROR(__xludf.DUMMYFUNCTION("""COMPUTED_VALUE"""),"no")</f>
        <v>no</v>
      </c>
      <c r="AG90" s="3"/>
    </row>
    <row r="91" hidden="1">
      <c r="A91" s="3" t="str">
        <f>IFERROR(__xludf.DUMMYFUNCTION("""COMPUTED_VALUE"""),"1988205407278698602")</f>
        <v>1988205407278698602</v>
      </c>
      <c r="B91" s="3" t="str">
        <f>IFERROR(__xludf.DUMMYFUNCTION("""COMPUTED_VALUE"""),"1988181930656047289")</f>
        <v>1988181930656047289</v>
      </c>
      <c r="C91" s="10">
        <f>IFERROR(__xludf.DUMMYFUNCTION("""COMPUTED_VALUE"""),45972.4731712963)</f>
        <v>45972.47317</v>
      </c>
      <c r="D91" s="3">
        <f>IFERROR(__xludf.DUMMYFUNCTION("""COMPUTED_VALUE"""),1.762860082E9)</f>
        <v>1762860082</v>
      </c>
      <c r="E91" s="11" t="str">
        <f>IFERROR(__xludf.DUMMYFUNCTION("""COMPUTED_VALUE"""),"https://x.com/thotrrente/status/1988205407278698602")</f>
        <v>https://x.com/thotrrente/status/1988205407278698602</v>
      </c>
      <c r="F91" s="3" t="str">
        <f>IFERROR(__xludf.DUMMYFUNCTION("""COMPUTED_VALUE"""),"@aycarallo Es un caso muy común el doble diagnóstico, de AACC y TEA, la cosa esk hay una línea muy fina entre cierto tipo de TDAH y algunos niveles bajos de TEA. De hecho cuando eres adulto el TDAH puede derivar en TEA etc...
Pero vaya que ser AACC no dic"&amp;"e nada, lo cosa es como")</f>
        <v>@aycarallo Es un caso muy común el doble diagnóstico, de AACC y TEA, la cosa esk hay una línea muy fina entre cierto tipo de TDAH y algunos niveles bajos de TEA. De hecho cuando eres adulto el TDAH puede derivar en TEA etc...
Pero vaya que ser AACC no dice nada, lo cosa es como</v>
      </c>
      <c r="G91" s="3" t="str">
        <f>IFERROR(__xludf.DUMMYFUNCTION("""COMPUTED_VALUE"""),"thotrrente")</f>
        <v>thotrrente</v>
      </c>
      <c r="H91" s="3" t="str">
        <f>IFERROR(__xludf.DUMMYFUNCTION("""COMPUTED_VALUE"""),"pelaio")</f>
        <v>pelaio</v>
      </c>
      <c r="I91" s="3" t="str">
        <f>IFERROR(__xludf.DUMMYFUNCTION("""COMPUTED_VALUE"""),"1251470930582347776")</f>
        <v>1251470930582347776</v>
      </c>
      <c r="J91" s="11" t="str">
        <f>IFERROR(__xludf.DUMMYFUNCTION("""COMPUTED_VALUE"""),"https://pbs.twimg.com/profile_images/1928151717985554432/WW5rzUxb_normal.jpg")</f>
        <v>https://pbs.twimg.com/profile_images/1928151717985554432/WW5rzUxb_normal.jpg</v>
      </c>
      <c r="K91" s="11" t="str">
        <f>IFERROR(__xludf.DUMMYFUNCTION("""COMPUTED_VALUE"""),"https://pbs.twimg.com/profile_banners/1251470930582347776/1757894583")</f>
        <v>https://pbs.twimg.com/profile_banners/1251470930582347776/1757894583</v>
      </c>
      <c r="L91" s="3" t="b">
        <f>IFERROR(__xludf.DUMMYFUNCTION("""COMPUTED_VALUE"""),FALSE)</f>
        <v>0</v>
      </c>
      <c r="M91" s="3" t="str">
        <f>IFERROR(__xludf.DUMMYFUNCTION("""COMPUTED_VALUE"""),"Twitter Web App")</f>
        <v>Twitter Web App</v>
      </c>
      <c r="N91" s="3" t="str">
        <f>IFERROR(__xludf.DUMMYFUNCTION("""COMPUTED_VALUE"""),"es")</f>
        <v>es</v>
      </c>
      <c r="O91" s="3" t="str">
        <f>IFERROR(__xludf.DUMMYFUNCTION("""COMPUTED_VALUE"""),"no")</f>
        <v>no</v>
      </c>
      <c r="P91" s="3">
        <f>IFERROR(__xludf.DUMMYFUNCTION("""COMPUTED_VALUE"""),0.0)</f>
        <v>0</v>
      </c>
      <c r="Q91" s="3">
        <f>IFERROR(__xludf.DUMMYFUNCTION("""COMPUTED_VALUE"""),1.0)</f>
        <v>1</v>
      </c>
      <c r="R91" s="3">
        <f>IFERROR(__xludf.DUMMYFUNCTION("""COMPUTED_VALUE"""),2.0)</f>
        <v>2</v>
      </c>
      <c r="S91" s="3">
        <f>IFERROR(__xludf.DUMMYFUNCTION("""COMPUTED_VALUE"""),0.0)</f>
        <v>0</v>
      </c>
      <c r="T91" s="3">
        <f>IFERROR(__xludf.DUMMYFUNCTION("""COMPUTED_VALUE"""),512.0)</f>
        <v>512</v>
      </c>
      <c r="U91" s="3" t="str">
        <f>IFERROR(__xludf.DUMMYFUNCTION("""COMPUTED_VALUE"""),"no")</f>
        <v>no</v>
      </c>
      <c r="V91" s="3"/>
      <c r="W91" s="3" t="str">
        <f>IFERROR(__xludf.DUMMYFUNCTION("""COMPUTED_VALUE"""),"no")</f>
        <v>no</v>
      </c>
      <c r="X91" s="3"/>
      <c r="Y91" s="3"/>
      <c r="Z91" s="3"/>
      <c r="AA91" s="3"/>
      <c r="AB91" s="3"/>
      <c r="AC91" s="3" t="str">
        <f>IFERROR(__xludf.DUMMYFUNCTION("""COMPUTED_VALUE"""),"no")</f>
        <v>no</v>
      </c>
      <c r="AD91" s="3" t="str">
        <f>IFERROR(__xludf.DUMMYFUNCTION("""COMPUTED_VALUE"""),"yes")</f>
        <v>yes</v>
      </c>
      <c r="AE91" s="3" t="str">
        <f>IFERROR(__xludf.DUMMYFUNCTION("""COMPUTED_VALUE"""),"aycarallo")</f>
        <v>aycarallo</v>
      </c>
      <c r="AF91" s="3" t="str">
        <f>IFERROR(__xludf.DUMMYFUNCTION("""COMPUTED_VALUE"""),"no")</f>
        <v>no</v>
      </c>
      <c r="AG91" s="3"/>
    </row>
    <row r="92">
      <c r="A92" s="3" t="str">
        <f>IFERROR(__xludf.DUMMYFUNCTION("""COMPUTED_VALUE"""),"1928494140603478224")</f>
        <v>1928494140603478224</v>
      </c>
      <c r="B92" s="3" t="str">
        <f>IFERROR(__xludf.DUMMYFUNCTION("""COMPUTED_VALUE"""),"1928494140603478224")</f>
        <v>1928494140603478224</v>
      </c>
      <c r="C92" s="10">
        <f>IFERROR(__xludf.DUMMYFUNCTION("""COMPUTED_VALUE"""),45807.701469907406)</f>
        <v>45807.70147</v>
      </c>
      <c r="D92" s="3">
        <f>IFERROR(__xludf.DUMMYFUNCTION("""COMPUTED_VALUE"""),1.748623807E9)</f>
        <v>1748623807</v>
      </c>
      <c r="E92" s="11" t="str">
        <f>IFERROR(__xludf.DUMMYFUNCTION("""COMPUTED_VALUE"""),"https://x.com/pedregulhando/status/1928494140603478224")</f>
        <v>https://x.com/pedregulhando/status/1928494140603478224</v>
      </c>
      <c r="F92" s="3" t="str">
        <f>IFERROR(__xludf.DUMMYFUNCTION("""COMPUTED_VALUE"""),"99% da galera que usa tdah como desculpa pra não ser um adulto funcional não tem diagnostico. Fui diagnosticado na era jurássica e nunca tive esses problemas de coitado")</f>
        <v>99% da galera que usa tdah como desculpa pra não ser um adulto funcional não tem diagnostico. Fui diagnosticado na era jurássica e nunca tive esses problemas de coitado</v>
      </c>
      <c r="G92" s="3" t="str">
        <f>IFERROR(__xludf.DUMMYFUNCTION("""COMPUTED_VALUE"""),"pedregulhando")</f>
        <v>pedregulhando</v>
      </c>
      <c r="H92" s="3" t="str">
        <f>IFERROR(__xludf.DUMMYFUNCTION("""COMPUTED_VALUE"""),"predo")</f>
        <v>predo</v>
      </c>
      <c r="I92" s="3">
        <f>IFERROR(__xludf.DUMMYFUNCTION("""COMPUTED_VALUE"""),1.525686386E9)</f>
        <v>1525686386</v>
      </c>
      <c r="J92" s="11" t="str">
        <f>IFERROR(__xludf.DUMMYFUNCTION("""COMPUTED_VALUE"""),"https://pbs.twimg.com/profile_images/1978174835738968064/l1gH_1Zd_normal.jpg")</f>
        <v>https://pbs.twimg.com/profile_images/1978174835738968064/l1gH_1Zd_normal.jpg</v>
      </c>
      <c r="K92" s="11" t="str">
        <f>IFERROR(__xludf.DUMMYFUNCTION("""COMPUTED_VALUE"""),"https://pbs.twimg.com/profile_banners/1525686386/1758671310")</f>
        <v>https://pbs.twimg.com/profile_banners/1525686386/1758671310</v>
      </c>
      <c r="L92" s="3" t="b">
        <f>IFERROR(__xludf.DUMMYFUNCTION("""COMPUTED_VALUE"""),FALSE)</f>
        <v>0</v>
      </c>
      <c r="M92" s="3" t="str">
        <f>IFERROR(__xludf.DUMMYFUNCTION("""COMPUTED_VALUE"""),"Twitter for Android")</f>
        <v>Twitter for Android</v>
      </c>
      <c r="N92" s="3" t="str">
        <f>IFERROR(__xludf.DUMMYFUNCTION("""COMPUTED_VALUE"""),"pt")</f>
        <v>pt</v>
      </c>
      <c r="O92" s="3" t="str">
        <f>IFERROR(__xludf.DUMMYFUNCTION("""COMPUTED_VALUE"""),"no")</f>
        <v>no</v>
      </c>
      <c r="P92" s="3">
        <f>IFERROR(__xludf.DUMMYFUNCTION("""COMPUTED_VALUE"""),0.0)</f>
        <v>0</v>
      </c>
      <c r="Q92" s="3">
        <f>IFERROR(__xludf.DUMMYFUNCTION("""COMPUTED_VALUE"""),0.0)</f>
        <v>0</v>
      </c>
      <c r="R92" s="3">
        <f>IFERROR(__xludf.DUMMYFUNCTION("""COMPUTED_VALUE"""),6.0)</f>
        <v>6</v>
      </c>
      <c r="S92" s="3">
        <f>IFERROR(__xludf.DUMMYFUNCTION("""COMPUTED_VALUE"""),0.0)</f>
        <v>0</v>
      </c>
      <c r="T92" s="3">
        <f>IFERROR(__xludf.DUMMYFUNCTION("""COMPUTED_VALUE"""),327.0)</f>
        <v>327</v>
      </c>
      <c r="U92" s="3" t="str">
        <f>IFERROR(__xludf.DUMMYFUNCTION("""COMPUTED_VALUE"""),"no")</f>
        <v>no</v>
      </c>
      <c r="V92" s="3"/>
      <c r="W92" s="3" t="str">
        <f>IFERROR(__xludf.DUMMYFUNCTION("""COMPUTED_VALUE"""),"yes")</f>
        <v>yes</v>
      </c>
      <c r="X92" s="3" t="str">
        <f>IFERROR(__xludf.DUMMYFUNCTION("""COMPUTED_VALUE"""),"1927913296889270662")</f>
        <v>1927913296889270662</v>
      </c>
      <c r="Y92" s="3" t="str">
        <f>IFERROR(__xludf.DUMMYFUNCTION("""COMPUTED_VALUE"""),"xequemateuai")</f>
        <v>xequemateuai</v>
      </c>
      <c r="Z92" s="3" t="str">
        <f>IFERROR(__xludf.DUMMYFUNCTION("""COMPUTED_VALUE"""),"gente vcs não conseguem fazer nada pqp em https://t.co/uLWhLSX2U2")</f>
        <v>gente vcs não conseguem fazer nada pqp em https://t.co/uLWhLSX2U2</v>
      </c>
      <c r="AA92" s="11" t="str">
        <f>IFERROR(__xludf.DUMMYFUNCTION("""COMPUTED_VALUE"""),"https://pbs.twimg.com/media/GsFS7FuWAAAp-3a.jpg")</f>
        <v>https://pbs.twimg.com/media/GsFS7FuWAAAp-3a.jpg</v>
      </c>
      <c r="AB92" s="3"/>
      <c r="AC92" s="3" t="str">
        <f>IFERROR(__xludf.DUMMYFUNCTION("""COMPUTED_VALUE"""),"no")</f>
        <v>no</v>
      </c>
      <c r="AD92" s="3" t="str">
        <f>IFERROR(__xludf.DUMMYFUNCTION("""COMPUTED_VALUE"""),"no")</f>
        <v>no</v>
      </c>
      <c r="AE92" s="3"/>
      <c r="AF92" s="3" t="str">
        <f>IFERROR(__xludf.DUMMYFUNCTION("""COMPUTED_VALUE"""),"no")</f>
        <v>no</v>
      </c>
      <c r="AG92" s="3"/>
    </row>
    <row r="93" hidden="1">
      <c r="A93" s="3" t="str">
        <f>IFERROR(__xludf.DUMMYFUNCTION("""COMPUTED_VALUE"""),"1970517419505353080")</f>
        <v>1970517419505353080</v>
      </c>
      <c r="B93" s="3" t="str">
        <f>IFERROR(__xludf.DUMMYFUNCTION("""COMPUTED_VALUE"""),"1970517419505353080")</f>
        <v>1970517419505353080</v>
      </c>
      <c r="C93" s="10">
        <f>IFERROR(__xludf.DUMMYFUNCTION("""COMPUTED_VALUE"""),45923.663622685184)</f>
        <v>45923.66362</v>
      </c>
      <c r="D93" s="3">
        <f>IFERROR(__xludf.DUMMYFUNCTION("""COMPUTED_VALUE"""),1.758642937E9)</f>
        <v>1758642937</v>
      </c>
      <c r="E93" s="11" t="str">
        <f>IFERROR(__xludf.DUMMYFUNCTION("""COMPUTED_VALUE"""),"https://x.com/COPE/status/1970517419505353080")</f>
        <v>https://x.com/COPE/status/1970517419505353080</v>
      </c>
      <c r="F93" s="3" t="str">
        <f>IFERROR(__xludf.DUMMYFUNCTION("""COMPUTED_VALUE"""),"🎧Alberto Soler, psicólogo: “Un adulto con TDAH trabaja rápido y se equivoca con frecuencia” 👇 https://t.co/xPeTSJPCw4")</f>
        <v>🎧Alberto Soler, psicólogo: “Un adulto con TDAH trabaja rápido y se equivoca con frecuencia” 👇 https://t.co/xPeTSJPCw4</v>
      </c>
      <c r="G93" s="3" t="str">
        <f>IFERROR(__xludf.DUMMYFUNCTION("""COMPUTED_VALUE"""),"COPE")</f>
        <v>COPE</v>
      </c>
      <c r="H93" s="3" t="str">
        <f>IFERROR(__xludf.DUMMYFUNCTION("""COMPUTED_VALUE"""),"COPE")</f>
        <v>COPE</v>
      </c>
      <c r="I93" s="3">
        <f>IFERROR(__xludf.DUMMYFUNCTION("""COMPUTED_VALUE"""),9706822.0)</f>
        <v>9706822</v>
      </c>
      <c r="J93" s="11" t="str">
        <f>IFERROR(__xludf.DUMMYFUNCTION("""COMPUTED_VALUE"""),"https://pbs.twimg.com/profile_images/1713945389668155392/9yDD807W_normal.jpg")</f>
        <v>https://pbs.twimg.com/profile_images/1713945389668155392/9yDD807W_normal.jpg</v>
      </c>
      <c r="K93" s="11" t="str">
        <f>IFERROR(__xludf.DUMMYFUNCTION("""COMPUTED_VALUE"""),"https://pbs.twimg.com/profile_banners/9706822/1636029051")</f>
        <v>https://pbs.twimg.com/profile_banners/9706822/1636029051</v>
      </c>
      <c r="L93" s="3" t="b">
        <f>IFERROR(__xludf.DUMMYFUNCTION("""COMPUTED_VALUE"""),TRUE)</f>
        <v>1</v>
      </c>
      <c r="M93" s="3" t="str">
        <f>IFERROR(__xludf.DUMMYFUNCTION("""COMPUTED_VALUE"""),"App X connect 25 s")</f>
        <v>App X connect 25 s</v>
      </c>
      <c r="N93" s="3" t="str">
        <f>IFERROR(__xludf.DUMMYFUNCTION("""COMPUTED_VALUE"""),"es")</f>
        <v>es</v>
      </c>
      <c r="O93" s="3" t="str">
        <f>IFERROR(__xludf.DUMMYFUNCTION("""COMPUTED_VALUE"""),"no")</f>
        <v>no</v>
      </c>
      <c r="P93" s="3">
        <f>IFERROR(__xludf.DUMMYFUNCTION("""COMPUTED_VALUE"""),0.0)</f>
        <v>0</v>
      </c>
      <c r="Q93" s="3">
        <f>IFERROR(__xludf.DUMMYFUNCTION("""COMPUTED_VALUE"""),0.0)</f>
        <v>0</v>
      </c>
      <c r="R93" s="3">
        <f>IFERROR(__xludf.DUMMYFUNCTION("""COMPUTED_VALUE"""),2.0)</f>
        <v>2</v>
      </c>
      <c r="S93" s="3">
        <f>IFERROR(__xludf.DUMMYFUNCTION("""COMPUTED_VALUE"""),0.0)</f>
        <v>0</v>
      </c>
      <c r="T93" s="3">
        <f>IFERROR(__xludf.DUMMYFUNCTION("""COMPUTED_VALUE"""),1639.0)</f>
        <v>1639</v>
      </c>
      <c r="U93" s="3" t="str">
        <f>IFERROR(__xludf.DUMMYFUNCTION("""COMPUTED_VALUE"""),"no")</f>
        <v>no</v>
      </c>
      <c r="V93" s="3"/>
      <c r="W93" s="3" t="str">
        <f>IFERROR(__xludf.DUMMYFUNCTION("""COMPUTED_VALUE"""),"no")</f>
        <v>no</v>
      </c>
      <c r="X93" s="3"/>
      <c r="Y93" s="3"/>
      <c r="Z93" s="3"/>
      <c r="AA93" s="3"/>
      <c r="AB93" s="3"/>
      <c r="AC93" s="3" t="str">
        <f>IFERROR(__xludf.DUMMYFUNCTION("""COMPUTED_VALUE"""),"no")</f>
        <v>no</v>
      </c>
      <c r="AD93" s="3" t="str">
        <f>IFERROR(__xludf.DUMMYFUNCTION("""COMPUTED_VALUE"""),"no")</f>
        <v>no</v>
      </c>
      <c r="AE93" s="3"/>
      <c r="AF93" s="3" t="str">
        <f>IFERROR(__xludf.DUMMYFUNCTION("""COMPUTED_VALUE"""),"no")</f>
        <v>no</v>
      </c>
      <c r="AG93" s="3"/>
    </row>
    <row r="94" hidden="1">
      <c r="A94" s="3" t="str">
        <f>IFERROR(__xludf.DUMMYFUNCTION("""COMPUTED_VALUE"""),"1977071769400848784")</f>
        <v>1977071769400848784</v>
      </c>
      <c r="B94" s="3" t="str">
        <f>IFERROR(__xludf.DUMMYFUNCTION("""COMPUTED_VALUE"""),"1977071769400848784")</f>
        <v>1977071769400848784</v>
      </c>
      <c r="C94" s="10">
        <f>IFERROR(__xludf.DUMMYFUNCTION("""COMPUTED_VALUE"""),45941.750185185185)</f>
        <v>45941.75019</v>
      </c>
      <c r="D94" s="3">
        <f>IFERROR(__xludf.DUMMYFUNCTION("""COMPUTED_VALUE"""),1.760205616E9)</f>
        <v>1760205616</v>
      </c>
      <c r="E94" s="11" t="str">
        <f>IFERROR(__xludf.DUMMYFUNCTION("""COMPUTED_VALUE"""),"https://x.com/logopedico/status/1977071769400848784")</f>
        <v>https://x.com/logopedico/status/1977071769400848784</v>
      </c>
      <c r="F94" s="3" t="str">
        <f>IFERROR(__xludf.DUMMYFUNCTION("""COMPUTED_VALUE"""),"¿Eres tú, soy yo o es el TDAH adulto? Cómo parar la montaña rusa cuando tu pareja tiene un trastorno por déficit de atención.
 Este libro describe el TDAH en detalle y ayuda a las parejas con este reto adicional a encontrar esperanza y soluciones.
https:/"&amp;"/t.co/xWiieTF6ie https://t.co/Dt97PypGuV")</f>
        <v>¿Eres tú, soy yo o es el TDAH adulto? Cómo parar la montaña rusa cuando tu pareja tiene un trastorno por déficit de atención.
 Este libro describe el TDAH en detalle y ayuda a las parejas con este reto adicional a encontrar esperanza y soluciones.
https://t.co/xWiieTF6ie https://t.co/Dt97PypGuV</v>
      </c>
      <c r="G94" s="3" t="str">
        <f>IFERROR(__xludf.DUMMYFUNCTION("""COMPUTED_VALUE"""),"logopedico")</f>
        <v>logopedico</v>
      </c>
      <c r="H94" s="3" t="str">
        <f>IFERROR(__xludf.DUMMYFUNCTION("""COMPUTED_VALUE"""),"Espacio Logopédico")</f>
        <v>Espacio Logopédico</v>
      </c>
      <c r="I94" s="3">
        <f>IFERROR(__xludf.DUMMYFUNCTION("""COMPUTED_VALUE"""),3.1093614E7)</f>
        <v>31093614</v>
      </c>
      <c r="J94" s="11" t="str">
        <f>IFERROR(__xludf.DUMMYFUNCTION("""COMPUTED_VALUE"""),"https://pbs.twimg.com/profile_images/466500995346755584/Fyhu8cAd_normal.png")</f>
        <v>https://pbs.twimg.com/profile_images/466500995346755584/Fyhu8cAd_normal.png</v>
      </c>
      <c r="K94" s="11" t="str">
        <f>IFERROR(__xludf.DUMMYFUNCTION("""COMPUTED_VALUE"""),"https://pbs.twimg.com/profile_banners/31093614/1400058512")</f>
        <v>https://pbs.twimg.com/profile_banners/31093614/1400058512</v>
      </c>
      <c r="L94" s="3" t="b">
        <f>IFERROR(__xludf.DUMMYFUNCTION("""COMPUTED_VALUE"""),FALSE)</f>
        <v>0</v>
      </c>
      <c r="M94" s="3" t="str">
        <f>IFERROR(__xludf.DUMMYFUNCTION("""COMPUTED_VALUE"""),"Buffer")</f>
        <v>Buffer</v>
      </c>
      <c r="N94" s="3" t="str">
        <f>IFERROR(__xludf.DUMMYFUNCTION("""COMPUTED_VALUE"""),"es")</f>
        <v>es</v>
      </c>
      <c r="O94" s="3" t="str">
        <f>IFERROR(__xludf.DUMMYFUNCTION("""COMPUTED_VALUE"""),"no")</f>
        <v>no</v>
      </c>
      <c r="P94" s="3">
        <f>IFERROR(__xludf.DUMMYFUNCTION("""COMPUTED_VALUE"""),0.0)</f>
        <v>0</v>
      </c>
      <c r="Q94" s="3">
        <f>IFERROR(__xludf.DUMMYFUNCTION("""COMPUTED_VALUE"""),0.0)</f>
        <v>0</v>
      </c>
      <c r="R94" s="3">
        <f>IFERROR(__xludf.DUMMYFUNCTION("""COMPUTED_VALUE"""),0.0)</f>
        <v>0</v>
      </c>
      <c r="S94" s="3">
        <f>IFERROR(__xludf.DUMMYFUNCTION("""COMPUTED_VALUE"""),0.0)</f>
        <v>0</v>
      </c>
      <c r="T94" s="3">
        <f>IFERROR(__xludf.DUMMYFUNCTION("""COMPUTED_VALUE"""),41.0)</f>
        <v>41</v>
      </c>
      <c r="U94" s="3" t="str">
        <f>IFERROR(__xludf.DUMMYFUNCTION("""COMPUTED_VALUE"""),"no")</f>
        <v>no</v>
      </c>
      <c r="V94" s="3"/>
      <c r="W94" s="3" t="str">
        <f>IFERROR(__xludf.DUMMYFUNCTION("""COMPUTED_VALUE"""),"no")</f>
        <v>no</v>
      </c>
      <c r="X94" s="3"/>
      <c r="Y94" s="3"/>
      <c r="Z94" s="3"/>
      <c r="AA94" s="3"/>
      <c r="AB94" s="3"/>
      <c r="AC94" s="3" t="str">
        <f>IFERROR(__xludf.DUMMYFUNCTION("""COMPUTED_VALUE"""),"no")</f>
        <v>no</v>
      </c>
      <c r="AD94" s="3" t="str">
        <f>IFERROR(__xludf.DUMMYFUNCTION("""COMPUTED_VALUE"""),"no")</f>
        <v>no</v>
      </c>
      <c r="AE94" s="3"/>
      <c r="AF94" s="3" t="str">
        <f>IFERROR(__xludf.DUMMYFUNCTION("""COMPUTED_VALUE"""),"no")</f>
        <v>no</v>
      </c>
      <c r="AG94" s="3"/>
    </row>
    <row r="95" hidden="1">
      <c r="A95" s="3" t="str">
        <f>IFERROR(__xludf.DUMMYFUNCTION("""COMPUTED_VALUE"""),"1966773849724514425")</f>
        <v>1966773849724514425</v>
      </c>
      <c r="B95" s="3" t="str">
        <f>IFERROR(__xludf.DUMMYFUNCTION("""COMPUTED_VALUE"""),"1966773849724514425")</f>
        <v>1966773849724514425</v>
      </c>
      <c r="C95" s="10">
        <f>IFERROR(__xludf.DUMMYFUNCTION("""COMPUTED_VALUE"""),45913.333344907405)</f>
        <v>45913.33334</v>
      </c>
      <c r="D95" s="3">
        <f>IFERROR(__xludf.DUMMYFUNCTION("""COMPUTED_VALUE"""),1.757750401E9)</f>
        <v>1757750401</v>
      </c>
      <c r="E95" s="11" t="str">
        <f>IFERROR(__xludf.DUMMYFUNCTION("""COMPUTED_VALUE"""),"https://x.com/penguinlibros/status/1966773849724514425")</f>
        <v>https://x.com/penguinlibros/status/1966773849724514425</v>
      </c>
      <c r="F95" s="3" t="str">
        <f>IFERROR(__xludf.DUMMYFUNCTION("""COMPUTED_VALUE"""),"¿Despistes, cambios de humor, caos constante, ansiedad o procrastinación? 👀
Puede que detrás haya un TDAH no diagnosticado.
En «TDAH en el adulto», la psiquiatra Juncal Sevilla explica con rigor y cercanía qué significa vivir con este trastorno en la e"&amp;"dad adulta. 📚✨ ¿Más https://t.co/eiFmmIB52X")</f>
        <v>¿Despistes, cambios de humor, caos constante, ansiedad o procrastinación? 👀
Puede que detrás haya un TDAH no diagnosticado.
En «TDAH en el adulto», la psiquiatra Juncal Sevilla explica con rigor y cercanía qué significa vivir con este trastorno en la edad adulta. 📚✨ ¿Más https://t.co/eiFmmIB52X</v>
      </c>
      <c r="G95" s="3" t="str">
        <f>IFERROR(__xludf.DUMMYFUNCTION("""COMPUTED_VALUE"""),"penguinlibros")</f>
        <v>penguinlibros</v>
      </c>
      <c r="H95" s="3" t="str">
        <f>IFERROR(__xludf.DUMMYFUNCTION("""COMPUTED_VALUE"""),"Penguin España 🐧📚")</f>
        <v>Penguin España 🐧📚</v>
      </c>
      <c r="I95" s="3">
        <f>IFERROR(__xludf.DUMMYFUNCTION("""COMPUTED_VALUE"""),1.5019391E7)</f>
        <v>15019391</v>
      </c>
      <c r="J95" s="11" t="str">
        <f>IFERROR(__xludf.DUMMYFUNCTION("""COMPUTED_VALUE"""),"https://pbs.twimg.com/profile_images/1775078100939718656/HH_-J0ib_normal.jpg")</f>
        <v>https://pbs.twimg.com/profile_images/1775078100939718656/HH_-J0ib_normal.jpg</v>
      </c>
      <c r="K95" s="11" t="str">
        <f>IFERROR(__xludf.DUMMYFUNCTION("""COMPUTED_VALUE"""),"https://pbs.twimg.com/profile_banners/15019391/1762786924")</f>
        <v>https://pbs.twimg.com/profile_banners/15019391/1762786924</v>
      </c>
      <c r="L95" s="3" t="b">
        <f>IFERROR(__xludf.DUMMYFUNCTION("""COMPUTED_VALUE"""),TRUE)</f>
        <v>1</v>
      </c>
      <c r="M95" s="3" t="str">
        <f>IFERROR(__xludf.DUMMYFUNCTION("""COMPUTED_VALUE"""),"Twitter Web Client")</f>
        <v>Twitter Web Client</v>
      </c>
      <c r="N95" s="3" t="str">
        <f>IFERROR(__xludf.DUMMYFUNCTION("""COMPUTED_VALUE"""),"es")</f>
        <v>es</v>
      </c>
      <c r="O95" s="3" t="str">
        <f>IFERROR(__xludf.DUMMYFUNCTION("""COMPUTED_VALUE"""),"no")</f>
        <v>no</v>
      </c>
      <c r="P95" s="3">
        <f>IFERROR(__xludf.DUMMYFUNCTION("""COMPUTED_VALUE"""),1.0)</f>
        <v>1</v>
      </c>
      <c r="Q95" s="3">
        <f>IFERROR(__xludf.DUMMYFUNCTION("""COMPUTED_VALUE"""),0.0)</f>
        <v>0</v>
      </c>
      <c r="R95" s="3">
        <f>IFERROR(__xludf.DUMMYFUNCTION("""COMPUTED_VALUE"""),2.0)</f>
        <v>2</v>
      </c>
      <c r="S95" s="3">
        <f>IFERROR(__xludf.DUMMYFUNCTION("""COMPUTED_VALUE"""),0.0)</f>
        <v>0</v>
      </c>
      <c r="T95" s="3">
        <f>IFERROR(__xludf.DUMMYFUNCTION("""COMPUTED_VALUE"""),1558.0)</f>
        <v>1558</v>
      </c>
      <c r="U95" s="3" t="str">
        <f>IFERROR(__xludf.DUMMYFUNCTION("""COMPUTED_VALUE"""),"no")</f>
        <v>no</v>
      </c>
      <c r="V95" s="3"/>
      <c r="W95" s="3" t="str">
        <f>IFERROR(__xludf.DUMMYFUNCTION("""COMPUTED_VALUE"""),"no")</f>
        <v>no</v>
      </c>
      <c r="X95" s="3"/>
      <c r="Y95" s="3"/>
      <c r="Z95" s="3"/>
      <c r="AA95" s="3"/>
      <c r="AB95" s="3"/>
      <c r="AC95" s="3" t="str">
        <f>IFERROR(__xludf.DUMMYFUNCTION("""COMPUTED_VALUE"""),"no")</f>
        <v>no</v>
      </c>
      <c r="AD95" s="3" t="str">
        <f>IFERROR(__xludf.DUMMYFUNCTION("""COMPUTED_VALUE"""),"no")</f>
        <v>no</v>
      </c>
      <c r="AE95" s="3"/>
      <c r="AF95" s="3" t="str">
        <f>IFERROR(__xludf.DUMMYFUNCTION("""COMPUTED_VALUE"""),"no")</f>
        <v>no</v>
      </c>
      <c r="AG95" s="3"/>
    </row>
    <row r="96" hidden="1">
      <c r="A96" s="3" t="str">
        <f>IFERROR(__xludf.DUMMYFUNCTION("""COMPUTED_VALUE"""),"1970517428724519289")</f>
        <v>1970517428724519289</v>
      </c>
      <c r="B96" s="3" t="str">
        <f>IFERROR(__xludf.DUMMYFUNCTION("""COMPUTED_VALUE"""),"1970517428724519289")</f>
        <v>1970517428724519289</v>
      </c>
      <c r="C96" s="10">
        <f>IFERROR(__xludf.DUMMYFUNCTION("""COMPUTED_VALUE"""),45923.66365740741)</f>
        <v>45923.66366</v>
      </c>
      <c r="D96" s="3">
        <f>IFERROR(__xludf.DUMMYFUNCTION("""COMPUTED_VALUE"""),1.75864294E9)</f>
        <v>1758642940</v>
      </c>
      <c r="E96" s="11" t="str">
        <f>IFERROR(__xludf.DUMMYFUNCTION("""COMPUTED_VALUE"""),"https://x.com/MediodiaCOPE/status/1970517428724519289")</f>
        <v>https://x.com/MediodiaCOPE/status/1970517428724519289</v>
      </c>
      <c r="F96" s="3" t="str">
        <f>IFERROR(__xludf.DUMMYFUNCTION("""COMPUTED_VALUE"""),"🎧Alberto Soler, psicólogo: “Un adulto con TDAH trabaja rápido y se equivoca con frecuencia” 👇 https://t.co/zzZNJZZbwI")</f>
        <v>🎧Alberto Soler, psicólogo: “Un adulto con TDAH trabaja rápido y se equivoca con frecuencia” 👇 https://t.co/zzZNJZZbwI</v>
      </c>
      <c r="G96" s="3" t="str">
        <f>IFERROR(__xludf.DUMMYFUNCTION("""COMPUTED_VALUE"""),"MediodiaCOPE")</f>
        <v>MediodiaCOPE</v>
      </c>
      <c r="H96" s="3" t="str">
        <f>IFERROR(__xludf.DUMMYFUNCTION("""COMPUTED_VALUE"""),"Mediodía COPE")</f>
        <v>Mediodía COPE</v>
      </c>
      <c r="I96" s="3" t="str">
        <f>IFERROR(__xludf.DUMMYFUNCTION("""COMPUTED_VALUE"""),"770557562471284736")</f>
        <v>770557562471284736</v>
      </c>
      <c r="J96" s="11" t="str">
        <f>IFERROR(__xludf.DUMMYFUNCTION("""COMPUTED_VALUE"""),"https://pbs.twimg.com/profile_images/1710311542959259648/UEUi7uFS_normal.jpg")</f>
        <v>https://pbs.twimg.com/profile_images/1710311542959259648/UEUi7uFS_normal.jpg</v>
      </c>
      <c r="K96" s="11" t="str">
        <f>IFERROR(__xludf.DUMMYFUNCTION("""COMPUTED_VALUE"""),"https://pbs.twimg.com/profile_banners/770557562471284736/1756131770")</f>
        <v>https://pbs.twimg.com/profile_banners/770557562471284736/1756131770</v>
      </c>
      <c r="L96" s="3" t="b">
        <f>IFERROR(__xludf.DUMMYFUNCTION("""COMPUTED_VALUE"""),FALSE)</f>
        <v>0</v>
      </c>
      <c r="M96" s="3" t="str">
        <f>IFERROR(__xludf.DUMMYFUNCTION("""COMPUTED_VALUE"""),"App X connect 25 s")</f>
        <v>App X connect 25 s</v>
      </c>
      <c r="N96" s="3" t="str">
        <f>IFERROR(__xludf.DUMMYFUNCTION("""COMPUTED_VALUE"""),"es")</f>
        <v>es</v>
      </c>
      <c r="O96" s="3" t="str">
        <f>IFERROR(__xludf.DUMMYFUNCTION("""COMPUTED_VALUE"""),"no")</f>
        <v>no</v>
      </c>
      <c r="P96" s="3">
        <f>IFERROR(__xludf.DUMMYFUNCTION("""COMPUTED_VALUE"""),0.0)</f>
        <v>0</v>
      </c>
      <c r="Q96" s="3">
        <f>IFERROR(__xludf.DUMMYFUNCTION("""COMPUTED_VALUE"""),0.0)</f>
        <v>0</v>
      </c>
      <c r="R96" s="3">
        <f>IFERROR(__xludf.DUMMYFUNCTION("""COMPUTED_VALUE"""),0.0)</f>
        <v>0</v>
      </c>
      <c r="S96" s="3">
        <f>IFERROR(__xludf.DUMMYFUNCTION("""COMPUTED_VALUE"""),0.0)</f>
        <v>0</v>
      </c>
      <c r="T96" s="3">
        <f>IFERROR(__xludf.DUMMYFUNCTION("""COMPUTED_VALUE"""),44.0)</f>
        <v>44</v>
      </c>
      <c r="U96" s="3" t="str">
        <f>IFERROR(__xludf.DUMMYFUNCTION("""COMPUTED_VALUE"""),"no")</f>
        <v>no</v>
      </c>
      <c r="V96" s="3"/>
      <c r="W96" s="3" t="str">
        <f>IFERROR(__xludf.DUMMYFUNCTION("""COMPUTED_VALUE"""),"no")</f>
        <v>no</v>
      </c>
      <c r="X96" s="3"/>
      <c r="Y96" s="3"/>
      <c r="Z96" s="3"/>
      <c r="AA96" s="3"/>
      <c r="AB96" s="3"/>
      <c r="AC96" s="3" t="str">
        <f>IFERROR(__xludf.DUMMYFUNCTION("""COMPUTED_VALUE"""),"no")</f>
        <v>no</v>
      </c>
      <c r="AD96" s="3" t="str">
        <f>IFERROR(__xludf.DUMMYFUNCTION("""COMPUTED_VALUE"""),"no")</f>
        <v>no</v>
      </c>
      <c r="AE96" s="3"/>
      <c r="AF96" s="3" t="str">
        <f>IFERROR(__xludf.DUMMYFUNCTION("""COMPUTED_VALUE"""),"no")</f>
        <v>no</v>
      </c>
      <c r="AG96" s="3"/>
    </row>
    <row r="97" hidden="1">
      <c r="A97" s="3" t="str">
        <f>IFERROR(__xludf.DUMMYFUNCTION("""COMPUTED_VALUE"""),"1970517428766486537")</f>
        <v>1970517428766486537</v>
      </c>
      <c r="B97" s="3" t="str">
        <f>IFERROR(__xludf.DUMMYFUNCTION("""COMPUTED_VALUE"""),"1970517428766486537")</f>
        <v>1970517428766486537</v>
      </c>
      <c r="C97" s="10">
        <f>IFERROR(__xludf.DUMMYFUNCTION("""COMPUTED_VALUE"""),45923.66365740741)</f>
        <v>45923.66366</v>
      </c>
      <c r="D97" s="3">
        <f>IFERROR(__xludf.DUMMYFUNCTION("""COMPUTED_VALUE"""),1.75864294E9)</f>
        <v>1758642940</v>
      </c>
      <c r="E97" s="11" t="str">
        <f>IFERROR(__xludf.DUMMYFUNCTION("""COMPUTED_VALUE"""),"https://x.com/findesemanacope/status/1970517428766486537")</f>
        <v>https://x.com/findesemanacope/status/1970517428766486537</v>
      </c>
      <c r="F97" s="3" t="str">
        <f>IFERROR(__xludf.DUMMYFUNCTION("""COMPUTED_VALUE"""),"🎧Alberto Soler, psicólogo: “Un adulto con TDAH trabaja rápido y se equivoca con frecuencia” 👇 https://t.co/MMZEcFxMzu")</f>
        <v>🎧Alberto Soler, psicólogo: “Un adulto con TDAH trabaja rápido y se equivoca con frecuencia” 👇 https://t.co/MMZEcFxMzu</v>
      </c>
      <c r="G97" s="3" t="str">
        <f>IFERROR(__xludf.DUMMYFUNCTION("""COMPUTED_VALUE"""),"findesemanacope")</f>
        <v>findesemanacope</v>
      </c>
      <c r="H97" s="3" t="str">
        <f>IFERROR(__xludf.DUMMYFUNCTION("""COMPUTED_VALUE"""),"Fin de Semana")</f>
        <v>Fin de Semana</v>
      </c>
      <c r="I97" s="3">
        <f>IFERROR(__xludf.DUMMYFUNCTION("""COMPUTED_VALUE"""),1.87948082E8)</f>
        <v>187948082</v>
      </c>
      <c r="J97" s="11" t="str">
        <f>IFERROR(__xludf.DUMMYFUNCTION("""COMPUTED_VALUE"""),"https://pbs.twimg.com/profile_images/1710313266872754176/uy941pAa_normal.jpg")</f>
        <v>https://pbs.twimg.com/profile_images/1710313266872754176/uy941pAa_normal.jpg</v>
      </c>
      <c r="K97" s="11" t="str">
        <f>IFERROR(__xludf.DUMMYFUNCTION("""COMPUTED_VALUE"""),"https://pbs.twimg.com/profile_banners/187948082/1701347974")</f>
        <v>https://pbs.twimg.com/profile_banners/187948082/1701347974</v>
      </c>
      <c r="L97" s="3" t="b">
        <f>IFERROR(__xludf.DUMMYFUNCTION("""COMPUTED_VALUE"""),FALSE)</f>
        <v>0</v>
      </c>
      <c r="M97" s="3" t="str">
        <f>IFERROR(__xludf.DUMMYFUNCTION("""COMPUTED_VALUE"""),"App X connect 25 s")</f>
        <v>App X connect 25 s</v>
      </c>
      <c r="N97" s="3" t="str">
        <f>IFERROR(__xludf.DUMMYFUNCTION("""COMPUTED_VALUE"""),"es")</f>
        <v>es</v>
      </c>
      <c r="O97" s="3" t="str">
        <f>IFERROR(__xludf.DUMMYFUNCTION("""COMPUTED_VALUE"""),"no")</f>
        <v>no</v>
      </c>
      <c r="P97" s="3">
        <f>IFERROR(__xludf.DUMMYFUNCTION("""COMPUTED_VALUE"""),0.0)</f>
        <v>0</v>
      </c>
      <c r="Q97" s="3">
        <f>IFERROR(__xludf.DUMMYFUNCTION("""COMPUTED_VALUE"""),0.0)</f>
        <v>0</v>
      </c>
      <c r="R97" s="3">
        <f>IFERROR(__xludf.DUMMYFUNCTION("""COMPUTED_VALUE"""),0.0)</f>
        <v>0</v>
      </c>
      <c r="S97" s="3">
        <f>IFERROR(__xludf.DUMMYFUNCTION("""COMPUTED_VALUE"""),0.0)</f>
        <v>0</v>
      </c>
      <c r="T97" s="3">
        <f>IFERROR(__xludf.DUMMYFUNCTION("""COMPUTED_VALUE"""),46.0)</f>
        <v>46</v>
      </c>
      <c r="U97" s="3" t="str">
        <f>IFERROR(__xludf.DUMMYFUNCTION("""COMPUTED_VALUE"""),"no")</f>
        <v>no</v>
      </c>
      <c r="V97" s="3"/>
      <c r="W97" s="3" t="str">
        <f>IFERROR(__xludf.DUMMYFUNCTION("""COMPUTED_VALUE"""),"no")</f>
        <v>no</v>
      </c>
      <c r="X97" s="3"/>
      <c r="Y97" s="3"/>
      <c r="Z97" s="3"/>
      <c r="AA97" s="3"/>
      <c r="AB97" s="3"/>
      <c r="AC97" s="3" t="str">
        <f>IFERROR(__xludf.DUMMYFUNCTION("""COMPUTED_VALUE"""),"no")</f>
        <v>no</v>
      </c>
      <c r="AD97" s="3" t="str">
        <f>IFERROR(__xludf.DUMMYFUNCTION("""COMPUTED_VALUE"""),"no")</f>
        <v>no</v>
      </c>
      <c r="AE97" s="3"/>
      <c r="AF97" s="3" t="str">
        <f>IFERROR(__xludf.DUMMYFUNCTION("""COMPUTED_VALUE"""),"no")</f>
        <v>no</v>
      </c>
      <c r="AG97" s="3"/>
    </row>
    <row r="98" hidden="1">
      <c r="A98" s="3" t="str">
        <f>IFERROR(__xludf.DUMMYFUNCTION("""COMPUTED_VALUE"""),"1970517428816736428")</f>
        <v>1970517428816736428</v>
      </c>
      <c r="B98" s="3" t="str">
        <f>IFERROR(__xludf.DUMMYFUNCTION("""COMPUTED_VALUE"""),"1970517428816736428")</f>
        <v>1970517428816736428</v>
      </c>
      <c r="C98" s="10">
        <f>IFERROR(__xludf.DUMMYFUNCTION("""COMPUTED_VALUE"""),45923.66365740741)</f>
        <v>45923.66366</v>
      </c>
      <c r="D98" s="3">
        <f>IFERROR(__xludf.DUMMYFUNCTION("""COMPUTED_VALUE"""),1.75864294E9)</f>
        <v>1758642940</v>
      </c>
      <c r="E98" s="11" t="str">
        <f>IFERROR(__xludf.DUMMYFUNCTION("""COMPUTED_VALUE"""),"https://x.com/linternacope/status/1970517428816736428")</f>
        <v>https://x.com/linternacope/status/1970517428816736428</v>
      </c>
      <c r="F98" s="3" t="str">
        <f>IFERROR(__xludf.DUMMYFUNCTION("""COMPUTED_VALUE"""),"🎧Alberto Soler, psicólogo: “Un adulto con TDAH trabaja rápido y se equivoca con frecuencia” 👇 https://t.co/T59BMRC2WR")</f>
        <v>🎧Alberto Soler, psicólogo: “Un adulto con TDAH trabaja rápido y se equivoca con frecuencia” 👇 https://t.co/T59BMRC2WR</v>
      </c>
      <c r="G98" s="3" t="str">
        <f>IFERROR(__xludf.DUMMYFUNCTION("""COMPUTED_VALUE"""),"linternacope")</f>
        <v>linternacope</v>
      </c>
      <c r="H98" s="3" t="str">
        <f>IFERROR(__xludf.DUMMYFUNCTION("""COMPUTED_VALUE"""),"La Linterna")</f>
        <v>La Linterna</v>
      </c>
      <c r="I98" s="3">
        <f>IFERROR(__xludf.DUMMYFUNCTION("""COMPUTED_VALUE"""),2.45809028E8)</f>
        <v>245809028</v>
      </c>
      <c r="J98" s="11" t="str">
        <f>IFERROR(__xludf.DUMMYFUNCTION("""COMPUTED_VALUE"""),"https://pbs.twimg.com/profile_images/1710312743578861568/_itXUjcl_normal.jpg")</f>
        <v>https://pbs.twimg.com/profile_images/1710312743578861568/_itXUjcl_normal.jpg</v>
      </c>
      <c r="K98" s="11" t="str">
        <f>IFERROR(__xludf.DUMMYFUNCTION("""COMPUTED_VALUE"""),"https://pbs.twimg.com/profile_banners/245809028/1701348186")</f>
        <v>https://pbs.twimg.com/profile_banners/245809028/1701348186</v>
      </c>
      <c r="L98" s="3" t="b">
        <f>IFERROR(__xludf.DUMMYFUNCTION("""COMPUTED_VALUE"""),FALSE)</f>
        <v>0</v>
      </c>
      <c r="M98" s="3" t="str">
        <f>IFERROR(__xludf.DUMMYFUNCTION("""COMPUTED_VALUE"""),"App X connect 25 s")</f>
        <v>App X connect 25 s</v>
      </c>
      <c r="N98" s="3" t="str">
        <f>IFERROR(__xludf.DUMMYFUNCTION("""COMPUTED_VALUE"""),"es")</f>
        <v>es</v>
      </c>
      <c r="O98" s="3" t="str">
        <f>IFERROR(__xludf.DUMMYFUNCTION("""COMPUTED_VALUE"""),"no")</f>
        <v>no</v>
      </c>
      <c r="P98" s="3">
        <f>IFERROR(__xludf.DUMMYFUNCTION("""COMPUTED_VALUE"""),0.0)</f>
        <v>0</v>
      </c>
      <c r="Q98" s="3">
        <f>IFERROR(__xludf.DUMMYFUNCTION("""COMPUTED_VALUE"""),0.0)</f>
        <v>0</v>
      </c>
      <c r="R98" s="3">
        <f>IFERROR(__xludf.DUMMYFUNCTION("""COMPUTED_VALUE"""),0.0)</f>
        <v>0</v>
      </c>
      <c r="S98" s="3">
        <f>IFERROR(__xludf.DUMMYFUNCTION("""COMPUTED_VALUE"""),0.0)</f>
        <v>0</v>
      </c>
      <c r="T98" s="3">
        <f>IFERROR(__xludf.DUMMYFUNCTION("""COMPUTED_VALUE"""),226.0)</f>
        <v>226</v>
      </c>
      <c r="U98" s="3" t="str">
        <f>IFERROR(__xludf.DUMMYFUNCTION("""COMPUTED_VALUE"""),"no")</f>
        <v>no</v>
      </c>
      <c r="V98" s="3"/>
      <c r="W98" s="3" t="str">
        <f>IFERROR(__xludf.DUMMYFUNCTION("""COMPUTED_VALUE"""),"no")</f>
        <v>no</v>
      </c>
      <c r="X98" s="3"/>
      <c r="Y98" s="3"/>
      <c r="Z98" s="3"/>
      <c r="AA98" s="3"/>
      <c r="AB98" s="3"/>
      <c r="AC98" s="3" t="str">
        <f>IFERROR(__xludf.DUMMYFUNCTION("""COMPUTED_VALUE"""),"no")</f>
        <v>no</v>
      </c>
      <c r="AD98" s="3" t="str">
        <f>IFERROR(__xludf.DUMMYFUNCTION("""COMPUTED_VALUE"""),"no")</f>
        <v>no</v>
      </c>
      <c r="AE98" s="3"/>
      <c r="AF98" s="3" t="str">
        <f>IFERROR(__xludf.DUMMYFUNCTION("""COMPUTED_VALUE"""),"no")</f>
        <v>no</v>
      </c>
      <c r="AG98" s="3"/>
    </row>
    <row r="99" hidden="1">
      <c r="A99" s="3" t="str">
        <f>IFERROR(__xludf.DUMMYFUNCTION("""COMPUTED_VALUE"""),"1982384694500171803")</f>
        <v>1982384694500171803</v>
      </c>
      <c r="B99" s="3" t="str">
        <f>IFERROR(__xludf.DUMMYFUNCTION("""COMPUTED_VALUE"""),"1982384694500171803")</f>
        <v>1982384694500171803</v>
      </c>
      <c r="C99" s="10">
        <f>IFERROR(__xludf.DUMMYFUNCTION("""COMPUTED_VALUE"""),45956.41106481481)</f>
        <v>45956.41106</v>
      </c>
      <c r="D99" s="3">
        <f>IFERROR(__xludf.DUMMYFUNCTION("""COMPUTED_VALUE"""),1.761472316E9)</f>
        <v>1761472316</v>
      </c>
      <c r="E99" s="11" t="str">
        <f>IFERROR(__xludf.DUMMYFUNCTION("""COMPUTED_VALUE"""),"https://x.com/cinenuevatribu/status/1982384694500171803")</f>
        <v>https://x.com/cinenuevatribu/status/1982384694500171803</v>
      </c>
      <c r="F99" s="3" t="str">
        <f>IFERROR(__xludf.DUMMYFUNCTION("""COMPUTED_VALUE"""),"TDAH en el adulto
La doctora Juncal, tras años de experiencia escuchando y apoyando en sus sesiones a adultos, reúne todas estas voces para crear este libro que puede acompañar a cualquier persona que ya tiene el diagnóstico, pero también para guiar.
ht"&amp;"tps://t.co/PxlMBV5OKB")</f>
        <v>TDAH en el adulto
La doctora Juncal, tras años de experiencia escuchando y apoyando en sus sesiones a adultos, reúne todas estas voces para crear este libro que puede acompañar a cualquier persona que ya tiene el diagnóstico, pero también para guiar.
https://t.co/PxlMBV5OKB</v>
      </c>
      <c r="G99" s="3" t="str">
        <f>IFERROR(__xludf.DUMMYFUNCTION("""COMPUTED_VALUE"""),"cinenuevatribu")</f>
        <v>cinenuevatribu</v>
      </c>
      <c r="H99" s="3" t="str">
        <f>IFERROR(__xludf.DUMMYFUNCTION("""COMPUTED_VALUE"""),"CineNuevaTribuna")</f>
        <v>CineNuevaTribuna</v>
      </c>
      <c r="I99" s="3">
        <f>IFERROR(__xludf.DUMMYFUNCTION("""COMPUTED_VALUE"""),4.868557389E9)</f>
        <v>4868557389</v>
      </c>
      <c r="J99" s="11" t="str">
        <f>IFERROR(__xludf.DUMMYFUNCTION("""COMPUTED_VALUE"""),"https://pbs.twimg.com/profile_images/694091082410377216/HuUCM-I-_normal.jpg")</f>
        <v>https://pbs.twimg.com/profile_images/694091082410377216/HuUCM-I-_normal.jpg</v>
      </c>
      <c r="K99" s="11" t="str">
        <f>IFERROR(__xludf.DUMMYFUNCTION("""COMPUTED_VALUE"""),"https://pbs.twimg.com/profile_banners/4868557389/1733064306")</f>
        <v>https://pbs.twimg.com/profile_banners/4868557389/1733064306</v>
      </c>
      <c r="L99" s="3" t="b">
        <f>IFERROR(__xludf.DUMMYFUNCTION("""COMPUTED_VALUE"""),FALSE)</f>
        <v>0</v>
      </c>
      <c r="M99" s="3" t="str">
        <f>IFERROR(__xludf.DUMMYFUNCTION("""COMPUTED_VALUE"""),"Twitter for iPhone")</f>
        <v>Twitter for iPhone</v>
      </c>
      <c r="N99" s="3" t="str">
        <f>IFERROR(__xludf.DUMMYFUNCTION("""COMPUTED_VALUE"""),"es")</f>
        <v>es</v>
      </c>
      <c r="O99" s="3" t="str">
        <f>IFERROR(__xludf.DUMMYFUNCTION("""COMPUTED_VALUE"""),"no")</f>
        <v>no</v>
      </c>
      <c r="P99" s="3">
        <f>IFERROR(__xludf.DUMMYFUNCTION("""COMPUTED_VALUE"""),0.0)</f>
        <v>0</v>
      </c>
      <c r="Q99" s="3">
        <f>IFERROR(__xludf.DUMMYFUNCTION("""COMPUTED_VALUE"""),0.0)</f>
        <v>0</v>
      </c>
      <c r="R99" s="3">
        <f>IFERROR(__xludf.DUMMYFUNCTION("""COMPUTED_VALUE"""),0.0)</f>
        <v>0</v>
      </c>
      <c r="S99" s="3">
        <f>IFERROR(__xludf.DUMMYFUNCTION("""COMPUTED_VALUE"""),0.0)</f>
        <v>0</v>
      </c>
      <c r="T99" s="3">
        <f>IFERROR(__xludf.DUMMYFUNCTION("""COMPUTED_VALUE"""),106.0)</f>
        <v>106</v>
      </c>
      <c r="U99" s="3" t="str">
        <f>IFERROR(__xludf.DUMMYFUNCTION("""COMPUTED_VALUE"""),"no")</f>
        <v>no</v>
      </c>
      <c r="V99" s="3"/>
      <c r="W99" s="3" t="str">
        <f>IFERROR(__xludf.DUMMYFUNCTION("""COMPUTED_VALUE"""),"no")</f>
        <v>no</v>
      </c>
      <c r="X99" s="3"/>
      <c r="Y99" s="3"/>
      <c r="Z99" s="3"/>
      <c r="AA99" s="3"/>
      <c r="AB99" s="3"/>
      <c r="AC99" s="3" t="str">
        <f>IFERROR(__xludf.DUMMYFUNCTION("""COMPUTED_VALUE"""),"no")</f>
        <v>no</v>
      </c>
      <c r="AD99" s="3" t="str">
        <f>IFERROR(__xludf.DUMMYFUNCTION("""COMPUTED_VALUE"""),"no")</f>
        <v>no</v>
      </c>
      <c r="AE99" s="3"/>
      <c r="AF99" s="3" t="str">
        <f>IFERROR(__xludf.DUMMYFUNCTION("""COMPUTED_VALUE"""),"no")</f>
        <v>no</v>
      </c>
      <c r="AG99" s="3"/>
    </row>
  </sheetData>
  <autoFilter ref="$A$1:$AG$99">
    <filterColumn colId="13">
      <filters>
        <filter val="pt"/>
      </filters>
    </filterColumn>
  </autoFilter>
  <hyperlinks>
    <hyperlink r:id="rId1" ref="E2"/>
    <hyperlink r:id="rId2" ref="J2"/>
    <hyperlink r:id="rId3" ref="K2"/>
    <hyperlink r:id="rId4" ref="E3"/>
    <hyperlink r:id="rId5" ref="J3"/>
    <hyperlink r:id="rId6" ref="K3"/>
    <hyperlink r:id="rId7" ref="E4"/>
    <hyperlink r:id="rId8" ref="J4"/>
    <hyperlink r:id="rId9" ref="K4"/>
    <hyperlink r:id="rId10" ref="E5"/>
    <hyperlink r:id="rId11" ref="J5"/>
    <hyperlink r:id="rId12" ref="K5"/>
    <hyperlink r:id="rId13" ref="E6"/>
    <hyperlink r:id="rId14" ref="J6"/>
    <hyperlink r:id="rId15" ref="K6"/>
    <hyperlink r:id="rId16" ref="E7"/>
    <hyperlink r:id="rId17" ref="J7"/>
    <hyperlink r:id="rId18" ref="K7"/>
    <hyperlink r:id="rId19" ref="E8"/>
    <hyperlink r:id="rId20" ref="J8"/>
    <hyperlink r:id="rId21" ref="K8"/>
    <hyperlink r:id="rId22" ref="E9"/>
    <hyperlink r:id="rId23" ref="J9"/>
    <hyperlink r:id="rId24" ref="K9"/>
    <hyperlink r:id="rId25" ref="E10"/>
    <hyperlink r:id="rId26" ref="J10"/>
    <hyperlink r:id="rId27" ref="K10"/>
    <hyperlink r:id="rId28" ref="E11"/>
    <hyperlink r:id="rId29" ref="J11"/>
    <hyperlink r:id="rId30" ref="K11"/>
    <hyperlink r:id="rId31" ref="E12"/>
    <hyperlink r:id="rId32" ref="J12"/>
    <hyperlink r:id="rId33" ref="K12"/>
    <hyperlink r:id="rId34" ref="E13"/>
    <hyperlink r:id="rId35" ref="J13"/>
    <hyperlink r:id="rId36" ref="K13"/>
    <hyperlink r:id="rId37" ref="E14"/>
    <hyperlink r:id="rId38" ref="J14"/>
    <hyperlink r:id="rId39" ref="K14"/>
    <hyperlink r:id="rId40" ref="E15"/>
    <hyperlink r:id="rId41" ref="J15"/>
    <hyperlink r:id="rId42" ref="K15"/>
    <hyperlink r:id="rId43" ref="E16"/>
    <hyperlink r:id="rId44" ref="J16"/>
    <hyperlink r:id="rId45" ref="K16"/>
    <hyperlink r:id="rId46" ref="E17"/>
    <hyperlink r:id="rId47" ref="J17"/>
    <hyperlink r:id="rId48" ref="K17"/>
    <hyperlink r:id="rId49" ref="E18"/>
    <hyperlink r:id="rId50" ref="J18"/>
    <hyperlink r:id="rId51" ref="K18"/>
    <hyperlink r:id="rId52" ref="E19"/>
    <hyperlink r:id="rId53" ref="J19"/>
    <hyperlink r:id="rId54" ref="K19"/>
    <hyperlink r:id="rId55" ref="E20"/>
    <hyperlink r:id="rId56" ref="J20"/>
    <hyperlink r:id="rId57" ref="K20"/>
    <hyperlink r:id="rId58" ref="E21"/>
    <hyperlink r:id="rId59" ref="J21"/>
    <hyperlink r:id="rId60" ref="K21"/>
    <hyperlink r:id="rId61" ref="E22"/>
    <hyperlink r:id="rId62" ref="J22"/>
    <hyperlink r:id="rId63" ref="K22"/>
    <hyperlink r:id="rId64" ref="E23"/>
    <hyperlink r:id="rId65" ref="J23"/>
    <hyperlink r:id="rId66" ref="E24"/>
    <hyperlink r:id="rId67" ref="J24"/>
    <hyperlink r:id="rId68" ref="K24"/>
    <hyperlink r:id="rId69" ref="E25"/>
    <hyperlink r:id="rId70" ref="J25"/>
    <hyperlink r:id="rId71" ref="K25"/>
    <hyperlink r:id="rId72" ref="E26"/>
    <hyperlink r:id="rId73" ref="J26"/>
    <hyperlink r:id="rId74" ref="K26"/>
    <hyperlink r:id="rId75" ref="E27"/>
    <hyperlink r:id="rId76" ref="J27"/>
    <hyperlink r:id="rId77" ref="K27"/>
    <hyperlink r:id="rId78" ref="E28"/>
    <hyperlink r:id="rId79" ref="J28"/>
    <hyperlink r:id="rId80" ref="K28"/>
    <hyperlink r:id="rId81" ref="E29"/>
    <hyperlink r:id="rId82" ref="J29"/>
    <hyperlink r:id="rId83" ref="K29"/>
    <hyperlink r:id="rId84" ref="E30"/>
    <hyperlink r:id="rId85" ref="J30"/>
    <hyperlink r:id="rId86" ref="K30"/>
    <hyperlink r:id="rId87" ref="E31"/>
    <hyperlink r:id="rId88" ref="J31"/>
    <hyperlink r:id="rId89" ref="K31"/>
    <hyperlink r:id="rId90" ref="AA31"/>
    <hyperlink r:id="rId91" ref="E32"/>
    <hyperlink r:id="rId92" ref="J32"/>
    <hyperlink r:id="rId93" ref="K32"/>
    <hyperlink r:id="rId94" ref="E33"/>
    <hyperlink r:id="rId95" ref="J33"/>
    <hyperlink r:id="rId96" ref="K33"/>
    <hyperlink r:id="rId97" ref="E34"/>
    <hyperlink r:id="rId98" ref="J34"/>
    <hyperlink r:id="rId99" ref="K34"/>
    <hyperlink r:id="rId100" ref="E35"/>
    <hyperlink r:id="rId101" ref="J35"/>
    <hyperlink r:id="rId102" ref="K35"/>
    <hyperlink r:id="rId103" ref="E36"/>
    <hyperlink r:id="rId104" ref="J36"/>
    <hyperlink r:id="rId105" ref="K36"/>
    <hyperlink r:id="rId106" ref="E37"/>
    <hyperlink r:id="rId107" ref="J37"/>
    <hyperlink r:id="rId108" ref="E38"/>
    <hyperlink r:id="rId109" ref="J38"/>
    <hyperlink r:id="rId110" ref="K38"/>
    <hyperlink r:id="rId111" ref="E39"/>
    <hyperlink r:id="rId112" ref="J39"/>
    <hyperlink r:id="rId113" ref="K39"/>
    <hyperlink r:id="rId114" ref="E40"/>
    <hyperlink r:id="rId115" ref="J40"/>
    <hyperlink r:id="rId116" ref="K40"/>
    <hyperlink r:id="rId117" ref="E41"/>
    <hyperlink r:id="rId118" ref="J41"/>
    <hyperlink r:id="rId119" ref="K41"/>
    <hyperlink r:id="rId120" ref="E42"/>
    <hyperlink r:id="rId121" ref="J42"/>
    <hyperlink r:id="rId122" ref="K42"/>
    <hyperlink r:id="rId123" ref="E43"/>
    <hyperlink r:id="rId124" ref="J43"/>
    <hyperlink r:id="rId125" ref="K43"/>
    <hyperlink r:id="rId126" ref="E44"/>
    <hyperlink r:id="rId127" ref="J44"/>
    <hyperlink r:id="rId128" ref="K44"/>
    <hyperlink r:id="rId129" ref="M44"/>
    <hyperlink r:id="rId130" ref="E45"/>
    <hyperlink r:id="rId131" ref="J45"/>
    <hyperlink r:id="rId132" ref="K45"/>
    <hyperlink r:id="rId133" ref="E46"/>
    <hyperlink r:id="rId134" ref="J46"/>
    <hyperlink r:id="rId135" ref="E47"/>
    <hyperlink r:id="rId136" ref="J47"/>
    <hyperlink r:id="rId137" ref="K47"/>
    <hyperlink r:id="rId138" ref="E48"/>
    <hyperlink r:id="rId139" ref="J48"/>
    <hyperlink r:id="rId140" ref="K48"/>
    <hyperlink r:id="rId141" ref="E49"/>
    <hyperlink r:id="rId142" ref="J49"/>
    <hyperlink r:id="rId143" ref="K49"/>
    <hyperlink r:id="rId144" ref="E50"/>
    <hyperlink r:id="rId145" ref="J50"/>
    <hyperlink r:id="rId146" ref="K50"/>
    <hyperlink r:id="rId147" ref="E51"/>
    <hyperlink r:id="rId148" ref="J51"/>
    <hyperlink r:id="rId149" ref="K51"/>
    <hyperlink r:id="rId150" ref="E52"/>
    <hyperlink r:id="rId151" ref="J52"/>
    <hyperlink r:id="rId152" ref="K52"/>
    <hyperlink r:id="rId153" ref="E53"/>
    <hyperlink r:id="rId154" ref="J53"/>
    <hyperlink r:id="rId155" ref="K53"/>
    <hyperlink r:id="rId156" ref="E54"/>
    <hyperlink r:id="rId157" ref="J54"/>
    <hyperlink r:id="rId158" ref="K54"/>
    <hyperlink r:id="rId159" ref="E55"/>
    <hyperlink r:id="rId160" ref="J55"/>
    <hyperlink r:id="rId161" ref="K55"/>
    <hyperlink r:id="rId162" ref="E56"/>
    <hyperlink r:id="rId163" ref="J56"/>
    <hyperlink r:id="rId164" ref="K56"/>
    <hyperlink r:id="rId165" ref="E57"/>
    <hyperlink r:id="rId166" ref="J57"/>
    <hyperlink r:id="rId167" ref="K57"/>
    <hyperlink r:id="rId168" ref="E58"/>
    <hyperlink r:id="rId169" ref="J58"/>
    <hyperlink r:id="rId170" ref="K58"/>
    <hyperlink r:id="rId171" ref="E59"/>
    <hyperlink r:id="rId172" ref="J59"/>
    <hyperlink r:id="rId173" ref="K59"/>
    <hyperlink r:id="rId174" ref="E60"/>
    <hyperlink r:id="rId175" ref="J60"/>
    <hyperlink r:id="rId176" ref="K60"/>
    <hyperlink r:id="rId177" ref="E61"/>
    <hyperlink r:id="rId178" ref="J61"/>
    <hyperlink r:id="rId179" ref="K61"/>
    <hyperlink r:id="rId180" ref="E62"/>
    <hyperlink r:id="rId181" ref="J62"/>
    <hyperlink r:id="rId182" ref="K62"/>
    <hyperlink r:id="rId183" ref="E63"/>
    <hyperlink r:id="rId184" ref="J63"/>
    <hyperlink r:id="rId185" ref="K63"/>
    <hyperlink r:id="rId186" ref="E64"/>
    <hyperlink r:id="rId187" ref="J64"/>
    <hyperlink r:id="rId188" ref="K64"/>
    <hyperlink r:id="rId189" ref="E65"/>
    <hyperlink r:id="rId190" ref="J65"/>
    <hyperlink r:id="rId191" ref="K65"/>
    <hyperlink r:id="rId192" ref="E66"/>
    <hyperlink r:id="rId193" ref="J66"/>
    <hyperlink r:id="rId194" ref="K66"/>
    <hyperlink r:id="rId195" ref="E67"/>
    <hyperlink r:id="rId196" ref="J67"/>
    <hyperlink r:id="rId197" ref="E68"/>
    <hyperlink r:id="rId198" ref="J68"/>
    <hyperlink r:id="rId199" ref="K68"/>
    <hyperlink r:id="rId200" ref="E69"/>
    <hyperlink r:id="rId201" ref="J69"/>
    <hyperlink r:id="rId202" ref="K69"/>
    <hyperlink r:id="rId203" ref="E70"/>
    <hyperlink r:id="rId204" ref="J70"/>
    <hyperlink r:id="rId205" ref="K70"/>
    <hyperlink r:id="rId206" ref="E71"/>
    <hyperlink r:id="rId207" ref="J71"/>
    <hyperlink r:id="rId208" ref="K71"/>
    <hyperlink r:id="rId209" ref="E72"/>
    <hyperlink r:id="rId210" ref="J72"/>
    <hyperlink r:id="rId211" ref="K72"/>
    <hyperlink r:id="rId212" ref="E73"/>
    <hyperlink r:id="rId213" ref="J73"/>
    <hyperlink r:id="rId214" ref="K73"/>
    <hyperlink r:id="rId215" ref="E74"/>
    <hyperlink r:id="rId216" ref="J74"/>
    <hyperlink r:id="rId217" ref="K74"/>
    <hyperlink r:id="rId218" ref="E75"/>
    <hyperlink r:id="rId219" ref="J75"/>
    <hyperlink r:id="rId220" ref="K75"/>
    <hyperlink r:id="rId221" ref="E76"/>
    <hyperlink r:id="rId222" ref="J76"/>
    <hyperlink r:id="rId223" ref="K76"/>
    <hyperlink r:id="rId224" ref="E77"/>
    <hyperlink r:id="rId225" ref="J77"/>
    <hyperlink r:id="rId226" ref="K77"/>
    <hyperlink r:id="rId227" ref="E78"/>
    <hyperlink r:id="rId228" ref="J78"/>
    <hyperlink r:id="rId229" ref="K78"/>
    <hyperlink r:id="rId230" ref="E79"/>
    <hyperlink r:id="rId231" ref="J79"/>
    <hyperlink r:id="rId232" ref="K79"/>
    <hyperlink r:id="rId233" ref="E80"/>
    <hyperlink r:id="rId234" ref="J80"/>
    <hyperlink r:id="rId235" ref="E81"/>
    <hyperlink r:id="rId236" ref="J81"/>
    <hyperlink r:id="rId237" ref="K81"/>
    <hyperlink r:id="rId238" ref="E82"/>
    <hyperlink r:id="rId239" ref="J82"/>
    <hyperlink r:id="rId240" ref="K82"/>
    <hyperlink r:id="rId241" ref="M82"/>
    <hyperlink r:id="rId242" ref="E83"/>
    <hyperlink r:id="rId243" ref="J83"/>
    <hyperlink r:id="rId244" ref="K83"/>
    <hyperlink r:id="rId245" ref="E84"/>
    <hyperlink r:id="rId246" ref="J84"/>
    <hyperlink r:id="rId247" ref="K84"/>
    <hyperlink r:id="rId248" ref="E85"/>
    <hyperlink r:id="rId249" ref="J85"/>
    <hyperlink r:id="rId250" ref="K85"/>
    <hyperlink r:id="rId251" ref="E86"/>
    <hyperlink r:id="rId252" ref="J86"/>
    <hyperlink r:id="rId253" ref="K86"/>
    <hyperlink r:id="rId254" ref="E87"/>
    <hyperlink r:id="rId255" ref="J87"/>
    <hyperlink r:id="rId256" ref="K87"/>
    <hyperlink r:id="rId257" ref="E88"/>
    <hyperlink r:id="rId258" ref="J88"/>
    <hyperlink r:id="rId259" ref="E89"/>
    <hyperlink r:id="rId260" ref="J89"/>
    <hyperlink r:id="rId261" ref="K89"/>
    <hyperlink r:id="rId262" ref="E90"/>
    <hyperlink r:id="rId263" ref="J90"/>
    <hyperlink r:id="rId264" ref="K90"/>
    <hyperlink r:id="rId265" ref="E91"/>
    <hyperlink r:id="rId266" ref="J91"/>
    <hyperlink r:id="rId267" ref="K91"/>
    <hyperlink r:id="rId268" ref="E92"/>
    <hyperlink r:id="rId269" ref="J92"/>
    <hyperlink r:id="rId270" ref="K92"/>
    <hyperlink r:id="rId271" ref="AA92"/>
    <hyperlink r:id="rId272" ref="E93"/>
    <hyperlink r:id="rId273" ref="J93"/>
    <hyperlink r:id="rId274" ref="K93"/>
    <hyperlink r:id="rId275" ref="E94"/>
    <hyperlink r:id="rId276" ref="J94"/>
    <hyperlink r:id="rId277" ref="K94"/>
    <hyperlink r:id="rId278" ref="E95"/>
    <hyperlink r:id="rId279" ref="J95"/>
    <hyperlink r:id="rId280" ref="K95"/>
    <hyperlink r:id="rId281" ref="E96"/>
    <hyperlink r:id="rId282" ref="J96"/>
    <hyperlink r:id="rId283" ref="K96"/>
    <hyperlink r:id="rId284" ref="E97"/>
    <hyperlink r:id="rId285" ref="J97"/>
    <hyperlink r:id="rId286" ref="K97"/>
    <hyperlink r:id="rId287" ref="E98"/>
    <hyperlink r:id="rId288" ref="J98"/>
    <hyperlink r:id="rId289" ref="K98"/>
    <hyperlink r:id="rId290" ref="E99"/>
    <hyperlink r:id="rId291" ref="J99"/>
    <hyperlink r:id="rId292" ref="K99"/>
  </hyperlinks>
  <drawing r:id="rId293"/>
</worksheet>
</file>